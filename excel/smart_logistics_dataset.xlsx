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Projects\smart_logistics_analysis\excel\"/>
    </mc:Choice>
  </mc:AlternateContent>
  <xr:revisionPtr revIDLastSave="0" documentId="13_ncr:1_{4336A83D-009E-4C60-9C27-2C8D37E9D836}" xr6:coauthVersionLast="47" xr6:coauthVersionMax="47" xr10:uidLastSave="{00000000-0000-0000-0000-000000000000}"/>
  <bookViews>
    <workbookView xWindow="-120" yWindow="-120" windowWidth="38640" windowHeight="21120" activeTab="1" xr2:uid="{DCD7D9B8-1A6C-44A8-BBB6-C5CA25877440}"/>
  </bookViews>
  <sheets>
    <sheet name="Raw Data" sheetId="2" r:id="rId1"/>
    <sheet name="Analyze" sheetId="7" r:id="rId2"/>
    <sheet name="smart_logistics_dataset" sheetId="1" r:id="rId3"/>
    <sheet name="Sheet2" sheetId="6" r:id="rId4"/>
    <sheet name="Data Dictionary" sheetId="5" r:id="rId5"/>
    <sheet name="Data Audit" sheetId="3" r:id="rId6"/>
  </sheets>
  <definedNames>
    <definedName name="ExternalData_1" localSheetId="1" hidden="1">Analyze!$A$1:$Z$1001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  <c r="C2" i="1"/>
  <c r="D4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W2" i="1" a="1"/>
  <c r="W2" i="1" s="1"/>
  <c r="W3" i="1" a="1"/>
  <c r="W3" i="1" s="1"/>
  <c r="W4" i="1" a="1"/>
  <c r="W4" i="1" s="1"/>
  <c r="W5" i="1" a="1"/>
  <c r="W5" i="1" s="1"/>
  <c r="W6" i="1" a="1"/>
  <c r="W6" i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/>
  <c r="W23" i="1" a="1"/>
  <c r="W23" i="1" s="1"/>
  <c r="W24" i="1" a="1"/>
  <c r="W24" i="1" s="1"/>
  <c r="W25" i="1" a="1"/>
  <c r="W25" i="1"/>
  <c r="W26" i="1" a="1"/>
  <c r="W26" i="1" s="1"/>
  <c r="W27" i="1" a="1"/>
  <c r="W27" i="1" s="1"/>
  <c r="W28" i="1" a="1"/>
  <c r="W28" i="1" s="1"/>
  <c r="W29" i="1" a="1"/>
  <c r="W29" i="1" s="1"/>
  <c r="W30" i="1" a="1"/>
  <c r="W30" i="1"/>
  <c r="W31" i="1" a="1"/>
  <c r="W31" i="1" s="1"/>
  <c r="W32" i="1" a="1"/>
  <c r="W32" i="1" s="1"/>
  <c r="W33" i="1" a="1"/>
  <c r="W33" i="1" s="1"/>
  <c r="W34" i="1" a="1"/>
  <c r="W34" i="1" s="1"/>
  <c r="W35" i="1" a="1"/>
  <c r="W35" i="1" s="1"/>
  <c r="W36" i="1" a="1"/>
  <c r="W36" i="1" s="1"/>
  <c r="W37" i="1" a="1"/>
  <c r="W37" i="1" s="1"/>
  <c r="W38" i="1" a="1"/>
  <c r="W38" i="1"/>
  <c r="W39" i="1" a="1"/>
  <c r="W39" i="1" s="1"/>
  <c r="W40" i="1" a="1"/>
  <c r="W40" i="1" s="1"/>
  <c r="W41" i="1" a="1"/>
  <c r="W41" i="1" s="1"/>
  <c r="W42" i="1" a="1"/>
  <c r="W42" i="1" s="1"/>
  <c r="W43" i="1" a="1"/>
  <c r="W43" i="1" s="1"/>
  <c r="W44" i="1" a="1"/>
  <c r="W44" i="1" s="1"/>
  <c r="W45" i="1" a="1"/>
  <c r="W45" i="1" s="1"/>
  <c r="W46" i="1" a="1"/>
  <c r="W46" i="1" s="1"/>
  <c r="W47" i="1" a="1"/>
  <c r="W47" i="1" s="1"/>
  <c r="W48" i="1" a="1"/>
  <c r="W48" i="1" s="1"/>
  <c r="W49" i="1" a="1"/>
  <c r="W49" i="1" s="1"/>
  <c r="W50" i="1" a="1"/>
  <c r="W50" i="1" s="1"/>
  <c r="W51" i="1" a="1"/>
  <c r="W51" i="1" s="1"/>
  <c r="W52" i="1" a="1"/>
  <c r="W52" i="1" s="1"/>
  <c r="W53" i="1" a="1"/>
  <c r="W53" i="1" s="1"/>
  <c r="W54" i="1" a="1"/>
  <c r="W54" i="1" s="1"/>
  <c r="W55" i="1" a="1"/>
  <c r="W55" i="1" s="1"/>
  <c r="W56" i="1" a="1"/>
  <c r="W56" i="1" s="1"/>
  <c r="W57" i="1" a="1"/>
  <c r="W57" i="1" s="1"/>
  <c r="W58" i="1" a="1"/>
  <c r="W58" i="1" s="1"/>
  <c r="W59" i="1" a="1"/>
  <c r="W59" i="1" s="1"/>
  <c r="W60" i="1" a="1"/>
  <c r="W60" i="1" s="1"/>
  <c r="W61" i="1" a="1"/>
  <c r="W61" i="1" s="1"/>
  <c r="W62" i="1" a="1"/>
  <c r="W62" i="1" s="1"/>
  <c r="W63" i="1" a="1"/>
  <c r="W63" i="1" s="1"/>
  <c r="W64" i="1" a="1"/>
  <c r="W64" i="1" s="1"/>
  <c r="W65" i="1" a="1"/>
  <c r="W65" i="1"/>
  <c r="W66" i="1" a="1"/>
  <c r="W66" i="1" s="1"/>
  <c r="W67" i="1" a="1"/>
  <c r="W67" i="1" s="1"/>
  <c r="W68" i="1" a="1"/>
  <c r="W68" i="1" s="1"/>
  <c r="W69" i="1" a="1"/>
  <c r="W69" i="1" s="1"/>
  <c r="W70" i="1" a="1"/>
  <c r="W70" i="1" s="1"/>
  <c r="W71" i="1" a="1"/>
  <c r="W71" i="1" s="1"/>
  <c r="W72" i="1" a="1"/>
  <c r="W72" i="1" s="1"/>
  <c r="W73" i="1" a="1"/>
  <c r="W73" i="1"/>
  <c r="W74" i="1" a="1"/>
  <c r="W74" i="1" s="1"/>
  <c r="W75" i="1" a="1"/>
  <c r="W75" i="1" s="1"/>
  <c r="W76" i="1" a="1"/>
  <c r="W76" i="1" s="1"/>
  <c r="W77" i="1" a="1"/>
  <c r="W77" i="1" s="1"/>
  <c r="W78" i="1" a="1"/>
  <c r="W78" i="1" s="1"/>
  <c r="W79" i="1" a="1"/>
  <c r="W79" i="1" s="1"/>
  <c r="W80" i="1" a="1"/>
  <c r="W80" i="1" s="1"/>
  <c r="W81" i="1" a="1"/>
  <c r="W81" i="1"/>
  <c r="W82" i="1" a="1"/>
  <c r="W82" i="1" s="1"/>
  <c r="W83" i="1" a="1"/>
  <c r="W83" i="1" s="1"/>
  <c r="W84" i="1" a="1"/>
  <c r="W84" i="1" s="1"/>
  <c r="W85" i="1" a="1"/>
  <c r="W85" i="1" s="1"/>
  <c r="W86" i="1" a="1"/>
  <c r="W86" i="1" s="1"/>
  <c r="W87" i="1" a="1"/>
  <c r="W87" i="1" s="1"/>
  <c r="W88" i="1" a="1"/>
  <c r="W88" i="1" s="1"/>
  <c r="W89" i="1" a="1"/>
  <c r="W89" i="1" s="1"/>
  <c r="W90" i="1" a="1"/>
  <c r="W90" i="1" s="1"/>
  <c r="W91" i="1" a="1"/>
  <c r="W91" i="1" s="1"/>
  <c r="W92" i="1" a="1"/>
  <c r="W92" i="1" s="1"/>
  <c r="W93" i="1" a="1"/>
  <c r="W93" i="1" s="1"/>
  <c r="W94" i="1" a="1"/>
  <c r="W94" i="1" s="1"/>
  <c r="W95" i="1" a="1"/>
  <c r="W95" i="1" s="1"/>
  <c r="W96" i="1" a="1"/>
  <c r="W96" i="1" s="1"/>
  <c r="W97" i="1" a="1"/>
  <c r="W97" i="1" s="1"/>
  <c r="W98" i="1" a="1"/>
  <c r="W98" i="1" s="1"/>
  <c r="W99" i="1" a="1"/>
  <c r="W99" i="1" s="1"/>
  <c r="W100" i="1" a="1"/>
  <c r="W100" i="1" s="1"/>
  <c r="W101" i="1" a="1"/>
  <c r="W101" i="1" s="1"/>
  <c r="W102" i="1" a="1"/>
  <c r="W102" i="1" s="1"/>
  <c r="W103" i="1" a="1"/>
  <c r="W103" i="1" s="1"/>
  <c r="W104" i="1" a="1"/>
  <c r="W104" i="1" s="1"/>
  <c r="W105" i="1" a="1"/>
  <c r="W105" i="1" s="1"/>
  <c r="W106" i="1" a="1"/>
  <c r="W106" i="1" s="1"/>
  <c r="W107" i="1" a="1"/>
  <c r="W107" i="1" s="1"/>
  <c r="W108" i="1" a="1"/>
  <c r="W108" i="1" s="1"/>
  <c r="W109" i="1" a="1"/>
  <c r="W109" i="1" s="1"/>
  <c r="W110" i="1" a="1"/>
  <c r="W110" i="1" s="1"/>
  <c r="W111" i="1" a="1"/>
  <c r="W111" i="1" s="1"/>
  <c r="W112" i="1" a="1"/>
  <c r="W112" i="1" s="1"/>
  <c r="W113" i="1" a="1"/>
  <c r="W113" i="1" s="1"/>
  <c r="W114" i="1" a="1"/>
  <c r="W114" i="1" s="1"/>
  <c r="W115" i="1" a="1"/>
  <c r="W115" i="1" s="1"/>
  <c r="W116" i="1" a="1"/>
  <c r="W116" i="1" s="1"/>
  <c r="W117" i="1" a="1"/>
  <c r="W117" i="1" s="1"/>
  <c r="W118" i="1" a="1"/>
  <c r="W118" i="1" s="1"/>
  <c r="W119" i="1" a="1"/>
  <c r="W119" i="1" s="1"/>
  <c r="W120" i="1" a="1"/>
  <c r="W120" i="1" s="1"/>
  <c r="W121" i="1" a="1"/>
  <c r="W121" i="1"/>
  <c r="W122" i="1" a="1"/>
  <c r="W122" i="1" s="1"/>
  <c r="W123" i="1" a="1"/>
  <c r="W123" i="1" s="1"/>
  <c r="W124" i="1" a="1"/>
  <c r="W124" i="1" s="1"/>
  <c r="W125" i="1" a="1"/>
  <c r="W125" i="1" s="1"/>
  <c r="W126" i="1" a="1"/>
  <c r="W126" i="1" s="1"/>
  <c r="W127" i="1" a="1"/>
  <c r="W127" i="1" s="1"/>
  <c r="W128" i="1" a="1"/>
  <c r="W128" i="1" s="1"/>
  <c r="W129" i="1" a="1"/>
  <c r="W129" i="1" s="1"/>
  <c r="W130" i="1" a="1"/>
  <c r="W130" i="1" s="1"/>
  <c r="W131" i="1" a="1"/>
  <c r="W131" i="1" s="1"/>
  <c r="W132" i="1" a="1"/>
  <c r="W132" i="1" s="1"/>
  <c r="W133" i="1" a="1"/>
  <c r="W133" i="1" s="1"/>
  <c r="W134" i="1" a="1"/>
  <c r="W134" i="1" s="1"/>
  <c r="W135" i="1" a="1"/>
  <c r="W135" i="1" s="1"/>
  <c r="W136" i="1" a="1"/>
  <c r="W136" i="1" s="1"/>
  <c r="W137" i="1" a="1"/>
  <c r="W137" i="1"/>
  <c r="W138" i="1" a="1"/>
  <c r="W138" i="1" s="1"/>
  <c r="W139" i="1" a="1"/>
  <c r="W139" i="1" s="1"/>
  <c r="W140" i="1" a="1"/>
  <c r="W140" i="1" s="1"/>
  <c r="W141" i="1" a="1"/>
  <c r="W141" i="1" s="1"/>
  <c r="W142" i="1" a="1"/>
  <c r="W142" i="1" s="1"/>
  <c r="W143" i="1" a="1"/>
  <c r="W143" i="1" s="1"/>
  <c r="W144" i="1" a="1"/>
  <c r="W144" i="1"/>
  <c r="W145" i="1" a="1"/>
  <c r="W145" i="1" s="1"/>
  <c r="W146" i="1" a="1"/>
  <c r="W146" i="1" s="1"/>
  <c r="W147" i="1" a="1"/>
  <c r="W147" i="1" s="1"/>
  <c r="W148" i="1" a="1"/>
  <c r="W148" i="1" s="1"/>
  <c r="W149" i="1" a="1"/>
  <c r="W149" i="1" s="1"/>
  <c r="W150" i="1" a="1"/>
  <c r="W150" i="1" s="1"/>
  <c r="W151" i="1" a="1"/>
  <c r="W151" i="1" s="1"/>
  <c r="W152" i="1" a="1"/>
  <c r="W152" i="1"/>
  <c r="W153" i="1" a="1"/>
  <c r="W153" i="1" s="1"/>
  <c r="W154" i="1" a="1"/>
  <c r="W154" i="1" s="1"/>
  <c r="W155" i="1" a="1"/>
  <c r="W155" i="1" s="1"/>
  <c r="W156" i="1" a="1"/>
  <c r="W156" i="1" s="1"/>
  <c r="W157" i="1" a="1"/>
  <c r="W157" i="1" s="1"/>
  <c r="W158" i="1" a="1"/>
  <c r="W158" i="1" s="1"/>
  <c r="W159" i="1" a="1"/>
  <c r="W159" i="1" s="1"/>
  <c r="W160" i="1" a="1"/>
  <c r="W160" i="1" s="1"/>
  <c r="W161" i="1" a="1"/>
  <c r="W161" i="1" s="1"/>
  <c r="W162" i="1" a="1"/>
  <c r="W162" i="1" s="1"/>
  <c r="W163" i="1" a="1"/>
  <c r="W163" i="1" s="1"/>
  <c r="W164" i="1" a="1"/>
  <c r="W164" i="1" s="1"/>
  <c r="W165" i="1" a="1"/>
  <c r="W165" i="1" s="1"/>
  <c r="W166" i="1" a="1"/>
  <c r="W166" i="1" s="1"/>
  <c r="W167" i="1" a="1"/>
  <c r="W167" i="1" s="1"/>
  <c r="W168" i="1" a="1"/>
  <c r="W168" i="1"/>
  <c r="W169" i="1" a="1"/>
  <c r="W169" i="1"/>
  <c r="W170" i="1" a="1"/>
  <c r="W170" i="1" s="1"/>
  <c r="W171" i="1" a="1"/>
  <c r="W171" i="1" s="1"/>
  <c r="W172" i="1" a="1"/>
  <c r="W172" i="1" s="1"/>
  <c r="W173" i="1" a="1"/>
  <c r="W173" i="1" s="1"/>
  <c r="W174" i="1" a="1"/>
  <c r="W174" i="1" s="1"/>
  <c r="W175" i="1" a="1"/>
  <c r="W175" i="1" s="1"/>
  <c r="W176" i="1" a="1"/>
  <c r="W176" i="1"/>
  <c r="W177" i="1" a="1"/>
  <c r="W177" i="1"/>
  <c r="W178" i="1" a="1"/>
  <c r="W178" i="1" s="1"/>
  <c r="W179" i="1" a="1"/>
  <c r="W179" i="1" s="1"/>
  <c r="W180" i="1" a="1"/>
  <c r="W180" i="1" s="1"/>
  <c r="W181" i="1" a="1"/>
  <c r="W181" i="1" s="1"/>
  <c r="W182" i="1" a="1"/>
  <c r="W182" i="1" s="1"/>
  <c r="W183" i="1" a="1"/>
  <c r="W183" i="1" s="1"/>
  <c r="W184" i="1" a="1"/>
  <c r="W184" i="1" s="1"/>
  <c r="W185" i="1" a="1"/>
  <c r="W185" i="1" s="1"/>
  <c r="W186" i="1" a="1"/>
  <c r="W186" i="1" s="1"/>
  <c r="W187" i="1" a="1"/>
  <c r="W187" i="1" s="1"/>
  <c r="W188" i="1" a="1"/>
  <c r="W188" i="1" s="1"/>
  <c r="W189" i="1" a="1"/>
  <c r="W189" i="1" s="1"/>
  <c r="W190" i="1" a="1"/>
  <c r="W190" i="1" s="1"/>
  <c r="W191" i="1" a="1"/>
  <c r="W191" i="1" s="1"/>
  <c r="W192" i="1" a="1"/>
  <c r="W192" i="1" s="1"/>
  <c r="W193" i="1" a="1"/>
  <c r="W193" i="1"/>
  <c r="W194" i="1" a="1"/>
  <c r="W194" i="1" s="1"/>
  <c r="W195" i="1" a="1"/>
  <c r="W195" i="1" s="1"/>
  <c r="W196" i="1" a="1"/>
  <c r="W196" i="1" s="1"/>
  <c r="W197" i="1" a="1"/>
  <c r="W197" i="1" s="1"/>
  <c r="W198" i="1" a="1"/>
  <c r="W198" i="1" s="1"/>
  <c r="W199" i="1" a="1"/>
  <c r="W199" i="1" s="1"/>
  <c r="W200" i="1" a="1"/>
  <c r="W200" i="1" s="1"/>
  <c r="W201" i="1" a="1"/>
  <c r="W201" i="1"/>
  <c r="W202" i="1" a="1"/>
  <c r="W202" i="1" s="1"/>
  <c r="W203" i="1" a="1"/>
  <c r="W203" i="1" s="1"/>
  <c r="W204" i="1" a="1"/>
  <c r="W204" i="1" s="1"/>
  <c r="W205" i="1" a="1"/>
  <c r="W205" i="1" s="1"/>
  <c r="W206" i="1" a="1"/>
  <c r="W206" i="1" s="1"/>
  <c r="W207" i="1" a="1"/>
  <c r="W207" i="1" s="1"/>
  <c r="W208" i="1" a="1"/>
  <c r="W208" i="1"/>
  <c r="W209" i="1" a="1"/>
  <c r="W209" i="1" s="1"/>
  <c r="W210" i="1" a="1"/>
  <c r="W210" i="1" s="1"/>
  <c r="W211" i="1" a="1"/>
  <c r="W211" i="1" s="1"/>
  <c r="W212" i="1" a="1"/>
  <c r="W212" i="1" s="1"/>
  <c r="W213" i="1" a="1"/>
  <c r="W213" i="1" s="1"/>
  <c r="W214" i="1" a="1"/>
  <c r="W214" i="1" s="1"/>
  <c r="W215" i="1" a="1"/>
  <c r="W215" i="1" s="1"/>
  <c r="W216" i="1" a="1"/>
  <c r="W216" i="1"/>
  <c r="W217" i="1" a="1"/>
  <c r="W217" i="1" s="1"/>
  <c r="W218" i="1" a="1"/>
  <c r="W218" i="1" s="1"/>
  <c r="W219" i="1" a="1"/>
  <c r="W219" i="1" s="1"/>
  <c r="W220" i="1" a="1"/>
  <c r="W220" i="1" s="1"/>
  <c r="W221" i="1" a="1"/>
  <c r="W221" i="1" s="1"/>
  <c r="W222" i="1" a="1"/>
  <c r="W222" i="1" s="1"/>
  <c r="W223" i="1" a="1"/>
  <c r="W223" i="1" s="1"/>
  <c r="W224" i="1" a="1"/>
  <c r="W224" i="1" s="1"/>
  <c r="W225" i="1" a="1"/>
  <c r="W225" i="1" s="1"/>
  <c r="W226" i="1" a="1"/>
  <c r="W226" i="1" s="1"/>
  <c r="W227" i="1" a="1"/>
  <c r="W227" i="1" s="1"/>
  <c r="W228" i="1" a="1"/>
  <c r="W228" i="1" s="1"/>
  <c r="W229" i="1" a="1"/>
  <c r="W229" i="1" s="1"/>
  <c r="W230" i="1" a="1"/>
  <c r="W230" i="1" s="1"/>
  <c r="W231" i="1" a="1"/>
  <c r="W231" i="1" s="1"/>
  <c r="W232" i="1" a="1"/>
  <c r="W232" i="1"/>
  <c r="W233" i="1" a="1"/>
  <c r="W233" i="1"/>
  <c r="W234" i="1" a="1"/>
  <c r="W234" i="1" s="1"/>
  <c r="W235" i="1" a="1"/>
  <c r="W235" i="1" s="1"/>
  <c r="W236" i="1" a="1"/>
  <c r="W236" i="1" s="1"/>
  <c r="W237" i="1" a="1"/>
  <c r="W237" i="1" s="1"/>
  <c r="W238" i="1" a="1"/>
  <c r="W238" i="1" s="1"/>
  <c r="W239" i="1" a="1"/>
  <c r="W239" i="1" s="1"/>
  <c r="W240" i="1" a="1"/>
  <c r="W240" i="1"/>
  <c r="W241" i="1" a="1"/>
  <c r="W241" i="1"/>
  <c r="W242" i="1" a="1"/>
  <c r="W242" i="1" s="1"/>
  <c r="W243" i="1" a="1"/>
  <c r="W243" i="1" s="1"/>
  <c r="W244" i="1" a="1"/>
  <c r="W244" i="1" s="1"/>
  <c r="W245" i="1" a="1"/>
  <c r="W245" i="1" s="1"/>
  <c r="W246" i="1" a="1"/>
  <c r="W246" i="1" s="1"/>
  <c r="W247" i="1" a="1"/>
  <c r="W247" i="1" s="1"/>
  <c r="W248" i="1" a="1"/>
  <c r="W248" i="1" s="1"/>
  <c r="W249" i="1" a="1"/>
  <c r="W249" i="1" s="1"/>
  <c r="W250" i="1" a="1"/>
  <c r="W250" i="1" s="1"/>
  <c r="W251" i="1" a="1"/>
  <c r="W251" i="1" s="1"/>
  <c r="W252" i="1" a="1"/>
  <c r="W252" i="1" s="1"/>
  <c r="W253" i="1" a="1"/>
  <c r="W253" i="1" s="1"/>
  <c r="W254" i="1" a="1"/>
  <c r="W254" i="1" s="1"/>
  <c r="W255" i="1" a="1"/>
  <c r="W255" i="1" s="1"/>
  <c r="W256" i="1" a="1"/>
  <c r="W256" i="1" s="1"/>
  <c r="W257" i="1" a="1"/>
  <c r="W257" i="1" s="1"/>
  <c r="W258" i="1" a="1"/>
  <c r="W258" i="1" s="1"/>
  <c r="W259" i="1" a="1"/>
  <c r="W259" i="1" s="1"/>
  <c r="W260" i="1" a="1"/>
  <c r="W260" i="1" s="1"/>
  <c r="W261" i="1" a="1"/>
  <c r="W261" i="1" s="1"/>
  <c r="W262" i="1" a="1"/>
  <c r="W262" i="1" s="1"/>
  <c r="W263" i="1" a="1"/>
  <c r="W263" i="1" s="1"/>
  <c r="W264" i="1" a="1"/>
  <c r="W264" i="1" s="1"/>
  <c r="W265" i="1" a="1"/>
  <c r="W265" i="1"/>
  <c r="W266" i="1" a="1"/>
  <c r="W266" i="1" s="1"/>
  <c r="W267" i="1" a="1"/>
  <c r="W267" i="1" s="1"/>
  <c r="W268" i="1" a="1"/>
  <c r="W268" i="1" s="1"/>
  <c r="W269" i="1" a="1"/>
  <c r="W269" i="1" s="1"/>
  <c r="W270" i="1" a="1"/>
  <c r="W270" i="1" s="1"/>
  <c r="W271" i="1" a="1"/>
  <c r="W271" i="1" s="1"/>
  <c r="W272" i="1" a="1"/>
  <c r="W272" i="1"/>
  <c r="W273" i="1" a="1"/>
  <c r="W273" i="1" s="1"/>
  <c r="W274" i="1" a="1"/>
  <c r="W274" i="1" s="1"/>
  <c r="W275" i="1" a="1"/>
  <c r="W275" i="1" s="1"/>
  <c r="W276" i="1" a="1"/>
  <c r="W276" i="1" s="1"/>
  <c r="W277" i="1" a="1"/>
  <c r="W277" i="1" s="1"/>
  <c r="W278" i="1" a="1"/>
  <c r="W278" i="1" s="1"/>
  <c r="W279" i="1" a="1"/>
  <c r="W279" i="1" s="1"/>
  <c r="W280" i="1" a="1"/>
  <c r="W280" i="1"/>
  <c r="W281" i="1" a="1"/>
  <c r="W281" i="1" s="1"/>
  <c r="W282" i="1" a="1"/>
  <c r="W282" i="1" s="1"/>
  <c r="W283" i="1" a="1"/>
  <c r="W283" i="1" s="1"/>
  <c r="W284" i="1" a="1"/>
  <c r="W284" i="1" s="1"/>
  <c r="W285" i="1" a="1"/>
  <c r="W285" i="1" s="1"/>
  <c r="W286" i="1" a="1"/>
  <c r="W286" i="1" s="1"/>
  <c r="W287" i="1" a="1"/>
  <c r="W287" i="1" s="1"/>
  <c r="W288" i="1" a="1"/>
  <c r="W288" i="1" s="1"/>
  <c r="W289" i="1" a="1"/>
  <c r="W289" i="1" s="1"/>
  <c r="W290" i="1" a="1"/>
  <c r="W290" i="1" s="1"/>
  <c r="W291" i="1" a="1"/>
  <c r="W291" i="1" s="1"/>
  <c r="W292" i="1" a="1"/>
  <c r="W292" i="1" s="1"/>
  <c r="W293" i="1" a="1"/>
  <c r="W293" i="1" s="1"/>
  <c r="W294" i="1" a="1"/>
  <c r="W294" i="1" s="1"/>
  <c r="W295" i="1" a="1"/>
  <c r="W295" i="1" s="1"/>
  <c r="W296" i="1" a="1"/>
  <c r="W296" i="1" s="1"/>
  <c r="W297" i="1" a="1"/>
  <c r="W297" i="1" s="1"/>
  <c r="W298" i="1" a="1"/>
  <c r="W298" i="1" s="1"/>
  <c r="W299" i="1" a="1"/>
  <c r="W299" i="1" s="1"/>
  <c r="W300" i="1" a="1"/>
  <c r="W300" i="1" s="1"/>
  <c r="W301" i="1" a="1"/>
  <c r="W301" i="1" s="1"/>
  <c r="W302" i="1" a="1"/>
  <c r="W302" i="1" s="1"/>
  <c r="W303" i="1" a="1"/>
  <c r="W303" i="1" s="1"/>
  <c r="W304" i="1" a="1"/>
  <c r="W304" i="1"/>
  <c r="W305" i="1" a="1"/>
  <c r="W305" i="1"/>
  <c r="W306" i="1" a="1"/>
  <c r="W306" i="1" s="1"/>
  <c r="W307" i="1" a="1"/>
  <c r="W307" i="1" s="1"/>
  <c r="W308" i="1" a="1"/>
  <c r="W308" i="1" s="1"/>
  <c r="W309" i="1" a="1"/>
  <c r="W309" i="1" s="1"/>
  <c r="W310" i="1" a="1"/>
  <c r="W310" i="1" s="1"/>
  <c r="W311" i="1" a="1"/>
  <c r="W311" i="1" s="1"/>
  <c r="W312" i="1" a="1"/>
  <c r="W312" i="1" s="1"/>
  <c r="W313" i="1" a="1"/>
  <c r="W313" i="1" s="1"/>
  <c r="W314" i="1" a="1"/>
  <c r="W314" i="1" s="1"/>
  <c r="W315" i="1" a="1"/>
  <c r="W315" i="1" s="1"/>
  <c r="W316" i="1" a="1"/>
  <c r="W316" i="1" s="1"/>
  <c r="W317" i="1" a="1"/>
  <c r="W317" i="1" s="1"/>
  <c r="W318" i="1" a="1"/>
  <c r="W318" i="1" s="1"/>
  <c r="W319" i="1" a="1"/>
  <c r="W319" i="1" s="1"/>
  <c r="W320" i="1" a="1"/>
  <c r="W320" i="1" s="1"/>
  <c r="W321" i="1" a="1"/>
  <c r="W321" i="1" s="1"/>
  <c r="W322" i="1" a="1"/>
  <c r="W322" i="1" s="1"/>
  <c r="W323" i="1" a="1"/>
  <c r="W323" i="1" s="1"/>
  <c r="W324" i="1" a="1"/>
  <c r="W324" i="1" s="1"/>
  <c r="W325" i="1" a="1"/>
  <c r="W325" i="1" s="1"/>
  <c r="W326" i="1" a="1"/>
  <c r="W326" i="1" s="1"/>
  <c r="W327" i="1" a="1"/>
  <c r="W327" i="1" s="1"/>
  <c r="W328" i="1" a="1"/>
  <c r="W328" i="1" s="1"/>
  <c r="W329" i="1" a="1"/>
  <c r="W329" i="1"/>
  <c r="W330" i="1" a="1"/>
  <c r="W330" i="1" s="1"/>
  <c r="W331" i="1" a="1"/>
  <c r="W331" i="1" s="1"/>
  <c r="W332" i="1" a="1"/>
  <c r="W332" i="1" s="1"/>
  <c r="W333" i="1" a="1"/>
  <c r="W333" i="1" s="1"/>
  <c r="W334" i="1" a="1"/>
  <c r="W334" i="1" s="1"/>
  <c r="W335" i="1" a="1"/>
  <c r="W335" i="1" s="1"/>
  <c r="W336" i="1" a="1"/>
  <c r="W336" i="1" s="1"/>
  <c r="W337" i="1" a="1"/>
  <c r="W337" i="1" s="1"/>
  <c r="W338" i="1" a="1"/>
  <c r="W338" i="1" s="1"/>
  <c r="W339" i="1" a="1"/>
  <c r="W339" i="1" s="1"/>
  <c r="W340" i="1" a="1"/>
  <c r="W340" i="1" s="1"/>
  <c r="W341" i="1" a="1"/>
  <c r="W341" i="1" s="1"/>
  <c r="W342" i="1" a="1"/>
  <c r="W342" i="1" s="1"/>
  <c r="W343" i="1" a="1"/>
  <c r="W343" i="1" s="1"/>
  <c r="W344" i="1" a="1"/>
  <c r="W344" i="1"/>
  <c r="W345" i="1" a="1"/>
  <c r="W345" i="1" s="1"/>
  <c r="W346" i="1" a="1"/>
  <c r="W346" i="1" s="1"/>
  <c r="W347" i="1" a="1"/>
  <c r="W347" i="1" s="1"/>
  <c r="W348" i="1" a="1"/>
  <c r="W348" i="1" s="1"/>
  <c r="W349" i="1" a="1"/>
  <c r="W349" i="1" s="1"/>
  <c r="W350" i="1" a="1"/>
  <c r="W350" i="1" s="1"/>
  <c r="W351" i="1" a="1"/>
  <c r="W351" i="1" s="1"/>
  <c r="W352" i="1" a="1"/>
  <c r="W352" i="1" s="1"/>
  <c r="W353" i="1" a="1"/>
  <c r="W353" i="1" s="1"/>
  <c r="W354" i="1" a="1"/>
  <c r="W354" i="1" s="1"/>
  <c r="W355" i="1" a="1"/>
  <c r="W355" i="1" s="1"/>
  <c r="W356" i="1" a="1"/>
  <c r="W356" i="1" s="1"/>
  <c r="W357" i="1" a="1"/>
  <c r="W357" i="1" s="1"/>
  <c r="W358" i="1" a="1"/>
  <c r="W358" i="1" s="1"/>
  <c r="W359" i="1" a="1"/>
  <c r="W359" i="1"/>
  <c r="W360" i="1" a="1"/>
  <c r="W360" i="1" s="1"/>
  <c r="W361" i="1" a="1"/>
  <c r="W361" i="1"/>
  <c r="W362" i="1" a="1"/>
  <c r="W362" i="1" s="1"/>
  <c r="W363" i="1" a="1"/>
  <c r="W363" i="1" s="1"/>
  <c r="W364" i="1" a="1"/>
  <c r="W364" i="1" s="1"/>
  <c r="W365" i="1" a="1"/>
  <c r="W365" i="1" s="1"/>
  <c r="W366" i="1" a="1"/>
  <c r="W366" i="1" s="1"/>
  <c r="W367" i="1" a="1"/>
  <c r="W367" i="1"/>
  <c r="W368" i="1" a="1"/>
  <c r="W368" i="1"/>
  <c r="W369" i="1" a="1"/>
  <c r="W369" i="1" s="1"/>
  <c r="W370" i="1" a="1"/>
  <c r="W370" i="1" s="1"/>
  <c r="W371" i="1" a="1"/>
  <c r="W371" i="1" s="1"/>
  <c r="W372" i="1" a="1"/>
  <c r="W372" i="1" s="1"/>
  <c r="W373" i="1" a="1"/>
  <c r="W373" i="1" s="1"/>
  <c r="W374" i="1" a="1"/>
  <c r="W374" i="1" s="1"/>
  <c r="W375" i="1" a="1"/>
  <c r="W375" i="1"/>
  <c r="W376" i="1" a="1"/>
  <c r="W376" i="1"/>
  <c r="W377" i="1" a="1"/>
  <c r="W377" i="1"/>
  <c r="W378" i="1" a="1"/>
  <c r="W378" i="1" s="1"/>
  <c r="W379" i="1" a="1"/>
  <c r="W379" i="1" s="1"/>
  <c r="W380" i="1" a="1"/>
  <c r="W380" i="1" s="1"/>
  <c r="W381" i="1" a="1"/>
  <c r="W381" i="1" s="1"/>
  <c r="W382" i="1" a="1"/>
  <c r="W382" i="1" s="1"/>
  <c r="W383" i="1" a="1"/>
  <c r="W383" i="1" s="1"/>
  <c r="W384" i="1" a="1"/>
  <c r="W384" i="1" s="1"/>
  <c r="W385" i="1" a="1"/>
  <c r="W385" i="1" s="1"/>
  <c r="W386" i="1" a="1"/>
  <c r="W386" i="1" s="1"/>
  <c r="W387" i="1" a="1"/>
  <c r="W387" i="1" s="1"/>
  <c r="W388" i="1" a="1"/>
  <c r="W388" i="1" s="1"/>
  <c r="W389" i="1" a="1"/>
  <c r="W389" i="1" s="1"/>
  <c r="W390" i="1" a="1"/>
  <c r="W390" i="1" s="1"/>
  <c r="W391" i="1" a="1"/>
  <c r="W391" i="1"/>
  <c r="W392" i="1" a="1"/>
  <c r="W392" i="1" s="1"/>
  <c r="W393" i="1" a="1"/>
  <c r="W393" i="1"/>
  <c r="W394" i="1" a="1"/>
  <c r="W394" i="1" s="1"/>
  <c r="W395" i="1" a="1"/>
  <c r="W395" i="1" s="1"/>
  <c r="W396" i="1" a="1"/>
  <c r="W396" i="1" s="1"/>
  <c r="W397" i="1" a="1"/>
  <c r="W397" i="1" s="1"/>
  <c r="W398" i="1" a="1"/>
  <c r="W398" i="1" s="1"/>
  <c r="W399" i="1" a="1"/>
  <c r="W399" i="1" s="1"/>
  <c r="W400" i="1" a="1"/>
  <c r="W400" i="1" s="1"/>
  <c r="W401" i="1" a="1"/>
  <c r="W401" i="1"/>
  <c r="W402" i="1" a="1"/>
  <c r="W402" i="1" s="1"/>
  <c r="W403" i="1" a="1"/>
  <c r="W403" i="1" s="1"/>
  <c r="W404" i="1" a="1"/>
  <c r="W404" i="1" s="1"/>
  <c r="W405" i="1" a="1"/>
  <c r="W405" i="1" s="1"/>
  <c r="W406" i="1" a="1"/>
  <c r="W406" i="1" s="1"/>
  <c r="W407" i="1" a="1"/>
  <c r="W407" i="1" s="1"/>
  <c r="W408" i="1" a="1"/>
  <c r="W408" i="1"/>
  <c r="W409" i="1" a="1"/>
  <c r="W409" i="1"/>
  <c r="W410" i="1" a="1"/>
  <c r="W410" i="1" s="1"/>
  <c r="W411" i="1" a="1"/>
  <c r="W411" i="1" s="1"/>
  <c r="W412" i="1" a="1"/>
  <c r="W412" i="1" s="1"/>
  <c r="W413" i="1" a="1"/>
  <c r="W413" i="1" s="1"/>
  <c r="W414" i="1" a="1"/>
  <c r="W414" i="1" s="1"/>
  <c r="W415" i="1" a="1"/>
  <c r="W415" i="1"/>
  <c r="W416" i="1" a="1"/>
  <c r="W416" i="1" s="1"/>
  <c r="W417" i="1" a="1"/>
  <c r="W417" i="1"/>
  <c r="W418" i="1" a="1"/>
  <c r="W418" i="1" s="1"/>
  <c r="W419" i="1" a="1"/>
  <c r="W419" i="1" s="1"/>
  <c r="W420" i="1" a="1"/>
  <c r="W420" i="1" s="1"/>
  <c r="W421" i="1" a="1"/>
  <c r="W421" i="1" s="1"/>
  <c r="W422" i="1" a="1"/>
  <c r="W422" i="1" s="1"/>
  <c r="W423" i="1" a="1"/>
  <c r="W423" i="1" s="1"/>
  <c r="W424" i="1" a="1"/>
  <c r="W424" i="1"/>
  <c r="W425" i="1" a="1"/>
  <c r="W425" i="1"/>
  <c r="W426" i="1" a="1"/>
  <c r="W426" i="1" s="1"/>
  <c r="W427" i="1" a="1"/>
  <c r="W427" i="1" s="1"/>
  <c r="W428" i="1" a="1"/>
  <c r="W428" i="1" s="1"/>
  <c r="W429" i="1" a="1"/>
  <c r="W429" i="1" s="1"/>
  <c r="W430" i="1" a="1"/>
  <c r="W430" i="1" s="1"/>
  <c r="W431" i="1" a="1"/>
  <c r="W431" i="1"/>
  <c r="W432" i="1" a="1"/>
  <c r="W432" i="1" s="1"/>
  <c r="W433" i="1" a="1"/>
  <c r="W433" i="1" s="1"/>
  <c r="W434" i="1" a="1"/>
  <c r="W434" i="1" s="1"/>
  <c r="W435" i="1" a="1"/>
  <c r="W435" i="1" s="1"/>
  <c r="W436" i="1" a="1"/>
  <c r="W436" i="1" s="1"/>
  <c r="W437" i="1" a="1"/>
  <c r="W437" i="1" s="1"/>
  <c r="W438" i="1" a="1"/>
  <c r="W438" i="1" s="1"/>
  <c r="W439" i="1" a="1"/>
  <c r="W439" i="1" s="1"/>
  <c r="W440" i="1" a="1"/>
  <c r="W440" i="1"/>
  <c r="W441" i="1" a="1"/>
  <c r="W441" i="1" s="1"/>
  <c r="W442" i="1" a="1"/>
  <c r="W442" i="1" s="1"/>
  <c r="W443" i="1" a="1"/>
  <c r="W443" i="1" s="1"/>
  <c r="W444" i="1" a="1"/>
  <c r="W444" i="1" s="1"/>
  <c r="W445" i="1" a="1"/>
  <c r="W445" i="1" s="1"/>
  <c r="W446" i="1" a="1"/>
  <c r="W446" i="1" s="1"/>
  <c r="W447" i="1" a="1"/>
  <c r="W447" i="1" s="1"/>
  <c r="W448" i="1" a="1"/>
  <c r="W448" i="1"/>
  <c r="W449" i="1" a="1"/>
  <c r="W449" i="1"/>
  <c r="W450" i="1" a="1"/>
  <c r="W450" i="1" s="1"/>
  <c r="W451" i="1" a="1"/>
  <c r="W451" i="1" s="1"/>
  <c r="W452" i="1" a="1"/>
  <c r="W452" i="1" s="1"/>
  <c r="W453" i="1" a="1"/>
  <c r="W453" i="1" s="1"/>
  <c r="W454" i="1" a="1"/>
  <c r="W454" i="1" s="1"/>
  <c r="W455" i="1" a="1"/>
  <c r="W455" i="1"/>
  <c r="W456" i="1" a="1"/>
  <c r="W456" i="1"/>
  <c r="W457" i="1" a="1"/>
  <c r="W457" i="1" s="1"/>
  <c r="W458" i="1" a="1"/>
  <c r="W458" i="1" s="1"/>
  <c r="W459" i="1" a="1"/>
  <c r="W459" i="1" s="1"/>
  <c r="W460" i="1" a="1"/>
  <c r="W460" i="1" s="1"/>
  <c r="W461" i="1" a="1"/>
  <c r="W461" i="1" s="1"/>
  <c r="W462" i="1" a="1"/>
  <c r="W462" i="1" s="1"/>
  <c r="W463" i="1" a="1"/>
  <c r="W463" i="1" s="1"/>
  <c r="W464" i="1" a="1"/>
  <c r="W464" i="1"/>
  <c r="W465" i="1" a="1"/>
  <c r="W465" i="1"/>
  <c r="W466" i="1" a="1"/>
  <c r="W466" i="1" s="1"/>
  <c r="W467" i="1" a="1"/>
  <c r="W467" i="1" s="1"/>
  <c r="W468" i="1" a="1"/>
  <c r="W468" i="1" s="1"/>
  <c r="W469" i="1" a="1"/>
  <c r="W469" i="1" s="1"/>
  <c r="W470" i="1" a="1"/>
  <c r="W470" i="1" s="1"/>
  <c r="W471" i="1" a="1"/>
  <c r="W471" i="1"/>
  <c r="W472" i="1" a="1"/>
  <c r="W472" i="1"/>
  <c r="W473" i="1" a="1"/>
  <c r="W473" i="1" s="1"/>
  <c r="W474" i="1" a="1"/>
  <c r="W474" i="1" s="1"/>
  <c r="W475" i="1" a="1"/>
  <c r="W475" i="1" s="1"/>
  <c r="W476" i="1" a="1"/>
  <c r="W476" i="1" s="1"/>
  <c r="W477" i="1" a="1"/>
  <c r="W477" i="1" s="1"/>
  <c r="W478" i="1" a="1"/>
  <c r="W478" i="1" s="1"/>
  <c r="W479" i="1" a="1"/>
  <c r="W479" i="1" s="1"/>
  <c r="W480" i="1" a="1"/>
  <c r="W480" i="1" s="1"/>
  <c r="W481" i="1" a="1"/>
  <c r="W481" i="1" s="1"/>
  <c r="W482" i="1" a="1"/>
  <c r="W482" i="1" s="1"/>
  <c r="W483" i="1" a="1"/>
  <c r="W483" i="1" s="1"/>
  <c r="W484" i="1" a="1"/>
  <c r="W484" i="1" s="1"/>
  <c r="W485" i="1" a="1"/>
  <c r="W485" i="1" s="1"/>
  <c r="W486" i="1" a="1"/>
  <c r="W486" i="1" s="1"/>
  <c r="W487" i="1" a="1"/>
  <c r="W487" i="1"/>
  <c r="W488" i="1" a="1"/>
  <c r="W488" i="1" s="1"/>
  <c r="W489" i="1" a="1"/>
  <c r="W489" i="1"/>
  <c r="W490" i="1" a="1"/>
  <c r="W490" i="1" s="1"/>
  <c r="W491" i="1" a="1"/>
  <c r="W491" i="1" s="1"/>
  <c r="W492" i="1" a="1"/>
  <c r="W492" i="1" s="1"/>
  <c r="W493" i="1" a="1"/>
  <c r="W493" i="1" s="1"/>
  <c r="W494" i="1" a="1"/>
  <c r="W494" i="1" s="1"/>
  <c r="W495" i="1" a="1"/>
  <c r="W495" i="1"/>
  <c r="W496" i="1" a="1"/>
  <c r="W496" i="1"/>
  <c r="W497" i="1" a="1"/>
  <c r="W497" i="1" s="1"/>
  <c r="W498" i="1" a="1"/>
  <c r="W498" i="1" s="1"/>
  <c r="W499" i="1" a="1"/>
  <c r="W499" i="1" s="1"/>
  <c r="W500" i="1" a="1"/>
  <c r="W500" i="1" s="1"/>
  <c r="W501" i="1" a="1"/>
  <c r="W501" i="1" s="1"/>
  <c r="W502" i="1" a="1"/>
  <c r="W502" i="1" s="1"/>
  <c r="W503" i="1" a="1"/>
  <c r="W503" i="1"/>
  <c r="W504" i="1" a="1"/>
  <c r="W504" i="1" s="1"/>
  <c r="W505" i="1" a="1"/>
  <c r="W505" i="1"/>
  <c r="W506" i="1" a="1"/>
  <c r="W506" i="1" s="1"/>
  <c r="W507" i="1" a="1"/>
  <c r="W507" i="1" s="1"/>
  <c r="W508" i="1" a="1"/>
  <c r="W508" i="1" s="1"/>
  <c r="W509" i="1" a="1"/>
  <c r="W509" i="1" s="1"/>
  <c r="W510" i="1" a="1"/>
  <c r="W510" i="1" s="1"/>
  <c r="W511" i="1" a="1"/>
  <c r="W511" i="1"/>
  <c r="W512" i="1" a="1"/>
  <c r="W512" i="1"/>
  <c r="W513" i="1" a="1"/>
  <c r="W513" i="1" s="1"/>
  <c r="W514" i="1" a="1"/>
  <c r="W514" i="1" s="1"/>
  <c r="W515" i="1" a="1"/>
  <c r="W515" i="1" s="1"/>
  <c r="W516" i="1" a="1"/>
  <c r="W516" i="1" s="1"/>
  <c r="W517" i="1" a="1"/>
  <c r="W517" i="1" s="1"/>
  <c r="W518" i="1" a="1"/>
  <c r="W518" i="1"/>
  <c r="W519" i="1" a="1"/>
  <c r="W519" i="1"/>
  <c r="W520" i="1" a="1"/>
  <c r="W520" i="1" s="1"/>
  <c r="W521" i="1" a="1"/>
  <c r="W521" i="1" s="1"/>
  <c r="W522" i="1" a="1"/>
  <c r="W522" i="1" s="1"/>
  <c r="W523" i="1" a="1"/>
  <c r="W523" i="1" s="1"/>
  <c r="W524" i="1" a="1"/>
  <c r="W524" i="1" s="1"/>
  <c r="W525" i="1" a="1"/>
  <c r="W525" i="1" s="1"/>
  <c r="W526" i="1" a="1"/>
  <c r="W526" i="1" s="1"/>
  <c r="W527" i="1" a="1"/>
  <c r="W527" i="1" s="1"/>
  <c r="W528" i="1" a="1"/>
  <c r="W528" i="1"/>
  <c r="W529" i="1" a="1"/>
  <c r="W529" i="1"/>
  <c r="W530" i="1" a="1"/>
  <c r="W530" i="1" s="1"/>
  <c r="W531" i="1" a="1"/>
  <c r="W531" i="1" s="1"/>
  <c r="W532" i="1" a="1"/>
  <c r="W532" i="1" s="1"/>
  <c r="W533" i="1" a="1"/>
  <c r="W533" i="1" s="1"/>
  <c r="W534" i="1" a="1"/>
  <c r="W534" i="1"/>
  <c r="W535" i="1" a="1"/>
  <c r="W535" i="1" s="1"/>
  <c r="W536" i="1" a="1"/>
  <c r="W536" i="1" s="1"/>
  <c r="W537" i="1" a="1"/>
  <c r="W537" i="1" s="1"/>
  <c r="W538" i="1" a="1"/>
  <c r="W538" i="1" s="1"/>
  <c r="W539" i="1" a="1"/>
  <c r="W539" i="1" s="1"/>
  <c r="W540" i="1" a="1"/>
  <c r="W540" i="1" s="1"/>
  <c r="W541" i="1" a="1"/>
  <c r="W541" i="1" s="1"/>
  <c r="W542" i="1" a="1"/>
  <c r="W542" i="1" s="1"/>
  <c r="W543" i="1" a="1"/>
  <c r="W543" i="1" s="1"/>
  <c r="W544" i="1" a="1"/>
  <c r="W544" i="1" s="1"/>
  <c r="W545" i="1" a="1"/>
  <c r="W545" i="1" s="1"/>
  <c r="W546" i="1" a="1"/>
  <c r="W546" i="1" s="1"/>
  <c r="W547" i="1" a="1"/>
  <c r="W547" i="1" s="1"/>
  <c r="W548" i="1" a="1"/>
  <c r="W548" i="1" s="1"/>
  <c r="W549" i="1" a="1"/>
  <c r="W549" i="1" s="1"/>
  <c r="W550" i="1" a="1"/>
  <c r="W550" i="1"/>
  <c r="W551" i="1" a="1"/>
  <c r="W551" i="1"/>
  <c r="W552" i="1" a="1"/>
  <c r="W552" i="1" s="1"/>
  <c r="W553" i="1" a="1"/>
  <c r="W553" i="1" s="1"/>
  <c r="W554" i="1" a="1"/>
  <c r="W554" i="1" s="1"/>
  <c r="W555" i="1" a="1"/>
  <c r="W555" i="1" s="1"/>
  <c r="W556" i="1" a="1"/>
  <c r="W556" i="1" s="1"/>
  <c r="W557" i="1" a="1"/>
  <c r="W557" i="1" s="1"/>
  <c r="W558" i="1" a="1"/>
  <c r="W558" i="1" s="1"/>
  <c r="W559" i="1" a="1"/>
  <c r="W559" i="1" s="1"/>
  <c r="W560" i="1" a="1"/>
  <c r="W560" i="1"/>
  <c r="W561" i="1" a="1"/>
  <c r="W561" i="1"/>
  <c r="W562" i="1" a="1"/>
  <c r="W562" i="1" s="1"/>
  <c r="W563" i="1" a="1"/>
  <c r="W563" i="1" s="1"/>
  <c r="W564" i="1" a="1"/>
  <c r="W564" i="1" s="1"/>
  <c r="W565" i="1" a="1"/>
  <c r="W565" i="1" s="1"/>
  <c r="W566" i="1" a="1"/>
  <c r="W566" i="1" s="1"/>
  <c r="W567" i="1" a="1"/>
  <c r="W567" i="1" s="1"/>
  <c r="W568" i="1" a="1"/>
  <c r="W568" i="1" s="1"/>
  <c r="W569" i="1" a="1"/>
  <c r="W569" i="1" s="1"/>
  <c r="W570" i="1" a="1"/>
  <c r="W570" i="1" s="1"/>
  <c r="W571" i="1" a="1"/>
  <c r="W571" i="1" s="1"/>
  <c r="W572" i="1" a="1"/>
  <c r="W572" i="1" s="1"/>
  <c r="W573" i="1" a="1"/>
  <c r="W573" i="1" s="1"/>
  <c r="W574" i="1" a="1"/>
  <c r="W574" i="1" s="1"/>
  <c r="W575" i="1" a="1"/>
  <c r="W575" i="1" s="1"/>
  <c r="W576" i="1" a="1"/>
  <c r="W576" i="1" s="1"/>
  <c r="W577" i="1" a="1"/>
  <c r="W577" i="1" s="1"/>
  <c r="W578" i="1" a="1"/>
  <c r="W578" i="1" s="1"/>
  <c r="W579" i="1" a="1"/>
  <c r="W579" i="1" s="1"/>
  <c r="W580" i="1" a="1"/>
  <c r="W580" i="1" s="1"/>
  <c r="W581" i="1" a="1"/>
  <c r="W581" i="1" s="1"/>
  <c r="W582" i="1" a="1"/>
  <c r="W582" i="1"/>
  <c r="W583" i="1" a="1"/>
  <c r="W583" i="1"/>
  <c r="W584" i="1" a="1"/>
  <c r="W584" i="1" s="1"/>
  <c r="W585" i="1" a="1"/>
  <c r="W585" i="1" s="1"/>
  <c r="W586" i="1" a="1"/>
  <c r="W586" i="1" s="1"/>
  <c r="W587" i="1" a="1"/>
  <c r="W587" i="1" s="1"/>
  <c r="W588" i="1" a="1"/>
  <c r="W588" i="1" s="1"/>
  <c r="W589" i="1" a="1"/>
  <c r="W589" i="1" s="1"/>
  <c r="W590" i="1" a="1"/>
  <c r="W590" i="1" s="1"/>
  <c r="W591" i="1" a="1"/>
  <c r="W591" i="1" s="1"/>
  <c r="W592" i="1" a="1"/>
  <c r="W592" i="1"/>
  <c r="W593" i="1" a="1"/>
  <c r="W593" i="1"/>
  <c r="W594" i="1" a="1"/>
  <c r="W594" i="1" s="1"/>
  <c r="W595" i="1" a="1"/>
  <c r="W595" i="1" s="1"/>
  <c r="W596" i="1" a="1"/>
  <c r="W596" i="1" s="1"/>
  <c r="W597" i="1" a="1"/>
  <c r="W597" i="1" s="1"/>
  <c r="W598" i="1" a="1"/>
  <c r="W598" i="1" s="1"/>
  <c r="W599" i="1" a="1"/>
  <c r="W599" i="1" s="1"/>
  <c r="W600" i="1" a="1"/>
  <c r="W600" i="1" s="1"/>
  <c r="W601" i="1" a="1"/>
  <c r="W601" i="1" s="1"/>
  <c r="W602" i="1" a="1"/>
  <c r="W602" i="1" s="1"/>
  <c r="W603" i="1" a="1"/>
  <c r="W603" i="1" s="1"/>
  <c r="W604" i="1" a="1"/>
  <c r="W604" i="1" s="1"/>
  <c r="W605" i="1" a="1"/>
  <c r="W605" i="1" s="1"/>
  <c r="W606" i="1" a="1"/>
  <c r="W606" i="1" s="1"/>
  <c r="W607" i="1" a="1"/>
  <c r="W607" i="1" s="1"/>
  <c r="W608" i="1" a="1"/>
  <c r="W608" i="1" s="1"/>
  <c r="W609" i="1" a="1"/>
  <c r="W609" i="1" s="1"/>
  <c r="W610" i="1" a="1"/>
  <c r="W610" i="1" s="1"/>
  <c r="W611" i="1" a="1"/>
  <c r="W611" i="1" s="1"/>
  <c r="W612" i="1" a="1"/>
  <c r="W612" i="1" s="1"/>
  <c r="W613" i="1" a="1"/>
  <c r="W613" i="1" s="1"/>
  <c r="W614" i="1" a="1"/>
  <c r="W614" i="1"/>
  <c r="W615" i="1" a="1"/>
  <c r="W615" i="1"/>
  <c r="W616" i="1" a="1"/>
  <c r="W616" i="1" s="1"/>
  <c r="W617" i="1" a="1"/>
  <c r="W617" i="1" s="1"/>
  <c r="W618" i="1" a="1"/>
  <c r="W618" i="1" s="1"/>
  <c r="W619" i="1" a="1"/>
  <c r="W619" i="1" s="1"/>
  <c r="W620" i="1" a="1"/>
  <c r="W620" i="1" s="1"/>
  <c r="W621" i="1" a="1"/>
  <c r="W621" i="1" s="1"/>
  <c r="W622" i="1" a="1"/>
  <c r="W622" i="1" s="1"/>
  <c r="W623" i="1" a="1"/>
  <c r="W623" i="1" s="1"/>
  <c r="W624" i="1" a="1"/>
  <c r="W624" i="1"/>
  <c r="W625" i="1" a="1"/>
  <c r="W625" i="1"/>
  <c r="W626" i="1" a="1"/>
  <c r="W626" i="1" s="1"/>
  <c r="W627" i="1" a="1"/>
  <c r="W627" i="1" s="1"/>
  <c r="W628" i="1" a="1"/>
  <c r="W628" i="1" s="1"/>
  <c r="W629" i="1" a="1"/>
  <c r="W629" i="1" s="1"/>
  <c r="W630" i="1" a="1"/>
  <c r="W630" i="1" s="1"/>
  <c r="W631" i="1" a="1"/>
  <c r="W631" i="1" s="1"/>
  <c r="W632" i="1" a="1"/>
  <c r="W632" i="1" s="1"/>
  <c r="W633" i="1" a="1"/>
  <c r="W633" i="1" s="1"/>
  <c r="W634" i="1" a="1"/>
  <c r="W634" i="1" s="1"/>
  <c r="W635" i="1" a="1"/>
  <c r="W635" i="1" s="1"/>
  <c r="W636" i="1" a="1"/>
  <c r="W636" i="1" s="1"/>
  <c r="W637" i="1" a="1"/>
  <c r="W637" i="1" s="1"/>
  <c r="W638" i="1" a="1"/>
  <c r="W638" i="1" s="1"/>
  <c r="W639" i="1" a="1"/>
  <c r="W639" i="1" s="1"/>
  <c r="W640" i="1" a="1"/>
  <c r="W640" i="1" s="1"/>
  <c r="W641" i="1" a="1"/>
  <c r="W641" i="1" s="1"/>
  <c r="W642" i="1" a="1"/>
  <c r="W642" i="1" s="1"/>
  <c r="W643" i="1" a="1"/>
  <c r="W643" i="1" s="1"/>
  <c r="W644" i="1" a="1"/>
  <c r="W644" i="1" s="1"/>
  <c r="W645" i="1" a="1"/>
  <c r="W645" i="1" s="1"/>
  <c r="W646" i="1" a="1"/>
  <c r="W646" i="1"/>
  <c r="W647" i="1" a="1"/>
  <c r="W647" i="1"/>
  <c r="W648" i="1" a="1"/>
  <c r="W648" i="1" s="1"/>
  <c r="W649" i="1" a="1"/>
  <c r="W649" i="1" s="1"/>
  <c r="W650" i="1" a="1"/>
  <c r="W650" i="1" s="1"/>
  <c r="W651" i="1" a="1"/>
  <c r="W651" i="1" s="1"/>
  <c r="W652" i="1" a="1"/>
  <c r="W652" i="1" s="1"/>
  <c r="W653" i="1" a="1"/>
  <c r="W653" i="1" s="1"/>
  <c r="W654" i="1" a="1"/>
  <c r="W654" i="1" s="1"/>
  <c r="W655" i="1" a="1"/>
  <c r="W655" i="1" s="1"/>
  <c r="W656" i="1" a="1"/>
  <c r="W656" i="1"/>
  <c r="W657" i="1" a="1"/>
  <c r="W657" i="1"/>
  <c r="W658" i="1" a="1"/>
  <c r="W658" i="1" s="1"/>
  <c r="W659" i="1" a="1"/>
  <c r="W659" i="1" s="1"/>
  <c r="W660" i="1" a="1"/>
  <c r="W660" i="1" s="1"/>
  <c r="W661" i="1" a="1"/>
  <c r="W661" i="1" s="1"/>
  <c r="W662" i="1" a="1"/>
  <c r="W662" i="1" s="1"/>
  <c r="W663" i="1" a="1"/>
  <c r="W663" i="1" s="1"/>
  <c r="W664" i="1" a="1"/>
  <c r="W664" i="1" s="1"/>
  <c r="W665" i="1" a="1"/>
  <c r="W665" i="1" s="1"/>
  <c r="W666" i="1" a="1"/>
  <c r="W666" i="1" s="1"/>
  <c r="W667" i="1" a="1"/>
  <c r="W667" i="1" s="1"/>
  <c r="W668" i="1" a="1"/>
  <c r="W668" i="1" s="1"/>
  <c r="W669" i="1" a="1"/>
  <c r="W669" i="1" s="1"/>
  <c r="W670" i="1" a="1"/>
  <c r="W670" i="1"/>
  <c r="W671" i="1" a="1"/>
  <c r="W671" i="1"/>
  <c r="W672" i="1" a="1"/>
  <c r="W672" i="1"/>
  <c r="W673" i="1" a="1"/>
  <c r="W673" i="1"/>
  <c r="W674" i="1" a="1"/>
  <c r="W674" i="1" s="1"/>
  <c r="W675" i="1" a="1"/>
  <c r="W675" i="1" s="1"/>
  <c r="W676" i="1" a="1"/>
  <c r="W676" i="1" s="1"/>
  <c r="W677" i="1" a="1"/>
  <c r="W677" i="1"/>
  <c r="W678" i="1" a="1"/>
  <c r="W678" i="1"/>
  <c r="W679" i="1" a="1"/>
  <c r="W679" i="1" s="1"/>
  <c r="W680" i="1" a="1"/>
  <c r="W680" i="1" s="1"/>
  <c r="W681" i="1" a="1"/>
  <c r="W681" i="1" s="1"/>
  <c r="W682" i="1" a="1"/>
  <c r="W682" i="1" s="1"/>
  <c r="W683" i="1" a="1"/>
  <c r="W683" i="1" s="1"/>
  <c r="W684" i="1" a="1"/>
  <c r="W684" i="1" s="1"/>
  <c r="W685" i="1" a="1"/>
  <c r="W685" i="1"/>
  <c r="W686" i="1" a="1"/>
  <c r="W686" i="1"/>
  <c r="W687" i="1" a="1"/>
  <c r="W687" i="1" s="1"/>
  <c r="W688" i="1" a="1"/>
  <c r="W688" i="1" s="1"/>
  <c r="W689" i="1" a="1"/>
  <c r="W689" i="1" s="1"/>
  <c r="W690" i="1" a="1"/>
  <c r="W690" i="1" s="1"/>
  <c r="W691" i="1" a="1"/>
  <c r="W691" i="1" s="1"/>
  <c r="W692" i="1" a="1"/>
  <c r="W692" i="1" s="1"/>
  <c r="W693" i="1" a="1"/>
  <c r="W693" i="1"/>
  <c r="W694" i="1" a="1"/>
  <c r="W694" i="1"/>
  <c r="W695" i="1" a="1"/>
  <c r="W695" i="1" s="1"/>
  <c r="W696" i="1" a="1"/>
  <c r="W696" i="1" s="1"/>
  <c r="W697" i="1" a="1"/>
  <c r="W697" i="1" s="1"/>
  <c r="W698" i="1" a="1"/>
  <c r="W698" i="1" s="1"/>
  <c r="W699" i="1" a="1"/>
  <c r="W699" i="1" s="1"/>
  <c r="W700" i="1" a="1"/>
  <c r="W700" i="1" s="1"/>
  <c r="W701" i="1" a="1"/>
  <c r="W701" i="1"/>
  <c r="W702" i="1" a="1"/>
  <c r="W702" i="1"/>
  <c r="W703" i="1" a="1"/>
  <c r="W703" i="1" s="1"/>
  <c r="W704" i="1" a="1"/>
  <c r="W704" i="1" s="1"/>
  <c r="W705" i="1" a="1"/>
  <c r="W705" i="1" s="1"/>
  <c r="W706" i="1" a="1"/>
  <c r="W706" i="1" s="1"/>
  <c r="W707" i="1" a="1"/>
  <c r="W707" i="1" s="1"/>
  <c r="W708" i="1" a="1"/>
  <c r="W708" i="1" s="1"/>
  <c r="W709" i="1" a="1"/>
  <c r="W709" i="1"/>
  <c r="W710" i="1" a="1"/>
  <c r="W710" i="1"/>
  <c r="W711" i="1" a="1"/>
  <c r="W711" i="1" s="1"/>
  <c r="W712" i="1" a="1"/>
  <c r="W712" i="1" s="1"/>
  <c r="W713" i="1" a="1"/>
  <c r="W713" i="1" s="1"/>
  <c r="W714" i="1" a="1"/>
  <c r="W714" i="1" s="1"/>
  <c r="W715" i="1" a="1"/>
  <c r="W715" i="1" s="1"/>
  <c r="W716" i="1" a="1"/>
  <c r="W716" i="1" s="1"/>
  <c r="W717" i="1" a="1"/>
  <c r="W717" i="1"/>
  <c r="W718" i="1" a="1"/>
  <c r="W718" i="1"/>
  <c r="W719" i="1" a="1"/>
  <c r="W719" i="1" s="1"/>
  <c r="W720" i="1" a="1"/>
  <c r="W720" i="1" s="1"/>
  <c r="W721" i="1" a="1"/>
  <c r="W721" i="1" s="1"/>
  <c r="W722" i="1" a="1"/>
  <c r="W722" i="1" s="1"/>
  <c r="W723" i="1" a="1"/>
  <c r="W723" i="1" s="1"/>
  <c r="W724" i="1" a="1"/>
  <c r="W724" i="1" s="1"/>
  <c r="W725" i="1" a="1"/>
  <c r="W725" i="1"/>
  <c r="W726" i="1" a="1"/>
  <c r="W726" i="1"/>
  <c r="W727" i="1" a="1"/>
  <c r="W727" i="1" s="1"/>
  <c r="W728" i="1" a="1"/>
  <c r="W728" i="1" s="1"/>
  <c r="W729" i="1" a="1"/>
  <c r="W729" i="1" s="1"/>
  <c r="W730" i="1" a="1"/>
  <c r="W730" i="1" s="1"/>
  <c r="W731" i="1" a="1"/>
  <c r="W731" i="1" s="1"/>
  <c r="W732" i="1" a="1"/>
  <c r="W732" i="1" s="1"/>
  <c r="W733" i="1" a="1"/>
  <c r="W733" i="1"/>
  <c r="W734" i="1" a="1"/>
  <c r="W734" i="1"/>
  <c r="W735" i="1" a="1"/>
  <c r="W735" i="1" s="1"/>
  <c r="W736" i="1" a="1"/>
  <c r="W736" i="1" s="1"/>
  <c r="W737" i="1" a="1"/>
  <c r="W737" i="1" s="1"/>
  <c r="W738" i="1" a="1"/>
  <c r="W738" i="1" s="1"/>
  <c r="W739" i="1" a="1"/>
  <c r="W739" i="1" s="1"/>
  <c r="W740" i="1" a="1"/>
  <c r="W740" i="1" s="1"/>
  <c r="W741" i="1" a="1"/>
  <c r="W741" i="1"/>
  <c r="W742" i="1" a="1"/>
  <c r="W742" i="1"/>
  <c r="W743" i="1" a="1"/>
  <c r="W743" i="1" s="1"/>
  <c r="W744" i="1" a="1"/>
  <c r="W744" i="1" s="1"/>
  <c r="W745" i="1" a="1"/>
  <c r="W745" i="1" s="1"/>
  <c r="W746" i="1" a="1"/>
  <c r="W746" i="1" s="1"/>
  <c r="W747" i="1" a="1"/>
  <c r="W747" i="1" s="1"/>
  <c r="W748" i="1" a="1"/>
  <c r="W748" i="1" s="1"/>
  <c r="W749" i="1" a="1"/>
  <c r="W749" i="1"/>
  <c r="W750" i="1" a="1"/>
  <c r="W750" i="1"/>
  <c r="W751" i="1" a="1"/>
  <c r="W751" i="1" s="1"/>
  <c r="W752" i="1" a="1"/>
  <c r="W752" i="1" s="1"/>
  <c r="W753" i="1" a="1"/>
  <c r="W753" i="1" s="1"/>
  <c r="W754" i="1" a="1"/>
  <c r="W754" i="1" s="1"/>
  <c r="W755" i="1" a="1"/>
  <c r="W755" i="1" s="1"/>
  <c r="W756" i="1" a="1"/>
  <c r="W756" i="1" s="1"/>
  <c r="W757" i="1" a="1"/>
  <c r="W757" i="1"/>
  <c r="W758" i="1" a="1"/>
  <c r="W758" i="1"/>
  <c r="W759" i="1" a="1"/>
  <c r="W759" i="1" s="1"/>
  <c r="W760" i="1" a="1"/>
  <c r="W760" i="1" s="1"/>
  <c r="W761" i="1" a="1"/>
  <c r="W761" i="1" s="1"/>
  <c r="W762" i="1" a="1"/>
  <c r="W762" i="1" s="1"/>
  <c r="W763" i="1" a="1"/>
  <c r="W763" i="1" s="1"/>
  <c r="W764" i="1" a="1"/>
  <c r="W764" i="1" s="1"/>
  <c r="W765" i="1" a="1"/>
  <c r="W765" i="1"/>
  <c r="W766" i="1" a="1"/>
  <c r="W766" i="1"/>
  <c r="W767" i="1" a="1"/>
  <c r="W767" i="1" s="1"/>
  <c r="W768" i="1" a="1"/>
  <c r="W768" i="1" s="1"/>
  <c r="W769" i="1" a="1"/>
  <c r="W769" i="1" s="1"/>
  <c r="W770" i="1" a="1"/>
  <c r="W770" i="1" s="1"/>
  <c r="W771" i="1" a="1"/>
  <c r="W771" i="1" s="1"/>
  <c r="W772" i="1" a="1"/>
  <c r="W772" i="1" s="1"/>
  <c r="W773" i="1" a="1"/>
  <c r="W773" i="1"/>
  <c r="W774" i="1" a="1"/>
  <c r="W774" i="1"/>
  <c r="W775" i="1" a="1"/>
  <c r="W775" i="1" s="1"/>
  <c r="W776" i="1" a="1"/>
  <c r="W776" i="1" s="1"/>
  <c r="W777" i="1" a="1"/>
  <c r="W777" i="1" s="1"/>
  <c r="W778" i="1" a="1"/>
  <c r="W778" i="1" s="1"/>
  <c r="W779" i="1" a="1"/>
  <c r="W779" i="1" s="1"/>
  <c r="W780" i="1" a="1"/>
  <c r="W780" i="1" s="1"/>
  <c r="W781" i="1" a="1"/>
  <c r="W781" i="1"/>
  <c r="W782" i="1" a="1"/>
  <c r="W782" i="1"/>
  <c r="W783" i="1" a="1"/>
  <c r="W783" i="1" s="1"/>
  <c r="W784" i="1" a="1"/>
  <c r="W784" i="1" s="1"/>
  <c r="W785" i="1" a="1"/>
  <c r="W785" i="1" s="1"/>
  <c r="W786" i="1" a="1"/>
  <c r="W786" i="1" s="1"/>
  <c r="W787" i="1" a="1"/>
  <c r="W787" i="1" s="1"/>
  <c r="W788" i="1" a="1"/>
  <c r="W788" i="1" s="1"/>
  <c r="W789" i="1" a="1"/>
  <c r="W789" i="1"/>
  <c r="W790" i="1" a="1"/>
  <c r="W790" i="1"/>
  <c r="W791" i="1" a="1"/>
  <c r="W791" i="1" s="1"/>
  <c r="W792" i="1" a="1"/>
  <c r="W792" i="1" s="1"/>
  <c r="W793" i="1" a="1"/>
  <c r="W793" i="1" s="1"/>
  <c r="W794" i="1" a="1"/>
  <c r="W794" i="1" s="1"/>
  <c r="W795" i="1" a="1"/>
  <c r="W795" i="1" s="1"/>
  <c r="W796" i="1" a="1"/>
  <c r="W796" i="1" s="1"/>
  <c r="W797" i="1" a="1"/>
  <c r="W797" i="1"/>
  <c r="W798" i="1" a="1"/>
  <c r="W798" i="1"/>
  <c r="W799" i="1" a="1"/>
  <c r="W799" i="1" s="1"/>
  <c r="W800" i="1" a="1"/>
  <c r="W800" i="1" s="1"/>
  <c r="W801" i="1" a="1"/>
  <c r="W801" i="1" s="1"/>
  <c r="W802" i="1" a="1"/>
  <c r="W802" i="1" s="1"/>
  <c r="W803" i="1" a="1"/>
  <c r="W803" i="1" s="1"/>
  <c r="W804" i="1" a="1"/>
  <c r="W804" i="1" s="1"/>
  <c r="W805" i="1" a="1"/>
  <c r="W805" i="1"/>
  <c r="W806" i="1" a="1"/>
  <c r="W806" i="1"/>
  <c r="W807" i="1" a="1"/>
  <c r="W807" i="1" s="1"/>
  <c r="W808" i="1" a="1"/>
  <c r="W808" i="1" s="1"/>
  <c r="W809" i="1" a="1"/>
  <c r="W809" i="1" s="1"/>
  <c r="W810" i="1" a="1"/>
  <c r="W810" i="1" s="1"/>
  <c r="W811" i="1" a="1"/>
  <c r="W811" i="1" s="1"/>
  <c r="W812" i="1" a="1"/>
  <c r="W812" i="1" s="1"/>
  <c r="W813" i="1" a="1"/>
  <c r="W813" i="1"/>
  <c r="W814" i="1" a="1"/>
  <c r="W814" i="1"/>
  <c r="W815" i="1" a="1"/>
  <c r="W815" i="1" s="1"/>
  <c r="W816" i="1" a="1"/>
  <c r="W816" i="1" s="1"/>
  <c r="W817" i="1" a="1"/>
  <c r="W817" i="1" s="1"/>
  <c r="W818" i="1" a="1"/>
  <c r="W818" i="1" s="1"/>
  <c r="W819" i="1" a="1"/>
  <c r="W819" i="1" s="1"/>
  <c r="W820" i="1" a="1"/>
  <c r="W820" i="1" s="1"/>
  <c r="W821" i="1" a="1"/>
  <c r="W821" i="1"/>
  <c r="W822" i="1" a="1"/>
  <c r="W822" i="1"/>
  <c r="W823" i="1" a="1"/>
  <c r="W823" i="1" s="1"/>
  <c r="W824" i="1" a="1"/>
  <c r="W824" i="1" s="1"/>
  <c r="W825" i="1" a="1"/>
  <c r="W825" i="1" s="1"/>
  <c r="W826" i="1" a="1"/>
  <c r="W826" i="1" s="1"/>
  <c r="W827" i="1" a="1"/>
  <c r="W827" i="1" s="1"/>
  <c r="W828" i="1" a="1"/>
  <c r="W828" i="1" s="1"/>
  <c r="W829" i="1" a="1"/>
  <c r="W829" i="1"/>
  <c r="W830" i="1" a="1"/>
  <c r="W830" i="1"/>
  <c r="W831" i="1" a="1"/>
  <c r="W831" i="1" s="1"/>
  <c r="W832" i="1" a="1"/>
  <c r="W832" i="1" s="1"/>
  <c r="W833" i="1" a="1"/>
  <c r="W833" i="1" s="1"/>
  <c r="W834" i="1" a="1"/>
  <c r="W834" i="1" s="1"/>
  <c r="W835" i="1" a="1"/>
  <c r="W835" i="1" s="1"/>
  <c r="W836" i="1" a="1"/>
  <c r="W836" i="1" s="1"/>
  <c r="W837" i="1" a="1"/>
  <c r="W837" i="1"/>
  <c r="W838" i="1" a="1"/>
  <c r="W838" i="1"/>
  <c r="W839" i="1" a="1"/>
  <c r="W839" i="1" s="1"/>
  <c r="W840" i="1" a="1"/>
  <c r="W840" i="1" s="1"/>
  <c r="W841" i="1" a="1"/>
  <c r="W841" i="1" s="1"/>
  <c r="W842" i="1" a="1"/>
  <c r="W842" i="1" s="1"/>
  <c r="W843" i="1" a="1"/>
  <c r="W843" i="1" s="1"/>
  <c r="W844" i="1" a="1"/>
  <c r="W844" i="1" s="1"/>
  <c r="W845" i="1" a="1"/>
  <c r="W845" i="1"/>
  <c r="W846" i="1" a="1"/>
  <c r="W846" i="1"/>
  <c r="W847" i="1" a="1"/>
  <c r="W847" i="1" s="1"/>
  <c r="W848" i="1" a="1"/>
  <c r="W848" i="1" s="1"/>
  <c r="W849" i="1" a="1"/>
  <c r="W849" i="1" s="1"/>
  <c r="W850" i="1" a="1"/>
  <c r="W850" i="1" s="1"/>
  <c r="W851" i="1" a="1"/>
  <c r="W851" i="1" s="1"/>
  <c r="W852" i="1" a="1"/>
  <c r="W852" i="1" s="1"/>
  <c r="W853" i="1" a="1"/>
  <c r="W853" i="1"/>
  <c r="W854" i="1" a="1"/>
  <c r="W854" i="1"/>
  <c r="W855" i="1" a="1"/>
  <c r="W855" i="1" s="1"/>
  <c r="W856" i="1" a="1"/>
  <c r="W856" i="1" s="1"/>
  <c r="W857" i="1" a="1"/>
  <c r="W857" i="1" s="1"/>
  <c r="W858" i="1" a="1"/>
  <c r="W858" i="1" s="1"/>
  <c r="W859" i="1" a="1"/>
  <c r="W859" i="1" s="1"/>
  <c r="W860" i="1" a="1"/>
  <c r="W860" i="1" s="1"/>
  <c r="W861" i="1" a="1"/>
  <c r="W861" i="1"/>
  <c r="W862" i="1" a="1"/>
  <c r="W862" i="1"/>
  <c r="W863" i="1" a="1"/>
  <c r="W863" i="1" s="1"/>
  <c r="W864" i="1" a="1"/>
  <c r="W864" i="1" s="1"/>
  <c r="W865" i="1" a="1"/>
  <c r="W865" i="1" s="1"/>
  <c r="W866" i="1" a="1"/>
  <c r="W866" i="1" s="1"/>
  <c r="W867" i="1" a="1"/>
  <c r="W867" i="1" s="1"/>
  <c r="W868" i="1" a="1"/>
  <c r="W868" i="1" s="1"/>
  <c r="W869" i="1" a="1"/>
  <c r="W869" i="1"/>
  <c r="W870" i="1" a="1"/>
  <c r="W870" i="1"/>
  <c r="W871" i="1" a="1"/>
  <c r="W871" i="1" s="1"/>
  <c r="W872" i="1" a="1"/>
  <c r="W872" i="1" s="1"/>
  <c r="W873" i="1" a="1"/>
  <c r="W873" i="1" s="1"/>
  <c r="W874" i="1" a="1"/>
  <c r="W874" i="1" s="1"/>
  <c r="W875" i="1" a="1"/>
  <c r="W875" i="1" s="1"/>
  <c r="W876" i="1" a="1"/>
  <c r="W876" i="1" s="1"/>
  <c r="W877" i="1" a="1"/>
  <c r="W877" i="1"/>
  <c r="W878" i="1" a="1"/>
  <c r="W878" i="1"/>
  <c r="W879" i="1" a="1"/>
  <c r="W879" i="1" s="1"/>
  <c r="W880" i="1" a="1"/>
  <c r="W880" i="1" s="1"/>
  <c r="W881" i="1" a="1"/>
  <c r="W881" i="1" s="1"/>
  <c r="W882" i="1" a="1"/>
  <c r="W882" i="1" s="1"/>
  <c r="W883" i="1" a="1"/>
  <c r="W883" i="1" s="1"/>
  <c r="W884" i="1" a="1"/>
  <c r="W884" i="1" s="1"/>
  <c r="W885" i="1" a="1"/>
  <c r="W885" i="1"/>
  <c r="W886" i="1" a="1"/>
  <c r="W886" i="1"/>
  <c r="W887" i="1" a="1"/>
  <c r="W887" i="1" s="1"/>
  <c r="W888" i="1" a="1"/>
  <c r="W888" i="1" s="1"/>
  <c r="W889" i="1" a="1"/>
  <c r="W889" i="1" s="1"/>
  <c r="W890" i="1" a="1"/>
  <c r="W890" i="1" s="1"/>
  <c r="W891" i="1" a="1"/>
  <c r="W891" i="1" s="1"/>
  <c r="W892" i="1" a="1"/>
  <c r="W892" i="1" s="1"/>
  <c r="W893" i="1" a="1"/>
  <c r="W893" i="1"/>
  <c r="W894" i="1" a="1"/>
  <c r="W894" i="1"/>
  <c r="W895" i="1" a="1"/>
  <c r="W895" i="1" s="1"/>
  <c r="W896" i="1" a="1"/>
  <c r="W896" i="1" s="1"/>
  <c r="W897" i="1" a="1"/>
  <c r="W897" i="1" s="1"/>
  <c r="W898" i="1" a="1"/>
  <c r="W898" i="1" s="1"/>
  <c r="W899" i="1" a="1"/>
  <c r="W899" i="1" s="1"/>
  <c r="W900" i="1" a="1"/>
  <c r="W900" i="1" s="1"/>
  <c r="W901" i="1" a="1"/>
  <c r="W901" i="1"/>
  <c r="W902" i="1" a="1"/>
  <c r="W902" i="1"/>
  <c r="W903" i="1" a="1"/>
  <c r="W903" i="1" s="1"/>
  <c r="W904" i="1" a="1"/>
  <c r="W904" i="1" s="1"/>
  <c r="W905" i="1" a="1"/>
  <c r="W905" i="1" s="1"/>
  <c r="W906" i="1" a="1"/>
  <c r="W906" i="1" s="1"/>
  <c r="W907" i="1" a="1"/>
  <c r="W907" i="1" s="1"/>
  <c r="W908" i="1" a="1"/>
  <c r="W908" i="1" s="1"/>
  <c r="W909" i="1" a="1"/>
  <c r="W909" i="1"/>
  <c r="W910" i="1" a="1"/>
  <c r="W910" i="1"/>
  <c r="W911" i="1" a="1"/>
  <c r="W911" i="1" s="1"/>
  <c r="W912" i="1" a="1"/>
  <c r="W912" i="1" s="1"/>
  <c r="W913" i="1" a="1"/>
  <c r="W913" i="1" s="1"/>
  <c r="W914" i="1" a="1"/>
  <c r="W914" i="1" s="1"/>
  <c r="W915" i="1" a="1"/>
  <c r="W915" i="1" s="1"/>
  <c r="W916" i="1" a="1"/>
  <c r="W916" i="1" s="1"/>
  <c r="W917" i="1" a="1"/>
  <c r="W917" i="1"/>
  <c r="W918" i="1" a="1"/>
  <c r="W918" i="1"/>
  <c r="W919" i="1" a="1"/>
  <c r="W919" i="1" s="1"/>
  <c r="W920" i="1" a="1"/>
  <c r="W920" i="1" s="1"/>
  <c r="W921" i="1" a="1"/>
  <c r="W921" i="1" s="1"/>
  <c r="W922" i="1" a="1"/>
  <c r="W922" i="1" s="1"/>
  <c r="W923" i="1" a="1"/>
  <c r="W923" i="1" s="1"/>
  <c r="W924" i="1" a="1"/>
  <c r="W924" i="1" s="1"/>
  <c r="W925" i="1" a="1"/>
  <c r="W925" i="1"/>
  <c r="W926" i="1" a="1"/>
  <c r="W926" i="1"/>
  <c r="W927" i="1" a="1"/>
  <c r="W927" i="1" s="1"/>
  <c r="W928" i="1" a="1"/>
  <c r="W928" i="1" s="1"/>
  <c r="W929" i="1" a="1"/>
  <c r="W929" i="1" s="1"/>
  <c r="W930" i="1" a="1"/>
  <c r="W930" i="1" s="1"/>
  <c r="W931" i="1" a="1"/>
  <c r="W931" i="1" s="1"/>
  <c r="W932" i="1" a="1"/>
  <c r="W932" i="1" s="1"/>
  <c r="W933" i="1" a="1"/>
  <c r="W933" i="1"/>
  <c r="W934" i="1" a="1"/>
  <c r="W934" i="1"/>
  <c r="W935" i="1" a="1"/>
  <c r="W935" i="1" s="1"/>
  <c r="W936" i="1" a="1"/>
  <c r="W936" i="1" s="1"/>
  <c r="W937" i="1" a="1"/>
  <c r="W937" i="1" s="1"/>
  <c r="W938" i="1" a="1"/>
  <c r="W938" i="1" s="1"/>
  <c r="W939" i="1" a="1"/>
  <c r="W939" i="1" s="1"/>
  <c r="W940" i="1" a="1"/>
  <c r="W940" i="1" s="1"/>
  <c r="W941" i="1" a="1"/>
  <c r="W941" i="1"/>
  <c r="W942" i="1" a="1"/>
  <c r="W942" i="1"/>
  <c r="W943" i="1" a="1"/>
  <c r="W943" i="1" s="1"/>
  <c r="W944" i="1" a="1"/>
  <c r="W944" i="1" s="1"/>
  <c r="W945" i="1" a="1"/>
  <c r="W945" i="1" s="1"/>
  <c r="W946" i="1" a="1"/>
  <c r="W946" i="1" s="1"/>
  <c r="W947" i="1" a="1"/>
  <c r="W947" i="1" s="1"/>
  <c r="W948" i="1" a="1"/>
  <c r="W948" i="1" s="1"/>
  <c r="W949" i="1" a="1"/>
  <c r="W949" i="1"/>
  <c r="W950" i="1" a="1"/>
  <c r="W950" i="1"/>
  <c r="W951" i="1" a="1"/>
  <c r="W951" i="1" s="1"/>
  <c r="W952" i="1" a="1"/>
  <c r="W952" i="1" s="1"/>
  <c r="W953" i="1" a="1"/>
  <c r="W953" i="1" s="1"/>
  <c r="W954" i="1" a="1"/>
  <c r="W954" i="1" s="1"/>
  <c r="W955" i="1" a="1"/>
  <c r="W955" i="1" s="1"/>
  <c r="W956" i="1" a="1"/>
  <c r="W956" i="1" s="1"/>
  <c r="W957" i="1" a="1"/>
  <c r="W957" i="1"/>
  <c r="W958" i="1" a="1"/>
  <c r="W958" i="1"/>
  <c r="W959" i="1" a="1"/>
  <c r="W959" i="1" s="1"/>
  <c r="W960" i="1" a="1"/>
  <c r="W960" i="1" s="1"/>
  <c r="W961" i="1" a="1"/>
  <c r="W961" i="1" s="1"/>
  <c r="W962" i="1" a="1"/>
  <c r="W962" i="1" s="1"/>
  <c r="W963" i="1" a="1"/>
  <c r="W963" i="1" s="1"/>
  <c r="W964" i="1" a="1"/>
  <c r="W964" i="1" s="1"/>
  <c r="W965" i="1" a="1"/>
  <c r="W965" i="1"/>
  <c r="W966" i="1" a="1"/>
  <c r="W966" i="1"/>
  <c r="W967" i="1" a="1"/>
  <c r="W967" i="1" s="1"/>
  <c r="W968" i="1" a="1"/>
  <c r="W968" i="1" s="1"/>
  <c r="W969" i="1" a="1"/>
  <c r="W969" i="1" s="1"/>
  <c r="W970" i="1" a="1"/>
  <c r="W970" i="1" s="1"/>
  <c r="W971" i="1" a="1"/>
  <c r="W971" i="1" s="1"/>
  <c r="W972" i="1" a="1"/>
  <c r="W972" i="1" s="1"/>
  <c r="W973" i="1" a="1"/>
  <c r="W973" i="1"/>
  <c r="W974" i="1" a="1"/>
  <c r="W974" i="1"/>
  <c r="W975" i="1" a="1"/>
  <c r="W975" i="1" s="1"/>
  <c r="W976" i="1" a="1"/>
  <c r="W976" i="1" s="1"/>
  <c r="W977" i="1" a="1"/>
  <c r="W977" i="1" s="1"/>
  <c r="W978" i="1" a="1"/>
  <c r="W978" i="1" s="1"/>
  <c r="W979" i="1" a="1"/>
  <c r="W979" i="1" s="1"/>
  <c r="W980" i="1" a="1"/>
  <c r="W980" i="1" s="1"/>
  <c r="W981" i="1" a="1"/>
  <c r="W981" i="1"/>
  <c r="W982" i="1" a="1"/>
  <c r="W982" i="1"/>
  <c r="W983" i="1" a="1"/>
  <c r="W983" i="1" s="1"/>
  <c r="W984" i="1" a="1"/>
  <c r="W984" i="1" s="1"/>
  <c r="W985" i="1" a="1"/>
  <c r="W985" i="1" s="1"/>
  <c r="W986" i="1" a="1"/>
  <c r="W986" i="1" s="1"/>
  <c r="W987" i="1" a="1"/>
  <c r="W987" i="1" s="1"/>
  <c r="W988" i="1" a="1"/>
  <c r="W988" i="1" s="1"/>
  <c r="W989" i="1" a="1"/>
  <c r="W989" i="1"/>
  <c r="W990" i="1" a="1"/>
  <c r="W990" i="1"/>
  <c r="W991" i="1" a="1"/>
  <c r="W991" i="1" s="1"/>
  <c r="W992" i="1" a="1"/>
  <c r="W992" i="1" s="1"/>
  <c r="W993" i="1" a="1"/>
  <c r="W993" i="1" s="1"/>
  <c r="W994" i="1" a="1"/>
  <c r="W994" i="1" s="1"/>
  <c r="W995" i="1" a="1"/>
  <c r="W995" i="1" s="1"/>
  <c r="W996" i="1" a="1"/>
  <c r="W996" i="1" s="1"/>
  <c r="W997" i="1" a="1"/>
  <c r="W997" i="1"/>
  <c r="W998" i="1" a="1"/>
  <c r="W998" i="1"/>
  <c r="W999" i="1" a="1"/>
  <c r="W999" i="1" s="1"/>
  <c r="W1000" i="1" a="1"/>
  <c r="W1000" i="1" s="1"/>
  <c r="W1001" i="1" a="1"/>
  <c r="W1001" i="1" s="1"/>
  <c r="V2" i="1" a="1"/>
  <c r="V2" i="1" s="1"/>
  <c r="V3" i="1" a="1"/>
  <c r="V3" i="1" s="1"/>
  <c r="V4" i="1" a="1"/>
  <c r="V4" i="1" s="1"/>
  <c r="V5" i="1" a="1"/>
  <c r="V5" i="1" s="1"/>
  <c r="V6" i="1" a="1"/>
  <c r="V6" i="1" s="1"/>
  <c r="V7" i="1" a="1"/>
  <c r="V7" i="1" s="1"/>
  <c r="V8" i="1" a="1"/>
  <c r="V8" i="1" s="1"/>
  <c r="V9" i="1" a="1"/>
  <c r="V9" i="1"/>
  <c r="V10" i="1" a="1"/>
  <c r="V10" i="1" s="1"/>
  <c r="V11" i="1" a="1"/>
  <c r="V11" i="1" s="1"/>
  <c r="V12" i="1" a="1"/>
  <c r="V12" i="1" s="1"/>
  <c r="V13" i="1" a="1"/>
  <c r="V13" i="1" s="1"/>
  <c r="V14" i="1" a="1"/>
  <c r="V14" i="1" s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0" i="1" a="1"/>
  <c r="V20" i="1" s="1"/>
  <c r="V21" i="1" a="1"/>
  <c r="V21" i="1" s="1"/>
  <c r="V22" i="1" a="1"/>
  <c r="V22" i="1"/>
  <c r="V23" i="1" a="1"/>
  <c r="V23" i="1"/>
  <c r="V24" i="1" a="1"/>
  <c r="V24" i="1"/>
  <c r="V25" i="1" a="1"/>
  <c r="V25" i="1" s="1"/>
  <c r="V26" i="1" a="1"/>
  <c r="V26" i="1" s="1"/>
  <c r="V27" i="1" a="1"/>
  <c r="V27" i="1" s="1"/>
  <c r="V28" i="1" a="1"/>
  <c r="V28" i="1" s="1"/>
  <c r="V29" i="1" a="1"/>
  <c r="V29" i="1" s="1"/>
  <c r="V30" i="1" a="1"/>
  <c r="V30" i="1"/>
  <c r="V31" i="1" a="1"/>
  <c r="V31" i="1" s="1"/>
  <c r="V32" i="1" a="1"/>
  <c r="V32" i="1"/>
  <c r="V33" i="1" a="1"/>
  <c r="V33" i="1"/>
  <c r="V34" i="1" a="1"/>
  <c r="V34" i="1" s="1"/>
  <c r="V35" i="1" a="1"/>
  <c r="V35" i="1" s="1"/>
  <c r="V36" i="1" a="1"/>
  <c r="V36" i="1" s="1"/>
  <c r="V37" i="1" a="1"/>
  <c r="V37" i="1" s="1"/>
  <c r="V38" i="1" a="1"/>
  <c r="V38" i="1" s="1"/>
  <c r="V39" i="1" a="1"/>
  <c r="V39" i="1"/>
  <c r="V40" i="1" a="1"/>
  <c r="V40" i="1" s="1"/>
  <c r="V41" i="1" a="1"/>
  <c r="V41" i="1"/>
  <c r="V42" i="1" a="1"/>
  <c r="V42" i="1" s="1"/>
  <c r="V43" i="1" a="1"/>
  <c r="V43" i="1" s="1"/>
  <c r="V44" i="1" a="1"/>
  <c r="V44" i="1" s="1"/>
  <c r="V45" i="1" a="1"/>
  <c r="V45" i="1" s="1"/>
  <c r="V46" i="1" a="1"/>
  <c r="V46" i="1"/>
  <c r="V47" i="1" a="1"/>
  <c r="V47" i="1" s="1"/>
  <c r="V48" i="1" a="1"/>
  <c r="V48" i="1" s="1"/>
  <c r="V49" i="1" a="1"/>
  <c r="V49" i="1" s="1"/>
  <c r="V50" i="1" a="1"/>
  <c r="V50" i="1" s="1"/>
  <c r="V51" i="1" a="1"/>
  <c r="V51" i="1" s="1"/>
  <c r="V52" i="1" a="1"/>
  <c r="V52" i="1" s="1"/>
  <c r="V53" i="1" a="1"/>
  <c r="V53" i="1" s="1"/>
  <c r="V54" i="1" a="1"/>
  <c r="V54" i="1"/>
  <c r="V55" i="1" a="1"/>
  <c r="V55" i="1"/>
  <c r="V56" i="1" a="1"/>
  <c r="V56" i="1" s="1"/>
  <c r="V57" i="1" a="1"/>
  <c r="V57" i="1" s="1"/>
  <c r="V58" i="1" a="1"/>
  <c r="V58" i="1" s="1"/>
  <c r="V59" i="1" a="1"/>
  <c r="V59" i="1" s="1"/>
  <c r="V60" i="1" a="1"/>
  <c r="V60" i="1" s="1"/>
  <c r="V61" i="1" a="1"/>
  <c r="V61" i="1" s="1"/>
  <c r="V62" i="1" a="1"/>
  <c r="V62" i="1" s="1"/>
  <c r="V63" i="1" a="1"/>
  <c r="V63" i="1"/>
  <c r="V64" i="1" a="1"/>
  <c r="V64" i="1" s="1"/>
  <c r="V65" i="1" a="1"/>
  <c r="V65" i="1"/>
  <c r="V66" i="1" a="1"/>
  <c r="V66" i="1" s="1"/>
  <c r="V67" i="1" a="1"/>
  <c r="V67" i="1" s="1"/>
  <c r="V68" i="1" a="1"/>
  <c r="V68" i="1" s="1"/>
  <c r="V69" i="1" a="1"/>
  <c r="V69" i="1" s="1"/>
  <c r="V70" i="1" a="1"/>
  <c r="V70" i="1" s="1"/>
  <c r="V71" i="1" a="1"/>
  <c r="V71" i="1" s="1"/>
  <c r="V72" i="1" a="1"/>
  <c r="V72" i="1" s="1"/>
  <c r="V73" i="1" a="1"/>
  <c r="V73" i="1" s="1"/>
  <c r="V74" i="1" a="1"/>
  <c r="V74" i="1" s="1"/>
  <c r="V75" i="1" a="1"/>
  <c r="V75" i="1" s="1"/>
  <c r="V76" i="1" a="1"/>
  <c r="V76" i="1" s="1"/>
  <c r="V77" i="1" a="1"/>
  <c r="V77" i="1" s="1"/>
  <c r="V78" i="1" a="1"/>
  <c r="V78" i="1" s="1"/>
  <c r="V79" i="1" a="1"/>
  <c r="V79" i="1" s="1"/>
  <c r="V80" i="1" a="1"/>
  <c r="V80" i="1" s="1"/>
  <c r="V81" i="1" a="1"/>
  <c r="V81" i="1"/>
  <c r="V82" i="1" a="1"/>
  <c r="V82" i="1" s="1"/>
  <c r="V83" i="1" a="1"/>
  <c r="V83" i="1" s="1"/>
  <c r="V84" i="1" a="1"/>
  <c r="V84" i="1" s="1"/>
  <c r="V85" i="1" a="1"/>
  <c r="V85" i="1" s="1"/>
  <c r="V86" i="1" a="1"/>
  <c r="V86" i="1" s="1"/>
  <c r="V87" i="1" a="1"/>
  <c r="V87" i="1" s="1"/>
  <c r="V88" i="1" a="1"/>
  <c r="V88" i="1" s="1"/>
  <c r="V89" i="1" a="1"/>
  <c r="V89" i="1" s="1"/>
  <c r="V90" i="1" a="1"/>
  <c r="V90" i="1" s="1"/>
  <c r="V91" i="1" a="1"/>
  <c r="V91" i="1" s="1"/>
  <c r="V92" i="1" a="1"/>
  <c r="V92" i="1" s="1"/>
  <c r="V93" i="1" a="1"/>
  <c r="V93" i="1" s="1"/>
  <c r="V94" i="1" a="1"/>
  <c r="V94" i="1" s="1"/>
  <c r="V95" i="1" a="1"/>
  <c r="V95" i="1" s="1"/>
  <c r="V96" i="1" a="1"/>
  <c r="V96" i="1"/>
  <c r="V97" i="1" a="1"/>
  <c r="V97" i="1"/>
  <c r="V98" i="1" a="1"/>
  <c r="V98" i="1" s="1"/>
  <c r="V99" i="1" a="1"/>
  <c r="V99" i="1" s="1"/>
  <c r="V100" i="1" a="1"/>
  <c r="V100" i="1" s="1"/>
  <c r="V101" i="1" a="1"/>
  <c r="V101" i="1" s="1"/>
  <c r="V102" i="1" a="1"/>
  <c r="V102" i="1" s="1"/>
  <c r="V103" i="1" a="1"/>
  <c r="V103" i="1"/>
  <c r="V104" i="1" a="1"/>
  <c r="V104" i="1" s="1"/>
  <c r="V105" i="1" a="1"/>
  <c r="V105" i="1" s="1"/>
  <c r="V106" i="1" a="1"/>
  <c r="V106" i="1" s="1"/>
  <c r="V107" i="1" a="1"/>
  <c r="V107" i="1" s="1"/>
  <c r="V108" i="1" a="1"/>
  <c r="V108" i="1" s="1"/>
  <c r="V109" i="1" a="1"/>
  <c r="V109" i="1" s="1"/>
  <c r="V110" i="1" a="1"/>
  <c r="V110" i="1" s="1"/>
  <c r="V111" i="1" a="1"/>
  <c r="V111" i="1" s="1"/>
  <c r="V112" i="1" a="1"/>
  <c r="V112" i="1" s="1"/>
  <c r="V113" i="1" a="1"/>
  <c r="V113" i="1" s="1"/>
  <c r="V114" i="1" a="1"/>
  <c r="V114" i="1" s="1"/>
  <c r="V115" i="1" a="1"/>
  <c r="V115" i="1" s="1"/>
  <c r="V116" i="1" a="1"/>
  <c r="V116" i="1" s="1"/>
  <c r="V117" i="1" a="1"/>
  <c r="V117" i="1" s="1"/>
  <c r="V118" i="1" a="1"/>
  <c r="V118" i="1" s="1"/>
  <c r="V119" i="1" a="1"/>
  <c r="V119" i="1"/>
  <c r="V120" i="1" a="1"/>
  <c r="V120" i="1" s="1"/>
  <c r="V121" i="1" a="1"/>
  <c r="V121" i="1" s="1"/>
  <c r="V122" i="1" a="1"/>
  <c r="V122" i="1" s="1"/>
  <c r="V123" i="1" a="1"/>
  <c r="V123" i="1" s="1"/>
  <c r="V124" i="1" a="1"/>
  <c r="V124" i="1" s="1"/>
  <c r="V125" i="1" a="1"/>
  <c r="V125" i="1" s="1"/>
  <c r="V126" i="1" a="1"/>
  <c r="V126" i="1" s="1"/>
  <c r="V127" i="1" a="1"/>
  <c r="V127" i="1"/>
  <c r="V128" i="1" a="1"/>
  <c r="V128" i="1" s="1"/>
  <c r="V129" i="1" a="1"/>
  <c r="V129" i="1"/>
  <c r="V130" i="1" a="1"/>
  <c r="V130" i="1" s="1"/>
  <c r="V131" i="1" a="1"/>
  <c r="V131" i="1" s="1"/>
  <c r="V132" i="1" a="1"/>
  <c r="V132" i="1" s="1"/>
  <c r="V133" i="1" a="1"/>
  <c r="V133" i="1" s="1"/>
  <c r="V134" i="1" a="1"/>
  <c r="V134" i="1" s="1"/>
  <c r="V135" i="1" a="1"/>
  <c r="V135" i="1" s="1"/>
  <c r="V136" i="1" a="1"/>
  <c r="V136" i="1" s="1"/>
  <c r="V137" i="1" a="1"/>
  <c r="V137" i="1" s="1"/>
  <c r="V138" i="1" a="1"/>
  <c r="V138" i="1" s="1"/>
  <c r="V139" i="1" a="1"/>
  <c r="V139" i="1" s="1"/>
  <c r="V140" i="1" a="1"/>
  <c r="V140" i="1" s="1"/>
  <c r="V141" i="1" a="1"/>
  <c r="V141" i="1" s="1"/>
  <c r="V142" i="1" a="1"/>
  <c r="V142" i="1" s="1"/>
  <c r="V143" i="1" a="1"/>
  <c r="V143" i="1" s="1"/>
  <c r="V144" i="1" a="1"/>
  <c r="V144" i="1" s="1"/>
  <c r="V145" i="1" a="1"/>
  <c r="V145" i="1" s="1"/>
  <c r="V146" i="1" a="1"/>
  <c r="V146" i="1" s="1"/>
  <c r="V147" i="1" a="1"/>
  <c r="V147" i="1" s="1"/>
  <c r="V148" i="1" a="1"/>
  <c r="V148" i="1" s="1"/>
  <c r="V149" i="1" a="1"/>
  <c r="V149" i="1" s="1"/>
  <c r="V150" i="1" a="1"/>
  <c r="V150" i="1" s="1"/>
  <c r="V151" i="1" a="1"/>
  <c r="V151" i="1" s="1"/>
  <c r="V152" i="1" a="1"/>
  <c r="V152" i="1" s="1"/>
  <c r="V153" i="1" a="1"/>
  <c r="V153" i="1" s="1"/>
  <c r="V154" i="1" a="1"/>
  <c r="V154" i="1" s="1"/>
  <c r="V155" i="1" a="1"/>
  <c r="V155" i="1" s="1"/>
  <c r="V156" i="1" a="1"/>
  <c r="V156" i="1" s="1"/>
  <c r="V157" i="1" a="1"/>
  <c r="V157" i="1" s="1"/>
  <c r="V158" i="1" a="1"/>
  <c r="V158" i="1" s="1"/>
  <c r="V159" i="1" a="1"/>
  <c r="V159" i="1" s="1"/>
  <c r="V160" i="1" a="1"/>
  <c r="V160" i="1"/>
  <c r="V161" i="1" a="1"/>
  <c r="V161" i="1"/>
  <c r="V162" i="1" a="1"/>
  <c r="V162" i="1" s="1"/>
  <c r="V163" i="1" a="1"/>
  <c r="V163" i="1" s="1"/>
  <c r="V164" i="1" a="1"/>
  <c r="V164" i="1" s="1"/>
  <c r="V165" i="1" a="1"/>
  <c r="V165" i="1" s="1"/>
  <c r="V166" i="1" a="1"/>
  <c r="V166" i="1" s="1"/>
  <c r="V167" i="1" a="1"/>
  <c r="V167" i="1"/>
  <c r="V168" i="1" a="1"/>
  <c r="V168" i="1" s="1"/>
  <c r="V169" i="1" a="1"/>
  <c r="V169" i="1"/>
  <c r="V170" i="1" a="1"/>
  <c r="V170" i="1" s="1"/>
  <c r="V171" i="1" a="1"/>
  <c r="V171" i="1" s="1"/>
  <c r="V172" i="1" a="1"/>
  <c r="V172" i="1" s="1"/>
  <c r="V173" i="1" a="1"/>
  <c r="V173" i="1" s="1"/>
  <c r="V174" i="1" a="1"/>
  <c r="V174" i="1"/>
  <c r="V175" i="1" a="1"/>
  <c r="V175" i="1" s="1"/>
  <c r="V176" i="1" a="1"/>
  <c r="V176" i="1" s="1"/>
  <c r="V177" i="1" a="1"/>
  <c r="V177" i="1"/>
  <c r="V178" i="1" a="1"/>
  <c r="V178" i="1" s="1"/>
  <c r="V179" i="1" a="1"/>
  <c r="V179" i="1" s="1"/>
  <c r="V180" i="1" a="1"/>
  <c r="V180" i="1" s="1"/>
  <c r="V181" i="1" a="1"/>
  <c r="V181" i="1" s="1"/>
  <c r="V182" i="1" a="1"/>
  <c r="V182" i="1" s="1"/>
  <c r="V183" i="1" a="1"/>
  <c r="V183" i="1" s="1"/>
  <c r="V184" i="1" a="1"/>
  <c r="V184" i="1"/>
  <c r="V185" i="1" a="1"/>
  <c r="V185" i="1" s="1"/>
  <c r="V186" i="1" a="1"/>
  <c r="V186" i="1" s="1"/>
  <c r="V187" i="1" a="1"/>
  <c r="V187" i="1" s="1"/>
  <c r="V188" i="1" a="1"/>
  <c r="V188" i="1" s="1"/>
  <c r="V189" i="1" a="1"/>
  <c r="V189" i="1" s="1"/>
  <c r="V190" i="1" a="1"/>
  <c r="V190" i="1" s="1"/>
  <c r="V191" i="1" a="1"/>
  <c r="V191" i="1" s="1"/>
  <c r="V192" i="1" a="1"/>
  <c r="V192" i="1"/>
  <c r="V193" i="1" a="1"/>
  <c r="V193" i="1" s="1"/>
  <c r="V194" i="1" a="1"/>
  <c r="V194" i="1" s="1"/>
  <c r="V195" i="1" a="1"/>
  <c r="V195" i="1" s="1"/>
  <c r="V196" i="1" a="1"/>
  <c r="V196" i="1" s="1"/>
  <c r="V197" i="1" a="1"/>
  <c r="V197" i="1" s="1"/>
  <c r="V198" i="1" a="1"/>
  <c r="V198" i="1" s="1"/>
  <c r="V199" i="1" a="1"/>
  <c r="V199" i="1" s="1"/>
  <c r="V200" i="1" a="1"/>
  <c r="V200" i="1" s="1"/>
  <c r="V201" i="1" a="1"/>
  <c r="V201" i="1" s="1"/>
  <c r="V202" i="1" a="1"/>
  <c r="V202" i="1" s="1"/>
  <c r="V203" i="1" a="1"/>
  <c r="V203" i="1" s="1"/>
  <c r="V204" i="1" a="1"/>
  <c r="V204" i="1" s="1"/>
  <c r="V205" i="1" a="1"/>
  <c r="V205" i="1" s="1"/>
  <c r="V206" i="1" a="1"/>
  <c r="V206" i="1" s="1"/>
  <c r="V207" i="1" a="1"/>
  <c r="V207" i="1" s="1"/>
  <c r="V208" i="1" a="1"/>
  <c r="V208" i="1" s="1"/>
  <c r="V209" i="1" a="1"/>
  <c r="V209" i="1"/>
  <c r="V210" i="1" a="1"/>
  <c r="V210" i="1" s="1"/>
  <c r="V211" i="1" a="1"/>
  <c r="V211" i="1" s="1"/>
  <c r="V212" i="1" a="1"/>
  <c r="V212" i="1" s="1"/>
  <c r="V213" i="1" a="1"/>
  <c r="V213" i="1" s="1"/>
  <c r="V214" i="1" a="1"/>
  <c r="V214" i="1" s="1"/>
  <c r="V215" i="1" a="1"/>
  <c r="V215" i="1"/>
  <c r="V216" i="1" a="1"/>
  <c r="V216" i="1" s="1"/>
  <c r="V217" i="1" a="1"/>
  <c r="V217" i="1" s="1"/>
  <c r="V218" i="1" a="1"/>
  <c r="V218" i="1" s="1"/>
  <c r="V219" i="1" a="1"/>
  <c r="V219" i="1" s="1"/>
  <c r="V220" i="1" a="1"/>
  <c r="V220" i="1" s="1"/>
  <c r="V221" i="1" a="1"/>
  <c r="V221" i="1" s="1"/>
  <c r="V222" i="1" a="1"/>
  <c r="V222" i="1" s="1"/>
  <c r="V223" i="1" a="1"/>
  <c r="V223" i="1"/>
  <c r="V224" i="1" a="1"/>
  <c r="V224" i="1"/>
  <c r="V225" i="1" a="1"/>
  <c r="V225" i="1"/>
  <c r="V226" i="1" a="1"/>
  <c r="V226" i="1" s="1"/>
  <c r="V227" i="1" a="1"/>
  <c r="V227" i="1" s="1"/>
  <c r="V228" i="1" a="1"/>
  <c r="V228" i="1" s="1"/>
  <c r="V229" i="1" a="1"/>
  <c r="V229" i="1" s="1"/>
  <c r="V230" i="1" a="1"/>
  <c r="V230" i="1" s="1"/>
  <c r="V231" i="1" a="1"/>
  <c r="V231" i="1" s="1"/>
  <c r="V232" i="1" a="1"/>
  <c r="V232" i="1" s="1"/>
  <c r="V233" i="1" a="1"/>
  <c r="V233" i="1" s="1"/>
  <c r="V234" i="1" a="1"/>
  <c r="V234" i="1" s="1"/>
  <c r="V235" i="1" a="1"/>
  <c r="V235" i="1" s="1"/>
  <c r="V236" i="1" a="1"/>
  <c r="V236" i="1" s="1"/>
  <c r="V237" i="1" a="1"/>
  <c r="V237" i="1" s="1"/>
  <c r="V238" i="1" a="1"/>
  <c r="V238" i="1" s="1"/>
  <c r="V239" i="1" a="1"/>
  <c r="V239" i="1" s="1"/>
  <c r="V240" i="1" a="1"/>
  <c r="V240" i="1" s="1"/>
  <c r="V241" i="1" a="1"/>
  <c r="V241" i="1"/>
  <c r="V242" i="1" a="1"/>
  <c r="V242" i="1" s="1"/>
  <c r="V243" i="1" a="1"/>
  <c r="V243" i="1" s="1"/>
  <c r="V244" i="1" a="1"/>
  <c r="V244" i="1" s="1"/>
  <c r="V245" i="1" a="1"/>
  <c r="V245" i="1" s="1"/>
  <c r="V246" i="1" a="1"/>
  <c r="V246" i="1"/>
  <c r="V247" i="1" a="1"/>
  <c r="V247" i="1"/>
  <c r="V248" i="1" a="1"/>
  <c r="V248" i="1" s="1"/>
  <c r="V249" i="1" a="1"/>
  <c r="V249" i="1" s="1"/>
  <c r="V250" i="1" a="1"/>
  <c r="V250" i="1" s="1"/>
  <c r="V251" i="1" a="1"/>
  <c r="V251" i="1" s="1"/>
  <c r="V252" i="1" a="1"/>
  <c r="V252" i="1" s="1"/>
  <c r="V253" i="1" a="1"/>
  <c r="V253" i="1" s="1"/>
  <c r="V254" i="1" a="1"/>
  <c r="V254" i="1" s="1"/>
  <c r="V255" i="1" a="1"/>
  <c r="V255" i="1" s="1"/>
  <c r="V256" i="1" a="1"/>
  <c r="V256" i="1"/>
  <c r="V257" i="1" a="1"/>
  <c r="V257" i="1" s="1"/>
  <c r="V258" i="1" a="1"/>
  <c r="V258" i="1" s="1"/>
  <c r="V259" i="1" a="1"/>
  <c r="V259" i="1" s="1"/>
  <c r="V260" i="1" a="1"/>
  <c r="V260" i="1" s="1"/>
  <c r="V261" i="1" a="1"/>
  <c r="V261" i="1" s="1"/>
  <c r="V262" i="1" a="1"/>
  <c r="V262" i="1" s="1"/>
  <c r="V263" i="1" a="1"/>
  <c r="V263" i="1" s="1"/>
  <c r="V264" i="1" a="1"/>
  <c r="V264" i="1" s="1"/>
  <c r="V265" i="1" a="1"/>
  <c r="V265" i="1" s="1"/>
  <c r="V266" i="1" a="1"/>
  <c r="V266" i="1" s="1"/>
  <c r="V267" i="1" a="1"/>
  <c r="V267" i="1" s="1"/>
  <c r="V268" i="1" a="1"/>
  <c r="V268" i="1" s="1"/>
  <c r="V269" i="1" a="1"/>
  <c r="V269" i="1" s="1"/>
  <c r="V270" i="1" a="1"/>
  <c r="V270" i="1" s="1"/>
  <c r="V271" i="1" a="1"/>
  <c r="V271" i="1" s="1"/>
  <c r="V272" i="1" a="1"/>
  <c r="V272" i="1" s="1"/>
  <c r="V273" i="1" a="1"/>
  <c r="V273" i="1"/>
  <c r="V274" i="1" a="1"/>
  <c r="V274" i="1" s="1"/>
  <c r="V275" i="1" a="1"/>
  <c r="V275" i="1" s="1"/>
  <c r="V276" i="1" a="1"/>
  <c r="V276" i="1" s="1"/>
  <c r="V277" i="1" a="1"/>
  <c r="V277" i="1" s="1"/>
  <c r="V278" i="1" a="1"/>
  <c r="V278" i="1" s="1"/>
  <c r="V279" i="1" a="1"/>
  <c r="V279" i="1"/>
  <c r="V280" i="1" a="1"/>
  <c r="V280" i="1" s="1"/>
  <c r="V281" i="1" a="1"/>
  <c r="V281" i="1" s="1"/>
  <c r="V282" i="1" a="1"/>
  <c r="V282" i="1" s="1"/>
  <c r="V283" i="1" a="1"/>
  <c r="V283" i="1" s="1"/>
  <c r="V284" i="1" a="1"/>
  <c r="V284" i="1" s="1"/>
  <c r="V285" i="1" a="1"/>
  <c r="V285" i="1" s="1"/>
  <c r="V286" i="1" a="1"/>
  <c r="V286" i="1" s="1"/>
  <c r="V287" i="1" a="1"/>
  <c r="V287" i="1"/>
  <c r="V288" i="1" a="1"/>
  <c r="V288" i="1"/>
  <c r="V289" i="1" a="1"/>
  <c r="V289" i="1"/>
  <c r="V290" i="1" a="1"/>
  <c r="V290" i="1" s="1"/>
  <c r="V291" i="1" a="1"/>
  <c r="V291" i="1" s="1"/>
  <c r="V292" i="1" a="1"/>
  <c r="V292" i="1" s="1"/>
  <c r="V293" i="1" a="1"/>
  <c r="V293" i="1" s="1"/>
  <c r="V294" i="1" a="1"/>
  <c r="V294" i="1" s="1"/>
  <c r="V295" i="1" a="1"/>
  <c r="V295" i="1" s="1"/>
  <c r="V296" i="1" a="1"/>
  <c r="V296" i="1" s="1"/>
  <c r="V297" i="1" a="1"/>
  <c r="V297" i="1" s="1"/>
  <c r="V298" i="1" a="1"/>
  <c r="V298" i="1" s="1"/>
  <c r="V299" i="1" a="1"/>
  <c r="V299" i="1" s="1"/>
  <c r="V300" i="1" a="1"/>
  <c r="V300" i="1" s="1"/>
  <c r="V301" i="1" a="1"/>
  <c r="V301" i="1" s="1"/>
  <c r="V302" i="1" a="1"/>
  <c r="V302" i="1" s="1"/>
  <c r="V303" i="1" a="1"/>
  <c r="V303" i="1" s="1"/>
  <c r="V304" i="1" a="1"/>
  <c r="V304" i="1" s="1"/>
  <c r="V305" i="1" a="1"/>
  <c r="V305" i="1"/>
  <c r="V306" i="1" a="1"/>
  <c r="V306" i="1" s="1"/>
  <c r="V307" i="1" a="1"/>
  <c r="V307" i="1" s="1"/>
  <c r="V308" i="1" a="1"/>
  <c r="V308" i="1" s="1"/>
  <c r="V309" i="1" a="1"/>
  <c r="V309" i="1" s="1"/>
  <c r="V310" i="1" a="1"/>
  <c r="V310" i="1" s="1"/>
  <c r="V311" i="1" a="1"/>
  <c r="V311" i="1"/>
  <c r="V312" i="1" a="1"/>
  <c r="V312" i="1" s="1"/>
  <c r="V313" i="1" a="1"/>
  <c r="V313" i="1" s="1"/>
  <c r="V314" i="1" a="1"/>
  <c r="V314" i="1" s="1"/>
  <c r="V315" i="1" a="1"/>
  <c r="V315" i="1" s="1"/>
  <c r="V316" i="1" a="1"/>
  <c r="V316" i="1" s="1"/>
  <c r="V317" i="1" a="1"/>
  <c r="V317" i="1" s="1"/>
  <c r="V318" i="1" a="1"/>
  <c r="V318" i="1" s="1"/>
  <c r="V319" i="1" a="1"/>
  <c r="V319" i="1" s="1"/>
  <c r="V320" i="1" a="1"/>
  <c r="V320" i="1"/>
  <c r="V321" i="1" a="1"/>
  <c r="V321" i="1" s="1"/>
  <c r="V322" i="1" a="1"/>
  <c r="V322" i="1" s="1"/>
  <c r="V323" i="1" a="1"/>
  <c r="V323" i="1" s="1"/>
  <c r="V324" i="1" a="1"/>
  <c r="V324" i="1" s="1"/>
  <c r="V325" i="1" a="1"/>
  <c r="V325" i="1" s="1"/>
  <c r="V326" i="1" a="1"/>
  <c r="V326" i="1" s="1"/>
  <c r="V327" i="1" a="1"/>
  <c r="V327" i="1" s="1"/>
  <c r="V328" i="1" a="1"/>
  <c r="V328" i="1" s="1"/>
  <c r="V329" i="1" a="1"/>
  <c r="V329" i="1"/>
  <c r="V330" i="1" a="1"/>
  <c r="V330" i="1" s="1"/>
  <c r="V331" i="1" a="1"/>
  <c r="V331" i="1" s="1"/>
  <c r="V332" i="1" a="1"/>
  <c r="V332" i="1" s="1"/>
  <c r="V333" i="1" a="1"/>
  <c r="V333" i="1" s="1"/>
  <c r="V334" i="1" a="1"/>
  <c r="V334" i="1" s="1"/>
  <c r="V335" i="1" a="1"/>
  <c r="V335" i="1" s="1"/>
  <c r="V336" i="1" a="1"/>
  <c r="V336" i="1" s="1"/>
  <c r="V337" i="1" a="1"/>
  <c r="V337" i="1"/>
  <c r="V338" i="1" a="1"/>
  <c r="V338" i="1" s="1"/>
  <c r="V339" i="1" a="1"/>
  <c r="V339" i="1" s="1"/>
  <c r="V340" i="1" a="1"/>
  <c r="V340" i="1" s="1"/>
  <c r="V341" i="1" a="1"/>
  <c r="V341" i="1" s="1"/>
  <c r="V342" i="1" a="1"/>
  <c r="V342" i="1" s="1"/>
  <c r="V343" i="1" a="1"/>
  <c r="V343" i="1"/>
  <c r="V344" i="1" a="1"/>
  <c r="V344" i="1" s="1"/>
  <c r="V345" i="1" a="1"/>
  <c r="V345" i="1" s="1"/>
  <c r="V346" i="1" a="1"/>
  <c r="V346" i="1" s="1"/>
  <c r="V347" i="1" a="1"/>
  <c r="V347" i="1" s="1"/>
  <c r="V348" i="1" a="1"/>
  <c r="V348" i="1" s="1"/>
  <c r="V349" i="1" a="1"/>
  <c r="V349" i="1" s="1"/>
  <c r="V350" i="1" a="1"/>
  <c r="V350" i="1" s="1"/>
  <c r="V351" i="1" a="1"/>
  <c r="V351" i="1"/>
  <c r="V352" i="1" a="1"/>
  <c r="V352" i="1"/>
  <c r="V353" i="1" a="1"/>
  <c r="V353" i="1"/>
  <c r="V354" i="1" a="1"/>
  <c r="V354" i="1" s="1"/>
  <c r="V355" i="1" a="1"/>
  <c r="V355" i="1" s="1"/>
  <c r="V356" i="1" a="1"/>
  <c r="V356" i="1" s="1"/>
  <c r="V357" i="1" a="1"/>
  <c r="V357" i="1" s="1"/>
  <c r="V358" i="1" a="1"/>
  <c r="V358" i="1" s="1"/>
  <c r="V359" i="1" a="1"/>
  <c r="V359" i="1" s="1"/>
  <c r="V360" i="1" a="1"/>
  <c r="V360" i="1" s="1"/>
  <c r="V361" i="1" a="1"/>
  <c r="V361" i="1" s="1"/>
  <c r="V362" i="1" a="1"/>
  <c r="V362" i="1" s="1"/>
  <c r="V363" i="1" a="1"/>
  <c r="V363" i="1" s="1"/>
  <c r="V364" i="1" a="1"/>
  <c r="V364" i="1" s="1"/>
  <c r="V365" i="1" a="1"/>
  <c r="V365" i="1" s="1"/>
  <c r="V366" i="1" a="1"/>
  <c r="V366" i="1" s="1"/>
  <c r="V367" i="1" a="1"/>
  <c r="V367" i="1" s="1"/>
  <c r="V368" i="1" a="1"/>
  <c r="V368" i="1" s="1"/>
  <c r="V369" i="1" a="1"/>
  <c r="V369" i="1" s="1"/>
  <c r="V370" i="1" a="1"/>
  <c r="V370" i="1" s="1"/>
  <c r="V371" i="1" a="1"/>
  <c r="V371" i="1" s="1"/>
  <c r="V372" i="1" a="1"/>
  <c r="V372" i="1" s="1"/>
  <c r="V373" i="1" a="1"/>
  <c r="V373" i="1" s="1"/>
  <c r="V374" i="1" a="1"/>
  <c r="V374" i="1" s="1"/>
  <c r="V375" i="1" a="1"/>
  <c r="V375" i="1"/>
  <c r="V376" i="1" a="1"/>
  <c r="V376" i="1" s="1"/>
  <c r="V377" i="1" a="1"/>
  <c r="V377" i="1" s="1"/>
  <c r="V378" i="1" a="1"/>
  <c r="V378" i="1" s="1"/>
  <c r="V379" i="1" a="1"/>
  <c r="V379" i="1" s="1"/>
  <c r="V380" i="1" a="1"/>
  <c r="V380" i="1" s="1"/>
  <c r="V381" i="1" a="1"/>
  <c r="V381" i="1" s="1"/>
  <c r="V382" i="1" a="1"/>
  <c r="V382" i="1" s="1"/>
  <c r="V383" i="1" a="1"/>
  <c r="V383" i="1" s="1"/>
  <c r="V384" i="1" a="1"/>
  <c r="V384" i="1"/>
  <c r="V385" i="1" a="1"/>
  <c r="V385" i="1"/>
  <c r="V386" i="1" a="1"/>
  <c r="V386" i="1" s="1"/>
  <c r="V387" i="1" a="1"/>
  <c r="V387" i="1" s="1"/>
  <c r="V388" i="1" a="1"/>
  <c r="V388" i="1" s="1"/>
  <c r="V389" i="1" a="1"/>
  <c r="V389" i="1" s="1"/>
  <c r="V390" i="1" a="1"/>
  <c r="V390" i="1" s="1"/>
  <c r="V391" i="1" a="1"/>
  <c r="V391" i="1" s="1"/>
  <c r="V392" i="1" a="1"/>
  <c r="V392" i="1" s="1"/>
  <c r="V393" i="1" a="1"/>
  <c r="V393" i="1" s="1"/>
  <c r="V394" i="1" a="1"/>
  <c r="V394" i="1" s="1"/>
  <c r="V395" i="1" a="1"/>
  <c r="V395" i="1" s="1"/>
  <c r="V396" i="1" a="1"/>
  <c r="V396" i="1" s="1"/>
  <c r="V397" i="1" a="1"/>
  <c r="V397" i="1" s="1"/>
  <c r="V398" i="1" a="1"/>
  <c r="V398" i="1" s="1"/>
  <c r="V399" i="1" a="1"/>
  <c r="V399" i="1" s="1"/>
  <c r="V400" i="1" a="1"/>
  <c r="V400" i="1" s="1"/>
  <c r="V401" i="1" a="1"/>
  <c r="V401" i="1"/>
  <c r="V402" i="1" a="1"/>
  <c r="V402" i="1" s="1"/>
  <c r="V403" i="1" a="1"/>
  <c r="V403" i="1" s="1"/>
  <c r="V404" i="1" a="1"/>
  <c r="V404" i="1" s="1"/>
  <c r="V405" i="1" a="1"/>
  <c r="V405" i="1" s="1"/>
  <c r="V406" i="1" a="1"/>
  <c r="V406" i="1" s="1"/>
  <c r="V407" i="1" a="1"/>
  <c r="V407" i="1" s="1"/>
  <c r="V408" i="1" a="1"/>
  <c r="V408" i="1" s="1"/>
  <c r="V409" i="1" a="1"/>
  <c r="V409" i="1" s="1"/>
  <c r="V410" i="1" a="1"/>
  <c r="V410" i="1" s="1"/>
  <c r="V411" i="1" a="1"/>
  <c r="V411" i="1" s="1"/>
  <c r="V412" i="1" a="1"/>
  <c r="V412" i="1" s="1"/>
  <c r="V413" i="1" a="1"/>
  <c r="V413" i="1" s="1"/>
  <c r="V414" i="1" a="1"/>
  <c r="V414" i="1" s="1"/>
  <c r="V415" i="1" a="1"/>
  <c r="V415" i="1"/>
  <c r="V416" i="1" a="1"/>
  <c r="V416" i="1"/>
  <c r="V417" i="1" a="1"/>
  <c r="V417" i="1"/>
  <c r="V418" i="1" a="1"/>
  <c r="V418" i="1" s="1"/>
  <c r="V419" i="1" a="1"/>
  <c r="V419" i="1" s="1"/>
  <c r="V420" i="1" a="1"/>
  <c r="V420" i="1" s="1"/>
  <c r="V421" i="1" a="1"/>
  <c r="V421" i="1" s="1"/>
  <c r="V422" i="1" a="1"/>
  <c r="V422" i="1" s="1"/>
  <c r="V423" i="1" a="1"/>
  <c r="V423" i="1" s="1"/>
  <c r="V424" i="1" a="1"/>
  <c r="V424" i="1" s="1"/>
  <c r="V425" i="1" a="1"/>
  <c r="V425" i="1" s="1"/>
  <c r="V426" i="1" a="1"/>
  <c r="V426" i="1" s="1"/>
  <c r="V427" i="1" a="1"/>
  <c r="V427" i="1" s="1"/>
  <c r="V428" i="1" a="1"/>
  <c r="V428" i="1" s="1"/>
  <c r="V429" i="1" a="1"/>
  <c r="V429" i="1" s="1"/>
  <c r="V430" i="1" a="1"/>
  <c r="V430" i="1" s="1"/>
  <c r="V431" i="1" a="1"/>
  <c r="V431" i="1" s="1"/>
  <c r="V432" i="1" a="1"/>
  <c r="V432" i="1" s="1"/>
  <c r="V433" i="1" a="1"/>
  <c r="V433" i="1" s="1"/>
  <c r="V434" i="1" a="1"/>
  <c r="V434" i="1" s="1"/>
  <c r="V435" i="1" a="1"/>
  <c r="V435" i="1" s="1"/>
  <c r="V436" i="1" a="1"/>
  <c r="V436" i="1" s="1"/>
  <c r="V437" i="1" a="1"/>
  <c r="V437" i="1" s="1"/>
  <c r="V438" i="1" a="1"/>
  <c r="V438" i="1" s="1"/>
  <c r="V439" i="1" a="1"/>
  <c r="V439" i="1"/>
  <c r="V440" i="1" a="1"/>
  <c r="V440" i="1" s="1"/>
  <c r="V441" i="1" a="1"/>
  <c r="V441" i="1" s="1"/>
  <c r="V442" i="1" a="1"/>
  <c r="V442" i="1" s="1"/>
  <c r="V443" i="1" a="1"/>
  <c r="V443" i="1" s="1"/>
  <c r="V444" i="1" a="1"/>
  <c r="V444" i="1" s="1"/>
  <c r="V445" i="1" a="1"/>
  <c r="V445" i="1" s="1"/>
  <c r="V446" i="1" a="1"/>
  <c r="V446" i="1" s="1"/>
  <c r="V447" i="1" a="1"/>
  <c r="V447" i="1" s="1"/>
  <c r="V448" i="1" a="1"/>
  <c r="V448" i="1"/>
  <c r="V449" i="1" a="1"/>
  <c r="V449" i="1"/>
  <c r="V450" i="1" a="1"/>
  <c r="V450" i="1" s="1"/>
  <c r="V451" i="1" a="1"/>
  <c r="V451" i="1" s="1"/>
  <c r="V452" i="1" a="1"/>
  <c r="V452" i="1" s="1"/>
  <c r="V453" i="1" a="1"/>
  <c r="V453" i="1" s="1"/>
  <c r="V454" i="1" a="1"/>
  <c r="V454" i="1" s="1"/>
  <c r="V455" i="1" a="1"/>
  <c r="V455" i="1" s="1"/>
  <c r="V456" i="1" a="1"/>
  <c r="V456" i="1" s="1"/>
  <c r="V457" i="1" a="1"/>
  <c r="V457" i="1" s="1"/>
  <c r="V458" i="1" a="1"/>
  <c r="V458" i="1" s="1"/>
  <c r="V459" i="1" a="1"/>
  <c r="V459" i="1" s="1"/>
  <c r="V460" i="1" a="1"/>
  <c r="V460" i="1" s="1"/>
  <c r="V461" i="1" a="1"/>
  <c r="V461" i="1" s="1"/>
  <c r="V462" i="1" a="1"/>
  <c r="V462" i="1" s="1"/>
  <c r="V463" i="1" a="1"/>
  <c r="V463" i="1" s="1"/>
  <c r="V464" i="1" a="1"/>
  <c r="V464" i="1" s="1"/>
  <c r="V465" i="1" a="1"/>
  <c r="V465" i="1"/>
  <c r="V466" i="1" a="1"/>
  <c r="V466" i="1" s="1"/>
  <c r="V467" i="1" a="1"/>
  <c r="V467" i="1" s="1"/>
  <c r="V468" i="1" a="1"/>
  <c r="V468" i="1" s="1"/>
  <c r="V469" i="1" a="1"/>
  <c r="V469" i="1" s="1"/>
  <c r="V470" i="1" a="1"/>
  <c r="V470" i="1" s="1"/>
  <c r="V471" i="1" a="1"/>
  <c r="V471" i="1" s="1"/>
  <c r="V472" i="1" a="1"/>
  <c r="V472" i="1" s="1"/>
  <c r="V473" i="1" a="1"/>
  <c r="V473" i="1" s="1"/>
  <c r="V474" i="1" a="1"/>
  <c r="V474" i="1" s="1"/>
  <c r="V475" i="1" a="1"/>
  <c r="V475" i="1" s="1"/>
  <c r="V476" i="1" a="1"/>
  <c r="V476" i="1" s="1"/>
  <c r="V477" i="1" a="1"/>
  <c r="V477" i="1" s="1"/>
  <c r="V478" i="1" a="1"/>
  <c r="V478" i="1" s="1"/>
  <c r="V479" i="1" a="1"/>
  <c r="V479" i="1"/>
  <c r="V480" i="1" a="1"/>
  <c r="V480" i="1"/>
  <c r="V481" i="1" a="1"/>
  <c r="V481" i="1"/>
  <c r="V482" i="1" a="1"/>
  <c r="V482" i="1" s="1"/>
  <c r="V483" i="1" a="1"/>
  <c r="V483" i="1" s="1"/>
  <c r="V484" i="1" a="1"/>
  <c r="V484" i="1" s="1"/>
  <c r="V485" i="1" a="1"/>
  <c r="V485" i="1" s="1"/>
  <c r="V486" i="1" a="1"/>
  <c r="V486" i="1" s="1"/>
  <c r="V487" i="1" a="1"/>
  <c r="V487" i="1" s="1"/>
  <c r="V488" i="1" a="1"/>
  <c r="V488" i="1" s="1"/>
  <c r="V489" i="1" a="1"/>
  <c r="V489" i="1" s="1"/>
  <c r="V490" i="1" a="1"/>
  <c r="V490" i="1" s="1"/>
  <c r="V491" i="1" a="1"/>
  <c r="V491" i="1" s="1"/>
  <c r="V492" i="1" a="1"/>
  <c r="V492" i="1" s="1"/>
  <c r="V493" i="1" a="1"/>
  <c r="V493" i="1" s="1"/>
  <c r="V494" i="1" a="1"/>
  <c r="V494" i="1" s="1"/>
  <c r="V495" i="1" a="1"/>
  <c r="V495" i="1" s="1"/>
  <c r="V496" i="1" a="1"/>
  <c r="V496" i="1" s="1"/>
  <c r="V497" i="1" a="1"/>
  <c r="V497" i="1" s="1"/>
  <c r="V498" i="1" a="1"/>
  <c r="V498" i="1" s="1"/>
  <c r="V499" i="1" a="1"/>
  <c r="V499" i="1" s="1"/>
  <c r="V500" i="1" a="1"/>
  <c r="V500" i="1" s="1"/>
  <c r="V501" i="1" a="1"/>
  <c r="V501" i="1" s="1"/>
  <c r="V502" i="1" a="1"/>
  <c r="V502" i="1" s="1"/>
  <c r="V503" i="1" a="1"/>
  <c r="V503" i="1"/>
  <c r="V504" i="1" a="1"/>
  <c r="V504" i="1" s="1"/>
  <c r="V505" i="1" a="1"/>
  <c r="V505" i="1" s="1"/>
  <c r="V506" i="1" a="1"/>
  <c r="V506" i="1" s="1"/>
  <c r="V507" i="1" a="1"/>
  <c r="V507" i="1" s="1"/>
  <c r="V508" i="1" a="1"/>
  <c r="V508" i="1" s="1"/>
  <c r="V509" i="1" a="1"/>
  <c r="V509" i="1" s="1"/>
  <c r="V510" i="1" a="1"/>
  <c r="V510" i="1" s="1"/>
  <c r="V511" i="1" a="1"/>
  <c r="V511" i="1" s="1"/>
  <c r="V512" i="1" a="1"/>
  <c r="V512" i="1"/>
  <c r="V513" i="1" a="1"/>
  <c r="V513" i="1"/>
  <c r="V514" i="1" a="1"/>
  <c r="V514" i="1" s="1"/>
  <c r="V515" i="1" a="1"/>
  <c r="V515" i="1" s="1"/>
  <c r="V516" i="1" a="1"/>
  <c r="V516" i="1" s="1"/>
  <c r="V517" i="1" a="1"/>
  <c r="V517" i="1" s="1"/>
  <c r="V518" i="1" a="1"/>
  <c r="V518" i="1" s="1"/>
  <c r="V519" i="1" a="1"/>
  <c r="V519" i="1" s="1"/>
  <c r="V520" i="1" a="1"/>
  <c r="V520" i="1" s="1"/>
  <c r="V521" i="1" a="1"/>
  <c r="V521" i="1"/>
  <c r="V522" i="1" a="1"/>
  <c r="V522" i="1" s="1"/>
  <c r="V523" i="1" a="1"/>
  <c r="V523" i="1" s="1"/>
  <c r="V524" i="1" a="1"/>
  <c r="V524" i="1" s="1"/>
  <c r="V525" i="1" a="1"/>
  <c r="V525" i="1" s="1"/>
  <c r="V526" i="1" a="1"/>
  <c r="V526" i="1" s="1"/>
  <c r="V527" i="1" a="1"/>
  <c r="V527" i="1" s="1"/>
  <c r="V528" i="1" a="1"/>
  <c r="V528" i="1" s="1"/>
  <c r="V529" i="1" a="1"/>
  <c r="V529" i="1"/>
  <c r="V530" i="1" a="1"/>
  <c r="V530" i="1" s="1"/>
  <c r="V531" i="1" a="1"/>
  <c r="V531" i="1" s="1"/>
  <c r="V532" i="1" a="1"/>
  <c r="V532" i="1" s="1"/>
  <c r="V533" i="1" a="1"/>
  <c r="V533" i="1" s="1"/>
  <c r="V534" i="1" a="1"/>
  <c r="V534" i="1" s="1"/>
  <c r="V535" i="1" a="1"/>
  <c r="V535" i="1" s="1"/>
  <c r="V536" i="1" a="1"/>
  <c r="V536" i="1" s="1"/>
  <c r="V537" i="1" a="1"/>
  <c r="V537" i="1" s="1"/>
  <c r="V538" i="1" a="1"/>
  <c r="V538" i="1" s="1"/>
  <c r="V539" i="1" a="1"/>
  <c r="V539" i="1" s="1"/>
  <c r="V540" i="1" a="1"/>
  <c r="V540" i="1" s="1"/>
  <c r="V541" i="1" a="1"/>
  <c r="V541" i="1" s="1"/>
  <c r="V542" i="1" a="1"/>
  <c r="V542" i="1" s="1"/>
  <c r="V543" i="1" a="1"/>
  <c r="V543" i="1"/>
  <c r="V544" i="1" a="1"/>
  <c r="V544" i="1"/>
  <c r="V545" i="1" a="1"/>
  <c r="V545" i="1"/>
  <c r="V546" i="1" a="1"/>
  <c r="V546" i="1" s="1"/>
  <c r="V547" i="1" a="1"/>
  <c r="V547" i="1" s="1"/>
  <c r="V548" i="1" a="1"/>
  <c r="V548" i="1" s="1"/>
  <c r="V549" i="1" a="1"/>
  <c r="V549" i="1" s="1"/>
  <c r="V550" i="1" a="1"/>
  <c r="V550" i="1" s="1"/>
  <c r="V551" i="1" a="1"/>
  <c r="V551" i="1" s="1"/>
  <c r="V552" i="1" a="1"/>
  <c r="V552" i="1" s="1"/>
  <c r="V553" i="1" a="1"/>
  <c r="V553" i="1" s="1"/>
  <c r="V554" i="1" a="1"/>
  <c r="V554" i="1" s="1"/>
  <c r="V555" i="1" a="1"/>
  <c r="V555" i="1" s="1"/>
  <c r="V556" i="1" a="1"/>
  <c r="V556" i="1" s="1"/>
  <c r="V557" i="1" a="1"/>
  <c r="V557" i="1" s="1"/>
  <c r="V558" i="1" a="1"/>
  <c r="V558" i="1" s="1"/>
  <c r="V559" i="1" a="1"/>
  <c r="V559" i="1" s="1"/>
  <c r="V560" i="1" a="1"/>
  <c r="V560" i="1" s="1"/>
  <c r="V561" i="1" a="1"/>
  <c r="V561" i="1" s="1"/>
  <c r="V562" i="1" a="1"/>
  <c r="V562" i="1" s="1"/>
  <c r="V563" i="1" a="1"/>
  <c r="V563" i="1" s="1"/>
  <c r="V564" i="1" a="1"/>
  <c r="V564" i="1" s="1"/>
  <c r="V565" i="1" a="1"/>
  <c r="V565" i="1" s="1"/>
  <c r="V566" i="1" a="1"/>
  <c r="V566" i="1" s="1"/>
  <c r="V567" i="1" a="1"/>
  <c r="V567" i="1"/>
  <c r="V568" i="1" a="1"/>
  <c r="V568" i="1" s="1"/>
  <c r="V569" i="1" a="1"/>
  <c r="V569" i="1" s="1"/>
  <c r="V570" i="1" a="1"/>
  <c r="V570" i="1" s="1"/>
  <c r="V571" i="1" a="1"/>
  <c r="V571" i="1" s="1"/>
  <c r="V572" i="1" a="1"/>
  <c r="V572" i="1" s="1"/>
  <c r="V573" i="1" a="1"/>
  <c r="V573" i="1"/>
  <c r="V574" i="1" a="1"/>
  <c r="V574" i="1" s="1"/>
  <c r="V575" i="1" a="1"/>
  <c r="V575" i="1" s="1"/>
  <c r="V576" i="1" a="1"/>
  <c r="V576" i="1" s="1"/>
  <c r="V577" i="1" a="1"/>
  <c r="V577" i="1" s="1"/>
  <c r="V578" i="1" a="1"/>
  <c r="V578" i="1" s="1"/>
  <c r="V579" i="1" a="1"/>
  <c r="V579" i="1" s="1"/>
  <c r="V580" i="1" a="1"/>
  <c r="V580" i="1" s="1"/>
  <c r="V581" i="1" a="1"/>
  <c r="V581" i="1" s="1"/>
  <c r="V582" i="1" a="1"/>
  <c r="V582" i="1"/>
  <c r="V583" i="1" a="1"/>
  <c r="V583" i="1" s="1"/>
  <c r="V584" i="1" a="1"/>
  <c r="V584" i="1" s="1"/>
  <c r="V585" i="1" a="1"/>
  <c r="V585" i="1" s="1"/>
  <c r="V586" i="1" a="1"/>
  <c r="V586" i="1" s="1"/>
  <c r="V587" i="1" a="1"/>
  <c r="V587" i="1" s="1"/>
  <c r="V588" i="1" a="1"/>
  <c r="V588" i="1" s="1"/>
  <c r="V589" i="1" a="1"/>
  <c r="V589" i="1"/>
  <c r="V590" i="1" a="1"/>
  <c r="V590" i="1" s="1"/>
  <c r="V591" i="1" a="1"/>
  <c r="V591" i="1"/>
  <c r="V592" i="1" a="1"/>
  <c r="V592" i="1"/>
  <c r="V593" i="1" a="1"/>
  <c r="V593" i="1"/>
  <c r="V594" i="1" a="1"/>
  <c r="V594" i="1" s="1"/>
  <c r="V595" i="1" a="1"/>
  <c r="V595" i="1" s="1"/>
  <c r="V596" i="1" a="1"/>
  <c r="V596" i="1" s="1"/>
  <c r="V597" i="1" a="1"/>
  <c r="V597" i="1"/>
  <c r="V598" i="1" a="1"/>
  <c r="V598" i="1" s="1"/>
  <c r="V599" i="1" a="1"/>
  <c r="V599" i="1" s="1"/>
  <c r="V600" i="1" a="1"/>
  <c r="V600" i="1" s="1"/>
  <c r="V601" i="1" a="1"/>
  <c r="V601" i="1" s="1"/>
  <c r="V602" i="1" a="1"/>
  <c r="V602" i="1" s="1"/>
  <c r="V603" i="1" a="1"/>
  <c r="V603" i="1" s="1"/>
  <c r="V604" i="1" a="1"/>
  <c r="V604" i="1" s="1"/>
  <c r="V605" i="1" a="1"/>
  <c r="V605" i="1" s="1"/>
  <c r="V606" i="1" a="1"/>
  <c r="V606" i="1"/>
  <c r="V607" i="1" a="1"/>
  <c r="V607" i="1" s="1"/>
  <c r="V608" i="1" a="1"/>
  <c r="V608" i="1" s="1"/>
  <c r="V609" i="1" a="1"/>
  <c r="V609" i="1"/>
  <c r="V610" i="1" a="1"/>
  <c r="V610" i="1" s="1"/>
  <c r="V611" i="1" a="1"/>
  <c r="V611" i="1" s="1"/>
  <c r="V612" i="1" a="1"/>
  <c r="V612" i="1" s="1"/>
  <c r="V613" i="1" a="1"/>
  <c r="V613" i="1" s="1"/>
  <c r="V614" i="1" a="1"/>
  <c r="V614" i="1"/>
  <c r="V615" i="1" a="1"/>
  <c r="V615" i="1" s="1"/>
  <c r="V616" i="1" a="1"/>
  <c r="V616" i="1" s="1"/>
  <c r="V617" i="1" a="1"/>
  <c r="V617" i="1" s="1"/>
  <c r="V618" i="1" a="1"/>
  <c r="V618" i="1" s="1"/>
  <c r="V619" i="1" a="1"/>
  <c r="V619" i="1" s="1"/>
  <c r="V620" i="1" a="1"/>
  <c r="V620" i="1" s="1"/>
  <c r="V621" i="1" a="1"/>
  <c r="V621" i="1"/>
  <c r="V622" i="1" a="1"/>
  <c r="V622" i="1" s="1"/>
  <c r="V623" i="1" a="1"/>
  <c r="V623" i="1" s="1"/>
  <c r="V624" i="1" a="1"/>
  <c r="V624" i="1" s="1"/>
  <c r="V625" i="1" a="1"/>
  <c r="V625" i="1"/>
  <c r="V626" i="1" a="1"/>
  <c r="V626" i="1" s="1"/>
  <c r="V627" i="1" a="1"/>
  <c r="V627" i="1" s="1"/>
  <c r="V628" i="1" a="1"/>
  <c r="V628" i="1" s="1"/>
  <c r="V629" i="1" a="1"/>
  <c r="V629" i="1" s="1"/>
  <c r="V630" i="1" a="1"/>
  <c r="V630" i="1" s="1"/>
  <c r="V631" i="1" a="1"/>
  <c r="V631" i="1" s="1"/>
  <c r="V632" i="1" a="1"/>
  <c r="V632" i="1" s="1"/>
  <c r="V633" i="1" a="1"/>
  <c r="V633" i="1"/>
  <c r="V634" i="1" a="1"/>
  <c r="V634" i="1" s="1"/>
  <c r="V635" i="1" a="1"/>
  <c r="V635" i="1" s="1"/>
  <c r="V636" i="1" a="1"/>
  <c r="V636" i="1" s="1"/>
  <c r="V637" i="1" a="1"/>
  <c r="V637" i="1" s="1"/>
  <c r="V638" i="1" a="1"/>
  <c r="V638" i="1"/>
  <c r="V639" i="1" a="1"/>
  <c r="V639" i="1"/>
  <c r="V640" i="1" a="1"/>
  <c r="V640" i="1"/>
  <c r="V641" i="1" a="1"/>
  <c r="V641" i="1"/>
  <c r="V642" i="1" a="1"/>
  <c r="V642" i="1" s="1"/>
  <c r="V643" i="1" a="1"/>
  <c r="V643" i="1" s="1"/>
  <c r="V644" i="1" a="1"/>
  <c r="V644" i="1" s="1"/>
  <c r="V645" i="1" a="1"/>
  <c r="V645" i="1" s="1"/>
  <c r="V646" i="1" a="1"/>
  <c r="V646" i="1" s="1"/>
  <c r="V647" i="1" a="1"/>
  <c r="V647" i="1" s="1"/>
  <c r="V648" i="1" a="1"/>
  <c r="V648" i="1" s="1"/>
  <c r="V649" i="1" a="1"/>
  <c r="V649" i="1" s="1"/>
  <c r="V650" i="1" a="1"/>
  <c r="V650" i="1" s="1"/>
  <c r="V651" i="1" a="1"/>
  <c r="V651" i="1" s="1"/>
  <c r="V652" i="1" a="1"/>
  <c r="V652" i="1" s="1"/>
  <c r="V653" i="1" a="1"/>
  <c r="V653" i="1" s="1"/>
  <c r="V654" i="1" a="1"/>
  <c r="V654" i="1" s="1"/>
  <c r="V655" i="1" a="1"/>
  <c r="V655" i="1" s="1"/>
  <c r="V656" i="1" a="1"/>
  <c r="V656" i="1" s="1"/>
  <c r="V657" i="1" a="1"/>
  <c r="V657" i="1" s="1"/>
  <c r="V658" i="1" a="1"/>
  <c r="V658" i="1" s="1"/>
  <c r="V659" i="1" a="1"/>
  <c r="V659" i="1" s="1"/>
  <c r="V660" i="1" a="1"/>
  <c r="V660" i="1" s="1"/>
  <c r="V661" i="1" a="1"/>
  <c r="V661" i="1"/>
  <c r="V662" i="1" a="1"/>
  <c r="V662" i="1" s="1"/>
  <c r="V663" i="1" a="1"/>
  <c r="V663" i="1" s="1"/>
  <c r="V664" i="1" a="1"/>
  <c r="V664" i="1" s="1"/>
  <c r="V665" i="1" a="1"/>
  <c r="V665" i="1" s="1"/>
  <c r="V666" i="1" a="1"/>
  <c r="V666" i="1" s="1"/>
  <c r="V667" i="1" a="1"/>
  <c r="V667" i="1" s="1"/>
  <c r="V668" i="1" a="1"/>
  <c r="V668" i="1" s="1"/>
  <c r="V669" i="1" a="1"/>
  <c r="V669" i="1"/>
  <c r="V670" i="1" a="1"/>
  <c r="V670" i="1" s="1"/>
  <c r="V671" i="1" a="1"/>
  <c r="V671" i="1"/>
  <c r="V672" i="1" a="1"/>
  <c r="V672" i="1"/>
  <c r="V673" i="1" a="1"/>
  <c r="V673" i="1" s="1"/>
  <c r="V674" i="1" a="1"/>
  <c r="V674" i="1" s="1"/>
  <c r="V675" i="1" a="1"/>
  <c r="V675" i="1" s="1"/>
  <c r="V676" i="1" a="1"/>
  <c r="V676" i="1" s="1"/>
  <c r="V677" i="1" a="1"/>
  <c r="V677" i="1" s="1"/>
  <c r="V678" i="1" a="1"/>
  <c r="V678" i="1" s="1"/>
  <c r="V679" i="1" a="1"/>
  <c r="V679" i="1" s="1"/>
  <c r="V680" i="1" a="1"/>
  <c r="V680" i="1" s="1"/>
  <c r="V681" i="1" a="1"/>
  <c r="V681" i="1" s="1"/>
  <c r="V682" i="1" a="1"/>
  <c r="V682" i="1" s="1"/>
  <c r="V683" i="1" a="1"/>
  <c r="V683" i="1"/>
  <c r="V684" i="1" a="1"/>
  <c r="V684" i="1"/>
  <c r="V685" i="1" a="1"/>
  <c r="V685" i="1" s="1"/>
  <c r="V686" i="1" a="1"/>
  <c r="V686" i="1" s="1"/>
  <c r="V687" i="1" a="1"/>
  <c r="V687" i="1" s="1"/>
  <c r="V688" i="1" a="1"/>
  <c r="V688" i="1" s="1"/>
  <c r="V689" i="1" a="1"/>
  <c r="V689" i="1" s="1"/>
  <c r="V690" i="1" a="1"/>
  <c r="V690" i="1" s="1"/>
  <c r="V691" i="1" a="1"/>
  <c r="V691" i="1"/>
  <c r="V692" i="1" a="1"/>
  <c r="V692" i="1" s="1"/>
  <c r="V693" i="1" a="1"/>
  <c r="V693" i="1" s="1"/>
  <c r="V694" i="1" a="1"/>
  <c r="V694" i="1" s="1"/>
  <c r="V695" i="1" a="1"/>
  <c r="V695" i="1" s="1"/>
  <c r="V696" i="1" a="1"/>
  <c r="V696" i="1" s="1"/>
  <c r="V697" i="1" a="1"/>
  <c r="V697" i="1" s="1"/>
  <c r="V698" i="1" a="1"/>
  <c r="V698" i="1"/>
  <c r="V699" i="1" a="1"/>
  <c r="V699" i="1" s="1"/>
  <c r="V700" i="1" a="1"/>
  <c r="V700" i="1" s="1"/>
  <c r="V701" i="1" a="1"/>
  <c r="V701" i="1" s="1"/>
  <c r="V702" i="1" a="1"/>
  <c r="V702" i="1" s="1"/>
  <c r="V703" i="1" a="1"/>
  <c r="V703" i="1" s="1"/>
  <c r="V704" i="1" a="1"/>
  <c r="V704" i="1"/>
  <c r="V705" i="1" a="1"/>
  <c r="V705" i="1" s="1"/>
  <c r="V706" i="1" a="1"/>
  <c r="V706" i="1"/>
  <c r="V707" i="1" a="1"/>
  <c r="V707" i="1"/>
  <c r="V708" i="1" a="1"/>
  <c r="V708" i="1" s="1"/>
  <c r="V709" i="1" a="1"/>
  <c r="V709" i="1" s="1"/>
  <c r="V710" i="1" a="1"/>
  <c r="V710" i="1" s="1"/>
  <c r="V711" i="1" a="1"/>
  <c r="V711" i="1" s="1"/>
  <c r="V712" i="1" a="1"/>
  <c r="V712" i="1" s="1"/>
  <c r="V713" i="1" a="1"/>
  <c r="V713" i="1" s="1"/>
  <c r="V714" i="1" a="1"/>
  <c r="V714" i="1" s="1"/>
  <c r="V715" i="1" a="1"/>
  <c r="V715" i="1"/>
  <c r="V716" i="1" a="1"/>
  <c r="V716" i="1"/>
  <c r="V717" i="1" a="1"/>
  <c r="V717" i="1" s="1"/>
  <c r="V718" i="1" a="1"/>
  <c r="V718" i="1" s="1"/>
  <c r="V719" i="1" a="1"/>
  <c r="V719" i="1" s="1"/>
  <c r="V720" i="1" a="1"/>
  <c r="V720" i="1" s="1"/>
  <c r="V721" i="1" a="1"/>
  <c r="V721" i="1" s="1"/>
  <c r="V722" i="1" a="1"/>
  <c r="V722" i="1" s="1"/>
  <c r="V723" i="1" a="1"/>
  <c r="V723" i="1"/>
  <c r="V724" i="1" a="1"/>
  <c r="V724" i="1" s="1"/>
  <c r="V725" i="1" a="1"/>
  <c r="V725" i="1" s="1"/>
  <c r="V726" i="1" a="1"/>
  <c r="V726" i="1" s="1"/>
  <c r="V727" i="1" a="1"/>
  <c r="V727" i="1" s="1"/>
  <c r="V728" i="1" a="1"/>
  <c r="V728" i="1" s="1"/>
  <c r="V729" i="1" a="1"/>
  <c r="V729" i="1" s="1"/>
  <c r="V730" i="1" a="1"/>
  <c r="V730" i="1" s="1"/>
  <c r="V731" i="1" a="1"/>
  <c r="V731" i="1" s="1"/>
  <c r="V732" i="1" a="1"/>
  <c r="V732" i="1" s="1"/>
  <c r="V733" i="1" a="1"/>
  <c r="V733" i="1" s="1"/>
  <c r="V734" i="1" a="1"/>
  <c r="V734" i="1" s="1"/>
  <c r="V735" i="1" a="1"/>
  <c r="V735" i="1" s="1"/>
  <c r="V736" i="1" a="1"/>
  <c r="V736" i="1"/>
  <c r="V737" i="1" a="1"/>
  <c r="V737" i="1" s="1"/>
  <c r="V738" i="1" a="1"/>
  <c r="V738" i="1"/>
  <c r="V739" i="1" a="1"/>
  <c r="V739" i="1"/>
  <c r="V740" i="1" a="1"/>
  <c r="V740" i="1" s="1"/>
  <c r="V741" i="1" a="1"/>
  <c r="V741" i="1" s="1"/>
  <c r="V742" i="1" a="1"/>
  <c r="V742" i="1" s="1"/>
  <c r="V743" i="1" a="1"/>
  <c r="V743" i="1" s="1"/>
  <c r="V744" i="1" a="1"/>
  <c r="V744" i="1" s="1"/>
  <c r="V745" i="1" a="1"/>
  <c r="V745" i="1" s="1"/>
  <c r="V746" i="1" a="1"/>
  <c r="V746" i="1" s="1"/>
  <c r="V747" i="1" a="1"/>
  <c r="V747" i="1"/>
  <c r="V748" i="1" a="1"/>
  <c r="V748" i="1"/>
  <c r="V749" i="1" a="1"/>
  <c r="V749" i="1" s="1"/>
  <c r="V750" i="1" a="1"/>
  <c r="V750" i="1" s="1"/>
  <c r="V751" i="1" a="1"/>
  <c r="V751" i="1" s="1"/>
  <c r="V752" i="1" a="1"/>
  <c r="V752" i="1" s="1"/>
  <c r="V753" i="1" a="1"/>
  <c r="V753" i="1" s="1"/>
  <c r="V754" i="1" a="1"/>
  <c r="V754" i="1" s="1"/>
  <c r="V755" i="1" a="1"/>
  <c r="V755" i="1"/>
  <c r="V756" i="1" a="1"/>
  <c r="V756" i="1" s="1"/>
  <c r="V757" i="1" a="1"/>
  <c r="V757" i="1" s="1"/>
  <c r="V758" i="1" a="1"/>
  <c r="V758" i="1" s="1"/>
  <c r="V759" i="1" a="1"/>
  <c r="V759" i="1" s="1"/>
  <c r="V760" i="1" a="1"/>
  <c r="V760" i="1" s="1"/>
  <c r="V761" i="1" a="1"/>
  <c r="V761" i="1" s="1"/>
  <c r="V762" i="1" a="1"/>
  <c r="V762" i="1" s="1"/>
  <c r="V763" i="1" a="1"/>
  <c r="V763" i="1" s="1"/>
  <c r="V764" i="1" a="1"/>
  <c r="V764" i="1" s="1"/>
  <c r="V765" i="1" a="1"/>
  <c r="V765" i="1" s="1"/>
  <c r="V766" i="1" a="1"/>
  <c r="V766" i="1" s="1"/>
  <c r="V767" i="1" a="1"/>
  <c r="V767" i="1" s="1"/>
  <c r="V768" i="1" a="1"/>
  <c r="V768" i="1"/>
  <c r="V769" i="1" a="1"/>
  <c r="V769" i="1" s="1"/>
  <c r="V770" i="1" a="1"/>
  <c r="V770" i="1"/>
  <c r="V771" i="1" a="1"/>
  <c r="V771" i="1"/>
  <c r="V772" i="1" a="1"/>
  <c r="V772" i="1" s="1"/>
  <c r="V773" i="1" a="1"/>
  <c r="V773" i="1" s="1"/>
  <c r="V774" i="1" a="1"/>
  <c r="V774" i="1" s="1"/>
  <c r="V775" i="1" a="1"/>
  <c r="V775" i="1" s="1"/>
  <c r="V776" i="1" a="1"/>
  <c r="V776" i="1" s="1"/>
  <c r="V777" i="1" a="1"/>
  <c r="V777" i="1" s="1"/>
  <c r="V778" i="1" a="1"/>
  <c r="V778" i="1" s="1"/>
  <c r="V779" i="1" a="1"/>
  <c r="V779" i="1"/>
  <c r="V780" i="1" a="1"/>
  <c r="V780" i="1"/>
  <c r="V781" i="1" a="1"/>
  <c r="V781" i="1" s="1"/>
  <c r="V782" i="1" a="1"/>
  <c r="V782" i="1" s="1"/>
  <c r="V783" i="1" a="1"/>
  <c r="V783" i="1" s="1"/>
  <c r="V784" i="1" a="1"/>
  <c r="V784" i="1" s="1"/>
  <c r="V785" i="1" a="1"/>
  <c r="V785" i="1" s="1"/>
  <c r="V786" i="1" a="1"/>
  <c r="V786" i="1" s="1"/>
  <c r="V787" i="1" a="1"/>
  <c r="V787" i="1"/>
  <c r="V788" i="1" a="1"/>
  <c r="V788" i="1" s="1"/>
  <c r="V789" i="1" a="1"/>
  <c r="V789" i="1" s="1"/>
  <c r="V790" i="1" a="1"/>
  <c r="V790" i="1" s="1"/>
  <c r="V791" i="1" a="1"/>
  <c r="V791" i="1" s="1"/>
  <c r="V792" i="1" a="1"/>
  <c r="V792" i="1" s="1"/>
  <c r="V793" i="1" a="1"/>
  <c r="V793" i="1" s="1"/>
  <c r="V794" i="1" a="1"/>
  <c r="V794" i="1" s="1"/>
  <c r="V795" i="1" a="1"/>
  <c r="V795" i="1" s="1"/>
  <c r="V796" i="1" a="1"/>
  <c r="V796" i="1"/>
  <c r="V797" i="1" a="1"/>
  <c r="V797" i="1" s="1"/>
  <c r="V798" i="1" a="1"/>
  <c r="V798" i="1" s="1"/>
  <c r="V799" i="1" a="1"/>
  <c r="V799" i="1" s="1"/>
  <c r="V800" i="1" a="1"/>
  <c r="V800" i="1" s="1"/>
  <c r="V801" i="1" a="1"/>
  <c r="V801" i="1" s="1"/>
  <c r="V802" i="1" a="1"/>
  <c r="V802" i="1"/>
  <c r="V803" i="1" a="1"/>
  <c r="V803" i="1"/>
  <c r="V804" i="1" a="1"/>
  <c r="V804" i="1"/>
  <c r="V805" i="1" a="1"/>
  <c r="V805" i="1" s="1"/>
  <c r="V806" i="1" a="1"/>
  <c r="V806" i="1" s="1"/>
  <c r="V807" i="1" a="1"/>
  <c r="V807" i="1" s="1"/>
  <c r="V808" i="1" a="1"/>
  <c r="V808" i="1" s="1"/>
  <c r="V809" i="1" a="1"/>
  <c r="V809" i="1" s="1"/>
  <c r="V810" i="1" a="1"/>
  <c r="V810" i="1" s="1"/>
  <c r="V811" i="1" a="1"/>
  <c r="V811" i="1" s="1"/>
  <c r="V812" i="1" a="1"/>
  <c r="V812" i="1"/>
  <c r="V813" i="1" a="1"/>
  <c r="V813" i="1" s="1"/>
  <c r="V814" i="1" a="1"/>
  <c r="V814" i="1" s="1"/>
  <c r="V815" i="1" a="1"/>
  <c r="V815" i="1" s="1"/>
  <c r="V816" i="1" a="1"/>
  <c r="V816" i="1" s="1"/>
  <c r="V817" i="1" a="1"/>
  <c r="V817" i="1" s="1"/>
  <c r="V818" i="1" a="1"/>
  <c r="V818" i="1" s="1"/>
  <c r="V819" i="1" a="1"/>
  <c r="V819" i="1" s="1"/>
  <c r="V820" i="1" a="1"/>
  <c r="V820" i="1" s="1"/>
  <c r="V821" i="1" a="1"/>
  <c r="V821" i="1" s="1"/>
  <c r="V822" i="1" a="1"/>
  <c r="V822" i="1" s="1"/>
  <c r="V823" i="1" a="1"/>
  <c r="V823" i="1" s="1"/>
  <c r="V824" i="1" a="1"/>
  <c r="V824" i="1" s="1"/>
  <c r="V825" i="1" a="1"/>
  <c r="V825" i="1" s="1"/>
  <c r="V826" i="1" a="1"/>
  <c r="V826" i="1" s="1"/>
  <c r="V827" i="1" a="1"/>
  <c r="V827" i="1" s="1"/>
  <c r="V828" i="1" a="1"/>
  <c r="V828" i="1" s="1"/>
  <c r="V829" i="1" a="1"/>
  <c r="V829" i="1" s="1"/>
  <c r="V830" i="1" a="1"/>
  <c r="V830" i="1" s="1"/>
  <c r="V831" i="1" a="1"/>
  <c r="V831" i="1" s="1"/>
  <c r="V832" i="1" a="1"/>
  <c r="V832" i="1" s="1"/>
  <c r="V833" i="1" a="1"/>
  <c r="V833" i="1" s="1"/>
  <c r="V834" i="1" a="1"/>
  <c r="V834" i="1"/>
  <c r="V835" i="1" a="1"/>
  <c r="V835" i="1" s="1"/>
  <c r="V836" i="1" a="1"/>
  <c r="V836" i="1"/>
  <c r="V837" i="1" a="1"/>
  <c r="V837" i="1" s="1"/>
  <c r="V838" i="1" a="1"/>
  <c r="V838" i="1" s="1"/>
  <c r="V839" i="1" a="1"/>
  <c r="V839" i="1" s="1"/>
  <c r="V840" i="1" a="1"/>
  <c r="V840" i="1" s="1"/>
  <c r="V841" i="1" a="1"/>
  <c r="V841" i="1" s="1"/>
  <c r="V842" i="1" a="1"/>
  <c r="V842" i="1" s="1"/>
  <c r="V843" i="1" a="1"/>
  <c r="V843" i="1"/>
  <c r="V844" i="1" a="1"/>
  <c r="V844" i="1" s="1"/>
  <c r="V845" i="1" a="1"/>
  <c r="V845" i="1" s="1"/>
  <c r="V846" i="1" a="1"/>
  <c r="V846" i="1" s="1"/>
  <c r="V847" i="1" a="1"/>
  <c r="V847" i="1" s="1"/>
  <c r="V848" i="1" a="1"/>
  <c r="V848" i="1" s="1"/>
  <c r="V849" i="1" a="1"/>
  <c r="V849" i="1" s="1"/>
  <c r="V850" i="1" a="1"/>
  <c r="V850" i="1"/>
  <c r="V851" i="1" a="1"/>
  <c r="V851" i="1"/>
  <c r="V852" i="1" a="1"/>
  <c r="V852" i="1" s="1"/>
  <c r="V853" i="1" a="1"/>
  <c r="V853" i="1" s="1"/>
  <c r="V854" i="1" a="1"/>
  <c r="V854" i="1" s="1"/>
  <c r="V855" i="1" a="1"/>
  <c r="V855" i="1" s="1"/>
  <c r="V856" i="1" a="1"/>
  <c r="V856" i="1" s="1"/>
  <c r="V857" i="1" a="1"/>
  <c r="V857" i="1" s="1"/>
  <c r="V858" i="1" a="1"/>
  <c r="V858" i="1" s="1"/>
  <c r="V859" i="1" a="1"/>
  <c r="V859" i="1"/>
  <c r="V860" i="1" a="1"/>
  <c r="V860" i="1" s="1"/>
  <c r="V861" i="1" a="1"/>
  <c r="V861" i="1" s="1"/>
  <c r="V862" i="1" a="1"/>
  <c r="V862" i="1" s="1"/>
  <c r="V863" i="1" a="1"/>
  <c r="V863" i="1" s="1"/>
  <c r="V864" i="1" a="1"/>
  <c r="V864" i="1" s="1"/>
  <c r="V865" i="1" a="1"/>
  <c r="V865" i="1" s="1"/>
  <c r="V866" i="1" a="1"/>
  <c r="V866" i="1" s="1"/>
  <c r="V867" i="1" a="1"/>
  <c r="V867" i="1" s="1"/>
  <c r="V868" i="1" a="1"/>
  <c r="V868" i="1"/>
  <c r="V869" i="1" a="1"/>
  <c r="V869" i="1" s="1"/>
  <c r="V870" i="1" a="1"/>
  <c r="V870" i="1" s="1"/>
  <c r="V871" i="1" a="1"/>
  <c r="V871" i="1" s="1"/>
  <c r="V872" i="1" a="1"/>
  <c r="V872" i="1" s="1"/>
  <c r="V873" i="1" a="1"/>
  <c r="V873" i="1" s="1"/>
  <c r="V874" i="1" a="1"/>
  <c r="V874" i="1" s="1"/>
  <c r="V875" i="1" a="1"/>
  <c r="V875" i="1" s="1"/>
  <c r="V876" i="1" a="1"/>
  <c r="V876" i="1" s="1"/>
  <c r="V877" i="1" a="1"/>
  <c r="V877" i="1" s="1"/>
  <c r="V878" i="1" a="1"/>
  <c r="V878" i="1" s="1"/>
  <c r="V879" i="1" a="1"/>
  <c r="V879" i="1" s="1"/>
  <c r="V880" i="1" a="1"/>
  <c r="V880" i="1" s="1"/>
  <c r="V881" i="1" a="1"/>
  <c r="V881" i="1" s="1"/>
  <c r="V882" i="1" a="1"/>
  <c r="V882" i="1" s="1"/>
  <c r="V883" i="1" a="1"/>
  <c r="V883" i="1"/>
  <c r="V884" i="1" a="1"/>
  <c r="V884" i="1"/>
  <c r="V885" i="1" a="1"/>
  <c r="V885" i="1" s="1"/>
  <c r="V886" i="1" a="1"/>
  <c r="V886" i="1" s="1"/>
  <c r="V887" i="1" a="1"/>
  <c r="V887" i="1" s="1"/>
  <c r="V888" i="1" a="1"/>
  <c r="V888" i="1" s="1"/>
  <c r="V889" i="1" a="1"/>
  <c r="V889" i="1" s="1"/>
  <c r="V890" i="1" a="1"/>
  <c r="V890" i="1"/>
  <c r="V891" i="1" a="1"/>
  <c r="V891" i="1" s="1"/>
  <c r="V892" i="1" a="1"/>
  <c r="V892" i="1" s="1"/>
  <c r="V893" i="1" a="1"/>
  <c r="V893" i="1" s="1"/>
  <c r="V894" i="1" a="1"/>
  <c r="V894" i="1" s="1"/>
  <c r="V895" i="1" a="1"/>
  <c r="V895" i="1" s="1"/>
  <c r="V896" i="1" a="1"/>
  <c r="V896" i="1" s="1"/>
  <c r="V897" i="1" a="1"/>
  <c r="V897" i="1" s="1"/>
  <c r="V898" i="1" a="1"/>
  <c r="V898" i="1"/>
  <c r="V899" i="1" a="1"/>
  <c r="V899" i="1" s="1"/>
  <c r="V900" i="1" a="1"/>
  <c r="V900" i="1" s="1"/>
  <c r="V901" i="1" a="1"/>
  <c r="V901" i="1" s="1"/>
  <c r="V902" i="1" a="1"/>
  <c r="V902" i="1" s="1"/>
  <c r="V903" i="1" a="1"/>
  <c r="V903" i="1" s="1"/>
  <c r="V904" i="1" a="1"/>
  <c r="V904" i="1" s="1"/>
  <c r="V905" i="1" a="1"/>
  <c r="V905" i="1" s="1"/>
  <c r="V906" i="1" a="1"/>
  <c r="V906" i="1"/>
  <c r="V907" i="1" a="1"/>
  <c r="V907" i="1" s="1"/>
  <c r="V908" i="1" a="1"/>
  <c r="V908" i="1" s="1"/>
  <c r="V909" i="1" a="1"/>
  <c r="V909" i="1" s="1"/>
  <c r="V910" i="1" a="1"/>
  <c r="V910" i="1" s="1"/>
  <c r="V911" i="1" a="1"/>
  <c r="V911" i="1" s="1"/>
  <c r="V912" i="1" a="1"/>
  <c r="V912" i="1" s="1"/>
  <c r="V913" i="1" a="1"/>
  <c r="V913" i="1" s="1"/>
  <c r="V914" i="1" a="1"/>
  <c r="V914" i="1" s="1"/>
  <c r="V915" i="1" a="1"/>
  <c r="V915" i="1"/>
  <c r="V916" i="1" a="1"/>
  <c r="V916" i="1" s="1"/>
  <c r="V917" i="1" a="1"/>
  <c r="V917" i="1" s="1"/>
  <c r="V918" i="1" a="1"/>
  <c r="V918" i="1" s="1"/>
  <c r="V919" i="1" a="1"/>
  <c r="V919" i="1" s="1"/>
  <c r="V920" i="1" a="1"/>
  <c r="V920" i="1" s="1"/>
  <c r="V921" i="1" a="1"/>
  <c r="V921" i="1" s="1"/>
  <c r="V922" i="1" a="1"/>
  <c r="V922" i="1" s="1"/>
  <c r="V923" i="1" a="1"/>
  <c r="V923" i="1" s="1"/>
  <c r="V924" i="1" a="1"/>
  <c r="V924" i="1"/>
  <c r="V925" i="1" a="1"/>
  <c r="V925" i="1" s="1"/>
  <c r="V926" i="1" a="1"/>
  <c r="V926" i="1" s="1"/>
  <c r="V927" i="1" a="1"/>
  <c r="V927" i="1" s="1"/>
  <c r="V928" i="1" a="1"/>
  <c r="V928" i="1" s="1"/>
  <c r="V929" i="1" a="1"/>
  <c r="V929" i="1" s="1"/>
  <c r="V930" i="1" a="1"/>
  <c r="V930" i="1"/>
  <c r="V931" i="1" a="1"/>
  <c r="V931" i="1"/>
  <c r="V932" i="1" a="1"/>
  <c r="V932" i="1"/>
  <c r="V933" i="1" a="1"/>
  <c r="V933" i="1" s="1"/>
  <c r="V934" i="1" a="1"/>
  <c r="V934" i="1" s="1"/>
  <c r="V935" i="1" a="1"/>
  <c r="V935" i="1" s="1"/>
  <c r="V936" i="1" a="1"/>
  <c r="V936" i="1" s="1"/>
  <c r="V937" i="1" a="1"/>
  <c r="V937" i="1" s="1"/>
  <c r="V938" i="1" a="1"/>
  <c r="V938" i="1" s="1"/>
  <c r="V939" i="1" a="1"/>
  <c r="V939" i="1" s="1"/>
  <c r="V940" i="1" a="1"/>
  <c r="V940" i="1"/>
  <c r="V941" i="1" a="1"/>
  <c r="V941" i="1" s="1"/>
  <c r="V942" i="1" a="1"/>
  <c r="V942" i="1" s="1"/>
  <c r="V943" i="1" a="1"/>
  <c r="V943" i="1" s="1"/>
  <c r="V944" i="1" a="1"/>
  <c r="V944" i="1" s="1"/>
  <c r="V945" i="1" a="1"/>
  <c r="V945" i="1" s="1"/>
  <c r="V946" i="1" a="1"/>
  <c r="V946" i="1" s="1"/>
  <c r="V947" i="1" a="1"/>
  <c r="V947" i="1" s="1"/>
  <c r="V948" i="1" a="1"/>
  <c r="V948" i="1" s="1"/>
  <c r="V949" i="1" a="1"/>
  <c r="V949" i="1" s="1"/>
  <c r="V950" i="1" a="1"/>
  <c r="V950" i="1" s="1"/>
  <c r="V951" i="1" a="1"/>
  <c r="V951" i="1" s="1"/>
  <c r="V952" i="1" a="1"/>
  <c r="V952" i="1" s="1"/>
  <c r="V953" i="1" a="1"/>
  <c r="V953" i="1" s="1"/>
  <c r="V954" i="1" a="1"/>
  <c r="V954" i="1" s="1"/>
  <c r="V955" i="1" a="1"/>
  <c r="V955" i="1" s="1"/>
  <c r="V956" i="1" a="1"/>
  <c r="V956" i="1" s="1"/>
  <c r="V957" i="1" a="1"/>
  <c r="V957" i="1" s="1"/>
  <c r="V958" i="1" a="1"/>
  <c r="V958" i="1" s="1"/>
  <c r="V959" i="1" a="1"/>
  <c r="V959" i="1" s="1"/>
  <c r="V960" i="1" a="1"/>
  <c r="V960" i="1" s="1"/>
  <c r="V961" i="1" a="1"/>
  <c r="V961" i="1" s="1"/>
  <c r="V962" i="1" a="1"/>
  <c r="V962" i="1"/>
  <c r="V963" i="1" a="1"/>
  <c r="V963" i="1" s="1"/>
  <c r="V964" i="1" a="1"/>
  <c r="V964" i="1"/>
  <c r="V965" i="1" a="1"/>
  <c r="V965" i="1" s="1"/>
  <c r="V966" i="1" a="1"/>
  <c r="V966" i="1" s="1"/>
  <c r="V967" i="1" a="1"/>
  <c r="V967" i="1" s="1"/>
  <c r="V968" i="1" a="1"/>
  <c r="V968" i="1" s="1"/>
  <c r="V969" i="1" a="1"/>
  <c r="V969" i="1" s="1"/>
  <c r="V970" i="1" a="1"/>
  <c r="V970" i="1" s="1"/>
  <c r="V971" i="1" a="1"/>
  <c r="V971" i="1"/>
  <c r="V972" i="1" a="1"/>
  <c r="V972" i="1" s="1"/>
  <c r="V973" i="1" a="1"/>
  <c r="V973" i="1" s="1"/>
  <c r="V974" i="1" a="1"/>
  <c r="V974" i="1" s="1"/>
  <c r="V975" i="1" a="1"/>
  <c r="V975" i="1" s="1"/>
  <c r="V976" i="1" a="1"/>
  <c r="V976" i="1" s="1"/>
  <c r="V977" i="1" a="1"/>
  <c r="V977" i="1" s="1"/>
  <c r="V978" i="1" a="1"/>
  <c r="V978" i="1"/>
  <c r="V979" i="1" a="1"/>
  <c r="V979" i="1"/>
  <c r="V980" i="1" a="1"/>
  <c r="V980" i="1" s="1"/>
  <c r="V981" i="1" a="1"/>
  <c r="V981" i="1" s="1"/>
  <c r="V982" i="1" a="1"/>
  <c r="V982" i="1" s="1"/>
  <c r="V983" i="1" a="1"/>
  <c r="V983" i="1" s="1"/>
  <c r="V984" i="1" a="1"/>
  <c r="V984" i="1" s="1"/>
  <c r="V985" i="1" a="1"/>
  <c r="V985" i="1" s="1"/>
  <c r="V986" i="1" a="1"/>
  <c r="V986" i="1" s="1"/>
  <c r="V987" i="1" a="1"/>
  <c r="V987" i="1"/>
  <c r="V988" i="1" a="1"/>
  <c r="V988" i="1" s="1"/>
  <c r="V989" i="1" a="1"/>
  <c r="V989" i="1" s="1"/>
  <c r="V990" i="1" a="1"/>
  <c r="V990" i="1" s="1"/>
  <c r="V991" i="1" a="1"/>
  <c r="V991" i="1" s="1"/>
  <c r="V992" i="1" a="1"/>
  <c r="V992" i="1" s="1"/>
  <c r="V993" i="1" a="1"/>
  <c r="V993" i="1" s="1"/>
  <c r="V994" i="1" a="1"/>
  <c r="V994" i="1" s="1"/>
  <c r="V995" i="1" a="1"/>
  <c r="V995" i="1" s="1"/>
  <c r="V996" i="1" a="1"/>
  <c r="V996" i="1"/>
  <c r="V997" i="1" a="1"/>
  <c r="V997" i="1" s="1"/>
  <c r="V998" i="1" a="1"/>
  <c r="V998" i="1" s="1"/>
  <c r="V999" i="1" a="1"/>
  <c r="V999" i="1" s="1"/>
  <c r="V1000" i="1" a="1"/>
  <c r="V1000" i="1" s="1"/>
  <c r="V1001" i="1" a="1"/>
  <c r="V1001" i="1" s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U83" i="1" a="1"/>
  <c r="U83" i="1" s="1"/>
  <c r="U84" i="1" a="1"/>
  <c r="U84" i="1" s="1"/>
  <c r="U85" i="1" a="1"/>
  <c r="U85" i="1" s="1"/>
  <c r="U86" i="1" a="1"/>
  <c r="U86" i="1" s="1"/>
  <c r="U87" i="1" a="1"/>
  <c r="U87" i="1" s="1"/>
  <c r="U88" i="1" a="1"/>
  <c r="U88" i="1" s="1"/>
  <c r="U89" i="1" a="1"/>
  <c r="U89" i="1" s="1"/>
  <c r="U90" i="1" a="1"/>
  <c r="U90" i="1" s="1"/>
  <c r="U91" i="1" a="1"/>
  <c r="U91" i="1" s="1"/>
  <c r="U92" i="1" a="1"/>
  <c r="U92" i="1" s="1"/>
  <c r="U93" i="1" a="1"/>
  <c r="U93" i="1" s="1"/>
  <c r="U94" i="1" a="1"/>
  <c r="U94" i="1" s="1"/>
  <c r="U95" i="1" a="1"/>
  <c r="U95" i="1" s="1"/>
  <c r="U96" i="1" a="1"/>
  <c r="U96" i="1" s="1"/>
  <c r="U97" i="1" a="1"/>
  <c r="U97" i="1" s="1"/>
  <c r="U98" i="1" a="1"/>
  <c r="U98" i="1" s="1"/>
  <c r="U99" i="1" a="1"/>
  <c r="U99" i="1" s="1"/>
  <c r="U100" i="1" a="1"/>
  <c r="U100" i="1" s="1"/>
  <c r="U101" i="1" a="1"/>
  <c r="U101" i="1" s="1"/>
  <c r="U102" i="1" a="1"/>
  <c r="U102" i="1" s="1"/>
  <c r="U103" i="1" a="1"/>
  <c r="U103" i="1" s="1"/>
  <c r="U104" i="1" a="1"/>
  <c r="U104" i="1" s="1"/>
  <c r="U105" i="1" a="1"/>
  <c r="U105" i="1" s="1"/>
  <c r="U106" i="1" a="1"/>
  <c r="U106" i="1" s="1"/>
  <c r="U107" i="1" a="1"/>
  <c r="U107" i="1" s="1"/>
  <c r="U108" i="1" a="1"/>
  <c r="U108" i="1" s="1"/>
  <c r="U109" i="1" a="1"/>
  <c r="U109" i="1" s="1"/>
  <c r="U110" i="1" a="1"/>
  <c r="U110" i="1" s="1"/>
  <c r="U111" i="1" a="1"/>
  <c r="U111" i="1" s="1"/>
  <c r="U112" i="1" a="1"/>
  <c r="U112" i="1" s="1"/>
  <c r="U113" i="1" a="1"/>
  <c r="U113" i="1" s="1"/>
  <c r="U114" i="1" a="1"/>
  <c r="U114" i="1" s="1"/>
  <c r="U115" i="1" a="1"/>
  <c r="U115" i="1" s="1"/>
  <c r="U116" i="1" a="1"/>
  <c r="U116" i="1" s="1"/>
  <c r="U117" i="1" a="1"/>
  <c r="U117" i="1" s="1"/>
  <c r="U118" i="1" a="1"/>
  <c r="U118" i="1" s="1"/>
  <c r="U119" i="1" a="1"/>
  <c r="U119" i="1" s="1"/>
  <c r="U120" i="1" a="1"/>
  <c r="U120" i="1" s="1"/>
  <c r="U121" i="1" a="1"/>
  <c r="U121" i="1" s="1"/>
  <c r="U122" i="1" a="1"/>
  <c r="U122" i="1" s="1"/>
  <c r="U123" i="1" a="1"/>
  <c r="U123" i="1" s="1"/>
  <c r="U124" i="1" a="1"/>
  <c r="U124" i="1" s="1"/>
  <c r="U125" i="1" a="1"/>
  <c r="U125" i="1" s="1"/>
  <c r="U126" i="1" a="1"/>
  <c r="U126" i="1" s="1"/>
  <c r="U127" i="1" a="1"/>
  <c r="U127" i="1" s="1"/>
  <c r="U128" i="1" a="1"/>
  <c r="U128" i="1" s="1"/>
  <c r="U129" i="1" a="1"/>
  <c r="U129" i="1" s="1"/>
  <c r="U130" i="1" a="1"/>
  <c r="U130" i="1" s="1"/>
  <c r="U131" i="1" a="1"/>
  <c r="U131" i="1" s="1"/>
  <c r="U132" i="1" a="1"/>
  <c r="U132" i="1" s="1"/>
  <c r="U133" i="1" a="1"/>
  <c r="U133" i="1" s="1"/>
  <c r="U134" i="1" a="1"/>
  <c r="U134" i="1" s="1"/>
  <c r="U135" i="1" a="1"/>
  <c r="U135" i="1" s="1"/>
  <c r="U136" i="1" a="1"/>
  <c r="U136" i="1" s="1"/>
  <c r="U137" i="1" a="1"/>
  <c r="U137" i="1" s="1"/>
  <c r="U138" i="1" a="1"/>
  <c r="U138" i="1" s="1"/>
  <c r="U139" i="1" a="1"/>
  <c r="U139" i="1" s="1"/>
  <c r="U140" i="1" a="1"/>
  <c r="U140" i="1" s="1"/>
  <c r="U141" i="1" a="1"/>
  <c r="U141" i="1" s="1"/>
  <c r="U142" i="1" a="1"/>
  <c r="U142" i="1" s="1"/>
  <c r="U143" i="1" a="1"/>
  <c r="U143" i="1" s="1"/>
  <c r="U144" i="1" a="1"/>
  <c r="U144" i="1" s="1"/>
  <c r="U145" i="1" a="1"/>
  <c r="U145" i="1" s="1"/>
  <c r="U146" i="1" a="1"/>
  <c r="U146" i="1" s="1"/>
  <c r="U147" i="1" a="1"/>
  <c r="U147" i="1" s="1"/>
  <c r="U148" i="1" a="1"/>
  <c r="U148" i="1" s="1"/>
  <c r="U149" i="1" a="1"/>
  <c r="U149" i="1" s="1"/>
  <c r="U150" i="1" a="1"/>
  <c r="U150" i="1" s="1"/>
  <c r="U151" i="1" a="1"/>
  <c r="U151" i="1" s="1"/>
  <c r="U152" i="1" a="1"/>
  <c r="U152" i="1" s="1"/>
  <c r="U153" i="1" a="1"/>
  <c r="U153" i="1" s="1"/>
  <c r="U154" i="1" a="1"/>
  <c r="U154" i="1" s="1"/>
  <c r="U155" i="1" a="1"/>
  <c r="U155" i="1" s="1"/>
  <c r="U156" i="1" a="1"/>
  <c r="U156" i="1" s="1"/>
  <c r="U157" i="1" a="1"/>
  <c r="U157" i="1" s="1"/>
  <c r="U158" i="1" a="1"/>
  <c r="U158" i="1" s="1"/>
  <c r="U159" i="1" a="1"/>
  <c r="U159" i="1" s="1"/>
  <c r="U160" i="1" a="1"/>
  <c r="U160" i="1" s="1"/>
  <c r="U161" i="1" a="1"/>
  <c r="U161" i="1" s="1"/>
  <c r="U162" i="1" a="1"/>
  <c r="U162" i="1" s="1"/>
  <c r="U163" i="1" a="1"/>
  <c r="U163" i="1" s="1"/>
  <c r="U164" i="1" a="1"/>
  <c r="U164" i="1" s="1"/>
  <c r="U165" i="1" a="1"/>
  <c r="U165" i="1" s="1"/>
  <c r="U166" i="1" a="1"/>
  <c r="U166" i="1" s="1"/>
  <c r="U167" i="1" a="1"/>
  <c r="U167" i="1" s="1"/>
  <c r="U168" i="1" a="1"/>
  <c r="U168" i="1" s="1"/>
  <c r="U169" i="1" a="1"/>
  <c r="U169" i="1" s="1"/>
  <c r="U170" i="1" a="1"/>
  <c r="U170" i="1" s="1"/>
  <c r="U171" i="1" a="1"/>
  <c r="U171" i="1" s="1"/>
  <c r="U172" i="1" a="1"/>
  <c r="U172" i="1" s="1"/>
  <c r="U173" i="1" a="1"/>
  <c r="U173" i="1" s="1"/>
  <c r="U174" i="1" a="1"/>
  <c r="U174" i="1" s="1"/>
  <c r="U175" i="1" a="1"/>
  <c r="U175" i="1" s="1"/>
  <c r="U176" i="1" a="1"/>
  <c r="U176" i="1" s="1"/>
  <c r="U177" i="1" a="1"/>
  <c r="U177" i="1" s="1"/>
  <c r="U178" i="1" a="1"/>
  <c r="U178" i="1" s="1"/>
  <c r="U179" i="1" a="1"/>
  <c r="U179" i="1" s="1"/>
  <c r="U180" i="1" a="1"/>
  <c r="U180" i="1" s="1"/>
  <c r="U181" i="1" a="1"/>
  <c r="U181" i="1" s="1"/>
  <c r="U182" i="1" a="1"/>
  <c r="U182" i="1" s="1"/>
  <c r="U183" i="1" a="1"/>
  <c r="U183" i="1" s="1"/>
  <c r="U184" i="1" a="1"/>
  <c r="U184" i="1"/>
  <c r="U185" i="1" a="1"/>
  <c r="U185" i="1" s="1"/>
  <c r="U186" i="1" a="1"/>
  <c r="U186" i="1" s="1"/>
  <c r="U187" i="1" a="1"/>
  <c r="U187" i="1" s="1"/>
  <c r="U188" i="1" a="1"/>
  <c r="U188" i="1" s="1"/>
  <c r="U189" i="1" a="1"/>
  <c r="U189" i="1" s="1"/>
  <c r="U190" i="1" a="1"/>
  <c r="U190" i="1" s="1"/>
  <c r="U191" i="1" a="1"/>
  <c r="U191" i="1" s="1"/>
  <c r="U192" i="1" a="1"/>
  <c r="U192" i="1"/>
  <c r="U193" i="1" a="1"/>
  <c r="U193" i="1" s="1"/>
  <c r="U194" i="1" a="1"/>
  <c r="U194" i="1" s="1"/>
  <c r="U195" i="1" a="1"/>
  <c r="U195" i="1" s="1"/>
  <c r="U196" i="1" a="1"/>
  <c r="U196" i="1" s="1"/>
  <c r="U197" i="1" a="1"/>
  <c r="U197" i="1" s="1"/>
  <c r="U198" i="1" a="1"/>
  <c r="U198" i="1" s="1"/>
  <c r="U199" i="1" a="1"/>
  <c r="U199" i="1" s="1"/>
  <c r="U200" i="1" a="1"/>
  <c r="U200" i="1" s="1"/>
  <c r="U201" i="1" a="1"/>
  <c r="U201" i="1" s="1"/>
  <c r="U202" i="1" a="1"/>
  <c r="U202" i="1" s="1"/>
  <c r="U203" i="1" a="1"/>
  <c r="U203" i="1" s="1"/>
  <c r="U204" i="1" a="1"/>
  <c r="U204" i="1" s="1"/>
  <c r="U205" i="1" a="1"/>
  <c r="U205" i="1" s="1"/>
  <c r="U206" i="1" a="1"/>
  <c r="U206" i="1" s="1"/>
  <c r="U207" i="1" a="1"/>
  <c r="U207" i="1" s="1"/>
  <c r="U208" i="1" a="1"/>
  <c r="U208" i="1" s="1"/>
  <c r="U209" i="1" a="1"/>
  <c r="U209" i="1" s="1"/>
  <c r="U210" i="1" a="1"/>
  <c r="U210" i="1" s="1"/>
  <c r="U211" i="1" a="1"/>
  <c r="U211" i="1" s="1"/>
  <c r="U212" i="1" a="1"/>
  <c r="U212" i="1" s="1"/>
  <c r="U213" i="1" a="1"/>
  <c r="U213" i="1" s="1"/>
  <c r="U214" i="1" a="1"/>
  <c r="U214" i="1" s="1"/>
  <c r="U215" i="1" a="1"/>
  <c r="U215" i="1" s="1"/>
  <c r="U216" i="1" a="1"/>
  <c r="U216" i="1" s="1"/>
  <c r="U217" i="1" a="1"/>
  <c r="U217" i="1" s="1"/>
  <c r="U218" i="1" a="1"/>
  <c r="U218" i="1" s="1"/>
  <c r="U219" i="1" a="1"/>
  <c r="U219" i="1" s="1"/>
  <c r="U220" i="1" a="1"/>
  <c r="U220" i="1" s="1"/>
  <c r="U221" i="1" a="1"/>
  <c r="U221" i="1" s="1"/>
  <c r="U222" i="1" a="1"/>
  <c r="U222" i="1" s="1"/>
  <c r="U223" i="1" a="1"/>
  <c r="U223" i="1" s="1"/>
  <c r="U224" i="1" a="1"/>
  <c r="U224" i="1" s="1"/>
  <c r="U225" i="1" a="1"/>
  <c r="U225" i="1" s="1"/>
  <c r="U226" i="1" a="1"/>
  <c r="U226" i="1" s="1"/>
  <c r="U227" i="1" a="1"/>
  <c r="U227" i="1" s="1"/>
  <c r="U228" i="1" a="1"/>
  <c r="U228" i="1" s="1"/>
  <c r="U229" i="1" a="1"/>
  <c r="U229" i="1" s="1"/>
  <c r="U230" i="1" a="1"/>
  <c r="U230" i="1" s="1"/>
  <c r="U231" i="1" a="1"/>
  <c r="U231" i="1" s="1"/>
  <c r="U232" i="1" a="1"/>
  <c r="U232" i="1" s="1"/>
  <c r="U233" i="1" a="1"/>
  <c r="U233" i="1" s="1"/>
  <c r="U234" i="1" a="1"/>
  <c r="U234" i="1" s="1"/>
  <c r="U235" i="1" a="1"/>
  <c r="U235" i="1" s="1"/>
  <c r="U236" i="1" a="1"/>
  <c r="U236" i="1" s="1"/>
  <c r="U237" i="1" a="1"/>
  <c r="U237" i="1" s="1"/>
  <c r="U238" i="1" a="1"/>
  <c r="U238" i="1" s="1"/>
  <c r="U239" i="1" a="1"/>
  <c r="U239" i="1" s="1"/>
  <c r="U240" i="1" a="1"/>
  <c r="U240" i="1" s="1"/>
  <c r="U241" i="1" a="1"/>
  <c r="U241" i="1" s="1"/>
  <c r="U242" i="1" a="1"/>
  <c r="U242" i="1" s="1"/>
  <c r="U243" i="1" a="1"/>
  <c r="U243" i="1" s="1"/>
  <c r="U244" i="1" a="1"/>
  <c r="U244" i="1" s="1"/>
  <c r="U245" i="1" a="1"/>
  <c r="U245" i="1" s="1"/>
  <c r="U246" i="1" a="1"/>
  <c r="U246" i="1" s="1"/>
  <c r="U247" i="1" a="1"/>
  <c r="U247" i="1" s="1"/>
  <c r="U248" i="1" a="1"/>
  <c r="U248" i="1" s="1"/>
  <c r="U249" i="1" a="1"/>
  <c r="U249" i="1" s="1"/>
  <c r="U250" i="1" a="1"/>
  <c r="U250" i="1" s="1"/>
  <c r="U251" i="1" a="1"/>
  <c r="U251" i="1" s="1"/>
  <c r="U252" i="1" a="1"/>
  <c r="U252" i="1" s="1"/>
  <c r="U253" i="1" a="1"/>
  <c r="U253" i="1" s="1"/>
  <c r="U254" i="1" a="1"/>
  <c r="U254" i="1" s="1"/>
  <c r="U255" i="1" a="1"/>
  <c r="U255" i="1" s="1"/>
  <c r="U256" i="1" a="1"/>
  <c r="U256" i="1" s="1"/>
  <c r="U257" i="1" a="1"/>
  <c r="U257" i="1" s="1"/>
  <c r="U258" i="1" a="1"/>
  <c r="U258" i="1" s="1"/>
  <c r="U259" i="1" a="1"/>
  <c r="U259" i="1" s="1"/>
  <c r="U260" i="1" a="1"/>
  <c r="U260" i="1" s="1"/>
  <c r="U261" i="1" a="1"/>
  <c r="U261" i="1" s="1"/>
  <c r="U262" i="1" a="1"/>
  <c r="U262" i="1" s="1"/>
  <c r="U263" i="1" a="1"/>
  <c r="U263" i="1" s="1"/>
  <c r="U264" i="1" a="1"/>
  <c r="U264" i="1" s="1"/>
  <c r="U265" i="1" a="1"/>
  <c r="U265" i="1" s="1"/>
  <c r="U266" i="1" a="1"/>
  <c r="U266" i="1" s="1"/>
  <c r="U267" i="1" a="1"/>
  <c r="U267" i="1" s="1"/>
  <c r="U268" i="1" a="1"/>
  <c r="U268" i="1" s="1"/>
  <c r="U269" i="1" a="1"/>
  <c r="U269" i="1" s="1"/>
  <c r="U270" i="1" a="1"/>
  <c r="U270" i="1" s="1"/>
  <c r="U271" i="1" a="1"/>
  <c r="U271" i="1" s="1"/>
  <c r="U272" i="1" a="1"/>
  <c r="U272" i="1" s="1"/>
  <c r="U273" i="1" a="1"/>
  <c r="U273" i="1" s="1"/>
  <c r="U274" i="1" a="1"/>
  <c r="U274" i="1" s="1"/>
  <c r="U275" i="1" a="1"/>
  <c r="U275" i="1" s="1"/>
  <c r="U276" i="1" a="1"/>
  <c r="U276" i="1" s="1"/>
  <c r="U277" i="1" a="1"/>
  <c r="U277" i="1" s="1"/>
  <c r="U278" i="1" a="1"/>
  <c r="U278" i="1" s="1"/>
  <c r="U279" i="1" a="1"/>
  <c r="U279" i="1" s="1"/>
  <c r="U280" i="1" a="1"/>
  <c r="U280" i="1" s="1"/>
  <c r="U281" i="1" a="1"/>
  <c r="U281" i="1" s="1"/>
  <c r="U282" i="1" a="1"/>
  <c r="U282" i="1" s="1"/>
  <c r="U283" i="1" a="1"/>
  <c r="U283" i="1" s="1"/>
  <c r="U284" i="1" a="1"/>
  <c r="U284" i="1" s="1"/>
  <c r="U285" i="1" a="1"/>
  <c r="U285" i="1" s="1"/>
  <c r="U286" i="1" a="1"/>
  <c r="U286" i="1" s="1"/>
  <c r="U287" i="1" a="1"/>
  <c r="U287" i="1" s="1"/>
  <c r="U288" i="1" a="1"/>
  <c r="U288" i="1"/>
  <c r="U289" i="1" a="1"/>
  <c r="U289" i="1" s="1"/>
  <c r="U290" i="1" a="1"/>
  <c r="U290" i="1" s="1"/>
  <c r="U291" i="1" a="1"/>
  <c r="U291" i="1" s="1"/>
  <c r="U292" i="1" a="1"/>
  <c r="U292" i="1" s="1"/>
  <c r="U293" i="1" a="1"/>
  <c r="U293" i="1" s="1"/>
  <c r="U294" i="1" a="1"/>
  <c r="U294" i="1" s="1"/>
  <c r="U295" i="1" a="1"/>
  <c r="U295" i="1" s="1"/>
  <c r="U296" i="1" a="1"/>
  <c r="U296" i="1" s="1"/>
  <c r="U297" i="1" a="1"/>
  <c r="U297" i="1" s="1"/>
  <c r="U298" i="1" a="1"/>
  <c r="U298" i="1" s="1"/>
  <c r="U299" i="1" a="1"/>
  <c r="U299" i="1" s="1"/>
  <c r="U300" i="1" a="1"/>
  <c r="U300" i="1" s="1"/>
  <c r="U301" i="1" a="1"/>
  <c r="U301" i="1" s="1"/>
  <c r="U302" i="1" a="1"/>
  <c r="U302" i="1" s="1"/>
  <c r="U303" i="1" a="1"/>
  <c r="U303" i="1" s="1"/>
  <c r="U304" i="1" a="1"/>
  <c r="U304" i="1" s="1"/>
  <c r="U305" i="1" a="1"/>
  <c r="U305" i="1" s="1"/>
  <c r="U306" i="1" a="1"/>
  <c r="U306" i="1" s="1"/>
  <c r="U307" i="1" a="1"/>
  <c r="U307" i="1" s="1"/>
  <c r="U308" i="1" a="1"/>
  <c r="U308" i="1" s="1"/>
  <c r="U309" i="1" a="1"/>
  <c r="U309" i="1" s="1"/>
  <c r="U310" i="1" a="1"/>
  <c r="U310" i="1" s="1"/>
  <c r="U311" i="1" a="1"/>
  <c r="U311" i="1" s="1"/>
  <c r="U312" i="1" a="1"/>
  <c r="U312" i="1" s="1"/>
  <c r="U313" i="1" a="1"/>
  <c r="U313" i="1" s="1"/>
  <c r="U314" i="1" a="1"/>
  <c r="U314" i="1" s="1"/>
  <c r="U315" i="1" a="1"/>
  <c r="U315" i="1" s="1"/>
  <c r="U316" i="1" a="1"/>
  <c r="U316" i="1" s="1"/>
  <c r="U317" i="1" a="1"/>
  <c r="U317" i="1" s="1"/>
  <c r="U318" i="1" a="1"/>
  <c r="U318" i="1" s="1"/>
  <c r="U319" i="1" a="1"/>
  <c r="U319" i="1" s="1"/>
  <c r="U320" i="1" a="1"/>
  <c r="U320" i="1" s="1"/>
  <c r="U321" i="1" a="1"/>
  <c r="U321" i="1" s="1"/>
  <c r="U322" i="1" a="1"/>
  <c r="U322" i="1" s="1"/>
  <c r="U323" i="1" a="1"/>
  <c r="U323" i="1" s="1"/>
  <c r="U324" i="1" a="1"/>
  <c r="U324" i="1" s="1"/>
  <c r="U325" i="1" a="1"/>
  <c r="U325" i="1" s="1"/>
  <c r="U326" i="1" a="1"/>
  <c r="U326" i="1" s="1"/>
  <c r="U327" i="1" a="1"/>
  <c r="U327" i="1" s="1"/>
  <c r="U328" i="1" a="1"/>
  <c r="U328" i="1" s="1"/>
  <c r="U329" i="1" a="1"/>
  <c r="U329" i="1" s="1"/>
  <c r="U330" i="1" a="1"/>
  <c r="U330" i="1" s="1"/>
  <c r="U331" i="1" a="1"/>
  <c r="U331" i="1" s="1"/>
  <c r="U332" i="1" a="1"/>
  <c r="U332" i="1" s="1"/>
  <c r="U333" i="1" a="1"/>
  <c r="U333" i="1" s="1"/>
  <c r="U334" i="1" a="1"/>
  <c r="U334" i="1" s="1"/>
  <c r="U335" i="1" a="1"/>
  <c r="U335" i="1" s="1"/>
  <c r="U336" i="1" a="1"/>
  <c r="U336" i="1" s="1"/>
  <c r="U337" i="1" a="1"/>
  <c r="U337" i="1" s="1"/>
  <c r="U338" i="1" a="1"/>
  <c r="U338" i="1" s="1"/>
  <c r="U339" i="1" a="1"/>
  <c r="U339" i="1" s="1"/>
  <c r="U340" i="1" a="1"/>
  <c r="U340" i="1" s="1"/>
  <c r="U341" i="1" a="1"/>
  <c r="U341" i="1" s="1"/>
  <c r="U342" i="1" a="1"/>
  <c r="U342" i="1" s="1"/>
  <c r="U343" i="1" a="1"/>
  <c r="U343" i="1" s="1"/>
  <c r="U344" i="1" a="1"/>
  <c r="U344" i="1" s="1"/>
  <c r="U345" i="1" a="1"/>
  <c r="U345" i="1" s="1"/>
  <c r="U346" i="1" a="1"/>
  <c r="U346" i="1" s="1"/>
  <c r="U347" i="1" a="1"/>
  <c r="U347" i="1" s="1"/>
  <c r="U348" i="1" a="1"/>
  <c r="U348" i="1" s="1"/>
  <c r="U349" i="1" a="1"/>
  <c r="U349" i="1" s="1"/>
  <c r="U350" i="1" a="1"/>
  <c r="U350" i="1" s="1"/>
  <c r="U351" i="1" a="1"/>
  <c r="U351" i="1" s="1"/>
  <c r="U352" i="1" a="1"/>
  <c r="U352" i="1" s="1"/>
  <c r="U353" i="1" a="1"/>
  <c r="U353" i="1" s="1"/>
  <c r="U354" i="1" a="1"/>
  <c r="U354" i="1" s="1"/>
  <c r="U355" i="1" a="1"/>
  <c r="U355" i="1" s="1"/>
  <c r="U356" i="1" a="1"/>
  <c r="U356" i="1" s="1"/>
  <c r="U357" i="1" a="1"/>
  <c r="U357" i="1" s="1"/>
  <c r="U358" i="1" a="1"/>
  <c r="U358" i="1" s="1"/>
  <c r="U359" i="1" a="1"/>
  <c r="U359" i="1" s="1"/>
  <c r="U360" i="1" a="1"/>
  <c r="U360" i="1" s="1"/>
  <c r="U361" i="1" a="1"/>
  <c r="U361" i="1" s="1"/>
  <c r="U362" i="1" a="1"/>
  <c r="U362" i="1" s="1"/>
  <c r="U363" i="1" a="1"/>
  <c r="U363" i="1" s="1"/>
  <c r="U364" i="1" a="1"/>
  <c r="U364" i="1" s="1"/>
  <c r="U365" i="1" a="1"/>
  <c r="U365" i="1" s="1"/>
  <c r="U366" i="1" a="1"/>
  <c r="U366" i="1" s="1"/>
  <c r="U367" i="1" a="1"/>
  <c r="U367" i="1" s="1"/>
  <c r="U368" i="1" a="1"/>
  <c r="U368" i="1" s="1"/>
  <c r="U369" i="1" a="1"/>
  <c r="U369" i="1" s="1"/>
  <c r="U370" i="1" a="1"/>
  <c r="U370" i="1" s="1"/>
  <c r="U371" i="1" a="1"/>
  <c r="U371" i="1" s="1"/>
  <c r="U372" i="1" a="1"/>
  <c r="U372" i="1" s="1"/>
  <c r="U373" i="1" a="1"/>
  <c r="U373" i="1" s="1"/>
  <c r="U374" i="1" a="1"/>
  <c r="U374" i="1" s="1"/>
  <c r="U375" i="1" a="1"/>
  <c r="U375" i="1" s="1"/>
  <c r="U376" i="1" a="1"/>
  <c r="U376" i="1" s="1"/>
  <c r="U377" i="1" a="1"/>
  <c r="U377" i="1" s="1"/>
  <c r="U378" i="1" a="1"/>
  <c r="U378" i="1" s="1"/>
  <c r="U379" i="1" a="1"/>
  <c r="U379" i="1" s="1"/>
  <c r="U380" i="1" a="1"/>
  <c r="U380" i="1" s="1"/>
  <c r="U381" i="1" a="1"/>
  <c r="U381" i="1" s="1"/>
  <c r="U382" i="1" a="1"/>
  <c r="U382" i="1" s="1"/>
  <c r="U383" i="1" a="1"/>
  <c r="U383" i="1" s="1"/>
  <c r="U384" i="1" a="1"/>
  <c r="U384" i="1" s="1"/>
  <c r="U385" i="1" a="1"/>
  <c r="U385" i="1" s="1"/>
  <c r="U386" i="1" a="1"/>
  <c r="U386" i="1" s="1"/>
  <c r="U387" i="1" a="1"/>
  <c r="U387" i="1" s="1"/>
  <c r="U388" i="1" a="1"/>
  <c r="U388" i="1" s="1"/>
  <c r="U389" i="1" a="1"/>
  <c r="U389" i="1" s="1"/>
  <c r="U390" i="1" a="1"/>
  <c r="U390" i="1" s="1"/>
  <c r="U391" i="1" a="1"/>
  <c r="U391" i="1" s="1"/>
  <c r="U392" i="1" a="1"/>
  <c r="U392" i="1" s="1"/>
  <c r="U393" i="1" a="1"/>
  <c r="U393" i="1" s="1"/>
  <c r="U394" i="1" a="1"/>
  <c r="U394" i="1" s="1"/>
  <c r="U395" i="1" a="1"/>
  <c r="U395" i="1" s="1"/>
  <c r="U396" i="1" a="1"/>
  <c r="U396" i="1" s="1"/>
  <c r="U397" i="1" a="1"/>
  <c r="U397" i="1" s="1"/>
  <c r="U398" i="1" a="1"/>
  <c r="U398" i="1" s="1"/>
  <c r="U399" i="1" a="1"/>
  <c r="U399" i="1" s="1"/>
  <c r="U400" i="1" a="1"/>
  <c r="U400" i="1" s="1"/>
  <c r="U401" i="1" a="1"/>
  <c r="U401" i="1" s="1"/>
  <c r="U402" i="1" a="1"/>
  <c r="U402" i="1" s="1"/>
  <c r="U403" i="1" a="1"/>
  <c r="U403" i="1" s="1"/>
  <c r="U404" i="1" a="1"/>
  <c r="U404" i="1" s="1"/>
  <c r="U405" i="1" a="1"/>
  <c r="U405" i="1" s="1"/>
  <c r="U406" i="1" a="1"/>
  <c r="U406" i="1" s="1"/>
  <c r="U407" i="1" a="1"/>
  <c r="U407" i="1" s="1"/>
  <c r="U408" i="1" a="1"/>
  <c r="U408" i="1" s="1"/>
  <c r="U409" i="1" a="1"/>
  <c r="U409" i="1" s="1"/>
  <c r="U410" i="1" a="1"/>
  <c r="U410" i="1" s="1"/>
  <c r="U411" i="1" a="1"/>
  <c r="U411" i="1" s="1"/>
  <c r="U412" i="1" a="1"/>
  <c r="U412" i="1" s="1"/>
  <c r="U413" i="1" a="1"/>
  <c r="U413" i="1" s="1"/>
  <c r="U414" i="1" a="1"/>
  <c r="U414" i="1" s="1"/>
  <c r="U415" i="1" a="1"/>
  <c r="U415" i="1" s="1"/>
  <c r="U416" i="1" a="1"/>
  <c r="U416" i="1" s="1"/>
  <c r="U417" i="1" a="1"/>
  <c r="U417" i="1" s="1"/>
  <c r="U418" i="1" a="1"/>
  <c r="U418" i="1" s="1"/>
  <c r="U419" i="1" a="1"/>
  <c r="U419" i="1" s="1"/>
  <c r="U420" i="1" a="1"/>
  <c r="U420" i="1" s="1"/>
  <c r="U421" i="1" a="1"/>
  <c r="U421" i="1" s="1"/>
  <c r="U422" i="1" a="1"/>
  <c r="U422" i="1" s="1"/>
  <c r="U423" i="1" a="1"/>
  <c r="U423" i="1" s="1"/>
  <c r="U424" i="1" a="1"/>
  <c r="U424" i="1" s="1"/>
  <c r="U425" i="1" a="1"/>
  <c r="U425" i="1" s="1"/>
  <c r="U426" i="1" a="1"/>
  <c r="U426" i="1" s="1"/>
  <c r="U427" i="1" a="1"/>
  <c r="U427" i="1" s="1"/>
  <c r="U428" i="1" a="1"/>
  <c r="U428" i="1" s="1"/>
  <c r="U429" i="1" a="1"/>
  <c r="U429" i="1" s="1"/>
  <c r="U430" i="1" a="1"/>
  <c r="U430" i="1" s="1"/>
  <c r="U431" i="1" a="1"/>
  <c r="U431" i="1" s="1"/>
  <c r="U432" i="1" a="1"/>
  <c r="U432" i="1" s="1"/>
  <c r="U433" i="1" a="1"/>
  <c r="U433" i="1" s="1"/>
  <c r="U434" i="1" a="1"/>
  <c r="U434" i="1" s="1"/>
  <c r="U435" i="1" a="1"/>
  <c r="U435" i="1" s="1"/>
  <c r="U436" i="1" a="1"/>
  <c r="U436" i="1" s="1"/>
  <c r="U437" i="1" a="1"/>
  <c r="U437" i="1" s="1"/>
  <c r="U438" i="1" a="1"/>
  <c r="U438" i="1" s="1"/>
  <c r="U439" i="1" a="1"/>
  <c r="U439" i="1" s="1"/>
  <c r="U440" i="1" a="1"/>
  <c r="U440" i="1" s="1"/>
  <c r="U441" i="1" a="1"/>
  <c r="U441" i="1" s="1"/>
  <c r="U442" i="1" a="1"/>
  <c r="U442" i="1" s="1"/>
  <c r="U443" i="1" a="1"/>
  <c r="U443" i="1" s="1"/>
  <c r="U444" i="1" a="1"/>
  <c r="U444" i="1" s="1"/>
  <c r="U445" i="1" a="1"/>
  <c r="U445" i="1" s="1"/>
  <c r="U446" i="1" a="1"/>
  <c r="U446" i="1" s="1"/>
  <c r="U447" i="1" a="1"/>
  <c r="U447" i="1" s="1"/>
  <c r="U448" i="1" a="1"/>
  <c r="U448" i="1" s="1"/>
  <c r="U449" i="1" a="1"/>
  <c r="U449" i="1" s="1"/>
  <c r="U450" i="1" a="1"/>
  <c r="U450" i="1" s="1"/>
  <c r="U451" i="1" a="1"/>
  <c r="U451" i="1" s="1"/>
  <c r="U452" i="1" a="1"/>
  <c r="U452" i="1" s="1"/>
  <c r="U453" i="1" a="1"/>
  <c r="U453" i="1" s="1"/>
  <c r="U454" i="1" a="1"/>
  <c r="U454" i="1" s="1"/>
  <c r="U455" i="1" a="1"/>
  <c r="U455" i="1" s="1"/>
  <c r="U456" i="1" a="1"/>
  <c r="U456" i="1" s="1"/>
  <c r="U457" i="1" a="1"/>
  <c r="U457" i="1" s="1"/>
  <c r="U458" i="1" a="1"/>
  <c r="U458" i="1" s="1"/>
  <c r="U459" i="1" a="1"/>
  <c r="U459" i="1" s="1"/>
  <c r="U460" i="1" a="1"/>
  <c r="U460" i="1" s="1"/>
  <c r="U461" i="1" a="1"/>
  <c r="U461" i="1" s="1"/>
  <c r="U462" i="1" a="1"/>
  <c r="U462" i="1" s="1"/>
  <c r="U463" i="1" a="1"/>
  <c r="U463" i="1" s="1"/>
  <c r="U464" i="1" a="1"/>
  <c r="U464" i="1" s="1"/>
  <c r="U465" i="1" a="1"/>
  <c r="U465" i="1" s="1"/>
  <c r="U466" i="1" a="1"/>
  <c r="U466" i="1" s="1"/>
  <c r="U467" i="1" a="1"/>
  <c r="U467" i="1" s="1"/>
  <c r="U468" i="1" a="1"/>
  <c r="U468" i="1" s="1"/>
  <c r="U469" i="1" a="1"/>
  <c r="U469" i="1" s="1"/>
  <c r="U470" i="1" a="1"/>
  <c r="U470" i="1" s="1"/>
  <c r="U471" i="1" a="1"/>
  <c r="U471" i="1" s="1"/>
  <c r="U472" i="1" a="1"/>
  <c r="U472" i="1" s="1"/>
  <c r="U473" i="1" a="1"/>
  <c r="U473" i="1" s="1"/>
  <c r="U474" i="1" a="1"/>
  <c r="U474" i="1" s="1"/>
  <c r="U475" i="1" a="1"/>
  <c r="U475" i="1" s="1"/>
  <c r="U476" i="1" a="1"/>
  <c r="U476" i="1" s="1"/>
  <c r="U477" i="1" a="1"/>
  <c r="U477" i="1" s="1"/>
  <c r="U478" i="1" a="1"/>
  <c r="U478" i="1"/>
  <c r="U479" i="1" a="1"/>
  <c r="U479" i="1" s="1"/>
  <c r="U480" i="1" a="1"/>
  <c r="U480" i="1" s="1"/>
  <c r="U481" i="1" a="1"/>
  <c r="U481" i="1" s="1"/>
  <c r="U482" i="1" a="1"/>
  <c r="U482" i="1" s="1"/>
  <c r="U483" i="1" a="1"/>
  <c r="U483" i="1" s="1"/>
  <c r="U484" i="1" a="1"/>
  <c r="U484" i="1" s="1"/>
  <c r="U485" i="1" a="1"/>
  <c r="U485" i="1" s="1"/>
  <c r="U486" i="1" a="1"/>
  <c r="U486" i="1" s="1"/>
  <c r="U487" i="1" a="1"/>
  <c r="U487" i="1" s="1"/>
  <c r="U488" i="1" a="1"/>
  <c r="U488" i="1" s="1"/>
  <c r="U489" i="1" a="1"/>
  <c r="U489" i="1" s="1"/>
  <c r="U490" i="1" a="1"/>
  <c r="U490" i="1" s="1"/>
  <c r="U491" i="1" a="1"/>
  <c r="U491" i="1" s="1"/>
  <c r="U492" i="1" a="1"/>
  <c r="U492" i="1" s="1"/>
  <c r="U493" i="1" a="1"/>
  <c r="U493" i="1" s="1"/>
  <c r="U494" i="1" a="1"/>
  <c r="U494" i="1" s="1"/>
  <c r="U495" i="1" a="1"/>
  <c r="U495" i="1" s="1"/>
  <c r="U496" i="1" a="1"/>
  <c r="U496" i="1" s="1"/>
  <c r="U497" i="1" a="1"/>
  <c r="U497" i="1" s="1"/>
  <c r="U498" i="1" a="1"/>
  <c r="U498" i="1" s="1"/>
  <c r="U499" i="1" a="1"/>
  <c r="U499" i="1" s="1"/>
  <c r="U500" i="1" a="1"/>
  <c r="U500" i="1" s="1"/>
  <c r="U501" i="1" a="1"/>
  <c r="U501" i="1" s="1"/>
  <c r="U502" i="1" a="1"/>
  <c r="U502" i="1" s="1"/>
  <c r="U503" i="1" a="1"/>
  <c r="U503" i="1" s="1"/>
  <c r="U504" i="1" a="1"/>
  <c r="U504" i="1" s="1"/>
  <c r="U505" i="1" a="1"/>
  <c r="U505" i="1" s="1"/>
  <c r="U506" i="1" a="1"/>
  <c r="U506" i="1" s="1"/>
  <c r="U507" i="1" a="1"/>
  <c r="U507" i="1" s="1"/>
  <c r="U508" i="1" a="1"/>
  <c r="U508" i="1" s="1"/>
  <c r="U509" i="1" a="1"/>
  <c r="U509" i="1" s="1"/>
  <c r="U510" i="1" a="1"/>
  <c r="U510" i="1" s="1"/>
  <c r="U511" i="1" a="1"/>
  <c r="U511" i="1" s="1"/>
  <c r="U512" i="1" a="1"/>
  <c r="U512" i="1" s="1"/>
  <c r="U513" i="1" a="1"/>
  <c r="U513" i="1" s="1"/>
  <c r="U514" i="1" a="1"/>
  <c r="U514" i="1" s="1"/>
  <c r="U515" i="1" a="1"/>
  <c r="U515" i="1" s="1"/>
  <c r="U516" i="1" a="1"/>
  <c r="U516" i="1" s="1"/>
  <c r="U517" i="1" a="1"/>
  <c r="U517" i="1" s="1"/>
  <c r="U518" i="1" a="1"/>
  <c r="U518" i="1" s="1"/>
  <c r="U519" i="1" a="1"/>
  <c r="U519" i="1" s="1"/>
  <c r="U520" i="1" a="1"/>
  <c r="U520" i="1"/>
  <c r="U521" i="1" a="1"/>
  <c r="U521" i="1" s="1"/>
  <c r="U522" i="1" a="1"/>
  <c r="U522" i="1" s="1"/>
  <c r="U523" i="1" a="1"/>
  <c r="U523" i="1" s="1"/>
  <c r="U524" i="1" a="1"/>
  <c r="U524" i="1" s="1"/>
  <c r="U525" i="1" a="1"/>
  <c r="U525" i="1" s="1"/>
  <c r="U526" i="1" a="1"/>
  <c r="U526" i="1" s="1"/>
  <c r="U527" i="1" a="1"/>
  <c r="U527" i="1" s="1"/>
  <c r="U528" i="1" a="1"/>
  <c r="U528" i="1" s="1"/>
  <c r="U529" i="1" a="1"/>
  <c r="U529" i="1" s="1"/>
  <c r="U530" i="1" a="1"/>
  <c r="U530" i="1" s="1"/>
  <c r="U531" i="1" a="1"/>
  <c r="U531" i="1" s="1"/>
  <c r="U532" i="1" a="1"/>
  <c r="U532" i="1" s="1"/>
  <c r="U533" i="1" a="1"/>
  <c r="U533" i="1" s="1"/>
  <c r="U534" i="1" a="1"/>
  <c r="U534" i="1" s="1"/>
  <c r="U535" i="1" a="1"/>
  <c r="U535" i="1" s="1"/>
  <c r="U536" i="1" a="1"/>
  <c r="U536" i="1" s="1"/>
  <c r="U537" i="1" a="1"/>
  <c r="U537" i="1"/>
  <c r="U538" i="1" a="1"/>
  <c r="U538" i="1" s="1"/>
  <c r="U539" i="1" a="1"/>
  <c r="U539" i="1" s="1"/>
  <c r="U540" i="1" a="1"/>
  <c r="U540" i="1" s="1"/>
  <c r="U541" i="1" a="1"/>
  <c r="U541" i="1" s="1"/>
  <c r="U542" i="1" a="1"/>
  <c r="U542" i="1" s="1"/>
  <c r="U543" i="1" a="1"/>
  <c r="U543" i="1" s="1"/>
  <c r="U544" i="1" a="1"/>
  <c r="U544" i="1" s="1"/>
  <c r="U545" i="1" a="1"/>
  <c r="U545" i="1" s="1"/>
  <c r="U546" i="1" a="1"/>
  <c r="U546" i="1" s="1"/>
  <c r="U547" i="1" a="1"/>
  <c r="U547" i="1" s="1"/>
  <c r="U548" i="1" a="1"/>
  <c r="U548" i="1" s="1"/>
  <c r="U549" i="1" a="1"/>
  <c r="U549" i="1" s="1"/>
  <c r="U550" i="1" a="1"/>
  <c r="U550" i="1" s="1"/>
  <c r="U551" i="1" a="1"/>
  <c r="U551" i="1" s="1"/>
  <c r="U552" i="1" a="1"/>
  <c r="U552" i="1" s="1"/>
  <c r="U553" i="1" a="1"/>
  <c r="U553" i="1" s="1"/>
  <c r="U554" i="1" a="1"/>
  <c r="U554" i="1" s="1"/>
  <c r="U555" i="1" a="1"/>
  <c r="U555" i="1" s="1"/>
  <c r="U556" i="1" a="1"/>
  <c r="U556" i="1" s="1"/>
  <c r="U557" i="1" a="1"/>
  <c r="U557" i="1" s="1"/>
  <c r="U558" i="1" a="1"/>
  <c r="U558" i="1" s="1"/>
  <c r="U559" i="1" a="1"/>
  <c r="U559" i="1" s="1"/>
  <c r="U560" i="1" a="1"/>
  <c r="U560" i="1" s="1"/>
  <c r="U561" i="1" a="1"/>
  <c r="U561" i="1" s="1"/>
  <c r="U562" i="1" a="1"/>
  <c r="U562" i="1" s="1"/>
  <c r="U563" i="1" a="1"/>
  <c r="U563" i="1" s="1"/>
  <c r="U564" i="1" a="1"/>
  <c r="U564" i="1" s="1"/>
  <c r="U565" i="1" a="1"/>
  <c r="U565" i="1" s="1"/>
  <c r="U566" i="1" a="1"/>
  <c r="U566" i="1" s="1"/>
  <c r="U567" i="1" a="1"/>
  <c r="U567" i="1" s="1"/>
  <c r="U568" i="1" a="1"/>
  <c r="U568" i="1" s="1"/>
  <c r="U569" i="1" a="1"/>
  <c r="U569" i="1" s="1"/>
  <c r="U570" i="1" a="1"/>
  <c r="U570" i="1" s="1"/>
  <c r="U571" i="1" a="1"/>
  <c r="U571" i="1" s="1"/>
  <c r="U572" i="1" a="1"/>
  <c r="U572" i="1" s="1"/>
  <c r="U573" i="1" a="1"/>
  <c r="U573" i="1" s="1"/>
  <c r="U574" i="1" a="1"/>
  <c r="U574" i="1" s="1"/>
  <c r="U575" i="1" a="1"/>
  <c r="U575" i="1" s="1"/>
  <c r="U576" i="1" a="1"/>
  <c r="U576" i="1" s="1"/>
  <c r="U577" i="1" a="1"/>
  <c r="U577" i="1"/>
  <c r="U578" i="1" a="1"/>
  <c r="U578" i="1" s="1"/>
  <c r="U579" i="1" a="1"/>
  <c r="U579" i="1" s="1"/>
  <c r="U580" i="1" a="1"/>
  <c r="U580" i="1" s="1"/>
  <c r="U581" i="1" a="1"/>
  <c r="U581" i="1" s="1"/>
  <c r="U582" i="1" a="1"/>
  <c r="U582" i="1" s="1"/>
  <c r="U583" i="1" a="1"/>
  <c r="U583" i="1" s="1"/>
  <c r="U584" i="1" a="1"/>
  <c r="U584" i="1" s="1"/>
  <c r="U585" i="1" a="1"/>
  <c r="U585" i="1" s="1"/>
  <c r="U586" i="1" a="1"/>
  <c r="U586" i="1" s="1"/>
  <c r="U587" i="1" a="1"/>
  <c r="U587" i="1" s="1"/>
  <c r="U588" i="1" a="1"/>
  <c r="U588" i="1" s="1"/>
  <c r="U589" i="1" a="1"/>
  <c r="U589" i="1" s="1"/>
  <c r="U590" i="1" a="1"/>
  <c r="U590" i="1" s="1"/>
  <c r="U591" i="1" a="1"/>
  <c r="U591" i="1" s="1"/>
  <c r="U592" i="1" a="1"/>
  <c r="U592" i="1" s="1"/>
  <c r="U593" i="1" a="1"/>
  <c r="U593" i="1" s="1"/>
  <c r="U594" i="1" a="1"/>
  <c r="U594" i="1" s="1"/>
  <c r="U595" i="1" a="1"/>
  <c r="U595" i="1" s="1"/>
  <c r="U596" i="1" a="1"/>
  <c r="U596" i="1" s="1"/>
  <c r="U597" i="1" a="1"/>
  <c r="U597" i="1" s="1"/>
  <c r="U598" i="1" a="1"/>
  <c r="U598" i="1" s="1"/>
  <c r="U599" i="1" a="1"/>
  <c r="U599" i="1" s="1"/>
  <c r="U600" i="1" a="1"/>
  <c r="U600" i="1" s="1"/>
  <c r="U601" i="1" a="1"/>
  <c r="U601" i="1" s="1"/>
  <c r="U602" i="1" a="1"/>
  <c r="U602" i="1" s="1"/>
  <c r="U603" i="1" a="1"/>
  <c r="U603" i="1" s="1"/>
  <c r="U604" i="1" a="1"/>
  <c r="U604" i="1" s="1"/>
  <c r="U605" i="1" a="1"/>
  <c r="U605" i="1" s="1"/>
  <c r="U606" i="1" a="1"/>
  <c r="U606" i="1" s="1"/>
  <c r="U607" i="1" a="1"/>
  <c r="U607" i="1" s="1"/>
  <c r="U608" i="1" a="1"/>
  <c r="U608" i="1" s="1"/>
  <c r="U609" i="1" a="1"/>
  <c r="U609" i="1" s="1"/>
  <c r="U610" i="1" a="1"/>
  <c r="U610" i="1" s="1"/>
  <c r="U611" i="1" a="1"/>
  <c r="U611" i="1" s="1"/>
  <c r="U612" i="1" a="1"/>
  <c r="U612" i="1" s="1"/>
  <c r="U613" i="1" a="1"/>
  <c r="U613" i="1" s="1"/>
  <c r="U614" i="1" a="1"/>
  <c r="U614" i="1" s="1"/>
  <c r="U615" i="1" a="1"/>
  <c r="U615" i="1" s="1"/>
  <c r="U616" i="1" a="1"/>
  <c r="U616" i="1" s="1"/>
  <c r="U617" i="1" a="1"/>
  <c r="U617" i="1"/>
  <c r="U618" i="1" a="1"/>
  <c r="U618" i="1" s="1"/>
  <c r="U619" i="1" a="1"/>
  <c r="U619" i="1" s="1"/>
  <c r="U620" i="1" a="1"/>
  <c r="U620" i="1" s="1"/>
  <c r="U621" i="1" a="1"/>
  <c r="U621" i="1" s="1"/>
  <c r="U622" i="1" a="1"/>
  <c r="U622" i="1" s="1"/>
  <c r="U623" i="1" a="1"/>
  <c r="U623" i="1" s="1"/>
  <c r="U624" i="1" a="1"/>
  <c r="U624" i="1" s="1"/>
  <c r="U625" i="1" a="1"/>
  <c r="U625" i="1" s="1"/>
  <c r="U626" i="1" a="1"/>
  <c r="U626" i="1" s="1"/>
  <c r="U627" i="1" a="1"/>
  <c r="U627" i="1" s="1"/>
  <c r="U628" i="1" a="1"/>
  <c r="U628" i="1" s="1"/>
  <c r="U629" i="1" a="1"/>
  <c r="U629" i="1" s="1"/>
  <c r="U630" i="1" a="1"/>
  <c r="U630" i="1" s="1"/>
  <c r="U631" i="1" a="1"/>
  <c r="U631" i="1" s="1"/>
  <c r="U632" i="1" a="1"/>
  <c r="U632" i="1" s="1"/>
  <c r="U633" i="1" a="1"/>
  <c r="U633" i="1" s="1"/>
  <c r="U634" i="1" a="1"/>
  <c r="U634" i="1" s="1"/>
  <c r="U635" i="1" a="1"/>
  <c r="U635" i="1" s="1"/>
  <c r="U636" i="1" a="1"/>
  <c r="U636" i="1" s="1"/>
  <c r="U637" i="1" a="1"/>
  <c r="U637" i="1" s="1"/>
  <c r="U638" i="1" a="1"/>
  <c r="U638" i="1" s="1"/>
  <c r="U639" i="1" a="1"/>
  <c r="U639" i="1" s="1"/>
  <c r="U640" i="1" a="1"/>
  <c r="U640" i="1" s="1"/>
  <c r="U641" i="1" a="1"/>
  <c r="U641" i="1" s="1"/>
  <c r="U642" i="1" a="1"/>
  <c r="U642" i="1" s="1"/>
  <c r="U643" i="1" a="1"/>
  <c r="U643" i="1" s="1"/>
  <c r="U644" i="1" a="1"/>
  <c r="U644" i="1" s="1"/>
  <c r="U645" i="1" a="1"/>
  <c r="U645" i="1" s="1"/>
  <c r="U646" i="1" a="1"/>
  <c r="U646" i="1" s="1"/>
  <c r="U647" i="1" a="1"/>
  <c r="U647" i="1"/>
  <c r="U648" i="1" a="1"/>
  <c r="U648" i="1" s="1"/>
  <c r="U649" i="1" a="1"/>
  <c r="U649" i="1" s="1"/>
  <c r="U650" i="1" a="1"/>
  <c r="U650" i="1" s="1"/>
  <c r="U651" i="1" a="1"/>
  <c r="U651" i="1" s="1"/>
  <c r="U652" i="1" a="1"/>
  <c r="U652" i="1" s="1"/>
  <c r="U653" i="1" a="1"/>
  <c r="U653" i="1" s="1"/>
  <c r="U654" i="1" a="1"/>
  <c r="U654" i="1" s="1"/>
  <c r="U655" i="1" a="1"/>
  <c r="U655" i="1" s="1"/>
  <c r="U656" i="1" a="1"/>
  <c r="U656" i="1" s="1"/>
  <c r="U657" i="1" a="1"/>
  <c r="U657" i="1" s="1"/>
  <c r="U658" i="1" a="1"/>
  <c r="U658" i="1" s="1"/>
  <c r="U659" i="1" a="1"/>
  <c r="U659" i="1" s="1"/>
  <c r="U660" i="1" a="1"/>
  <c r="U660" i="1" s="1"/>
  <c r="U661" i="1" a="1"/>
  <c r="U661" i="1" s="1"/>
  <c r="U662" i="1" a="1"/>
  <c r="U662" i="1" s="1"/>
  <c r="U663" i="1" a="1"/>
  <c r="U663" i="1" s="1"/>
  <c r="U664" i="1" a="1"/>
  <c r="U664" i="1" s="1"/>
  <c r="U665" i="1" a="1"/>
  <c r="U665" i="1" s="1"/>
  <c r="U666" i="1" a="1"/>
  <c r="U666" i="1" s="1"/>
  <c r="U667" i="1" a="1"/>
  <c r="U667" i="1" s="1"/>
  <c r="U668" i="1" a="1"/>
  <c r="U668" i="1" s="1"/>
  <c r="U669" i="1" a="1"/>
  <c r="U669" i="1" s="1"/>
  <c r="U670" i="1" a="1"/>
  <c r="U670" i="1" s="1"/>
  <c r="U671" i="1" a="1"/>
  <c r="U671" i="1" s="1"/>
  <c r="U672" i="1" a="1"/>
  <c r="U672" i="1" s="1"/>
  <c r="U673" i="1" a="1"/>
  <c r="U673" i="1" s="1"/>
  <c r="U674" i="1" a="1"/>
  <c r="U674" i="1" s="1"/>
  <c r="U675" i="1" a="1"/>
  <c r="U675" i="1" s="1"/>
  <c r="U676" i="1" a="1"/>
  <c r="U676" i="1" s="1"/>
  <c r="U677" i="1" a="1"/>
  <c r="U677" i="1" s="1"/>
  <c r="U678" i="1" a="1"/>
  <c r="U678" i="1" s="1"/>
  <c r="U679" i="1" a="1"/>
  <c r="U679" i="1" s="1"/>
  <c r="U680" i="1" a="1"/>
  <c r="U680" i="1" s="1"/>
  <c r="U681" i="1" a="1"/>
  <c r="U681" i="1" s="1"/>
  <c r="U682" i="1" a="1"/>
  <c r="U682" i="1" s="1"/>
  <c r="U683" i="1" a="1"/>
  <c r="U683" i="1" s="1"/>
  <c r="U684" i="1" a="1"/>
  <c r="U684" i="1" s="1"/>
  <c r="U685" i="1" a="1"/>
  <c r="U685" i="1" s="1"/>
  <c r="U686" i="1" a="1"/>
  <c r="U686" i="1" s="1"/>
  <c r="U687" i="1" a="1"/>
  <c r="U687" i="1" s="1"/>
  <c r="U688" i="1" a="1"/>
  <c r="U688" i="1" s="1"/>
  <c r="U689" i="1" a="1"/>
  <c r="U689" i="1" s="1"/>
  <c r="U690" i="1" a="1"/>
  <c r="U690" i="1" s="1"/>
  <c r="U691" i="1" a="1"/>
  <c r="U691" i="1" s="1"/>
  <c r="U692" i="1" a="1"/>
  <c r="U692" i="1" s="1"/>
  <c r="U693" i="1" a="1"/>
  <c r="U693" i="1" s="1"/>
  <c r="U694" i="1" a="1"/>
  <c r="U694" i="1" s="1"/>
  <c r="U695" i="1" a="1"/>
  <c r="U695" i="1" s="1"/>
  <c r="U696" i="1" a="1"/>
  <c r="U696" i="1" s="1"/>
  <c r="U697" i="1" a="1"/>
  <c r="U697" i="1" s="1"/>
  <c r="U698" i="1" a="1"/>
  <c r="U698" i="1" s="1"/>
  <c r="U699" i="1" a="1"/>
  <c r="U699" i="1" s="1"/>
  <c r="U700" i="1" a="1"/>
  <c r="U700" i="1" s="1"/>
  <c r="U701" i="1" a="1"/>
  <c r="U701" i="1" s="1"/>
  <c r="U702" i="1" a="1"/>
  <c r="U702" i="1" s="1"/>
  <c r="U703" i="1" a="1"/>
  <c r="U703" i="1" s="1"/>
  <c r="U704" i="1" a="1"/>
  <c r="U704" i="1" s="1"/>
  <c r="U705" i="1" a="1"/>
  <c r="U705" i="1" s="1"/>
  <c r="U706" i="1" a="1"/>
  <c r="U706" i="1" s="1"/>
  <c r="U707" i="1" a="1"/>
  <c r="U707" i="1" s="1"/>
  <c r="U708" i="1" a="1"/>
  <c r="U708" i="1" s="1"/>
  <c r="U709" i="1" a="1"/>
  <c r="U709" i="1" s="1"/>
  <c r="U710" i="1" a="1"/>
  <c r="U710" i="1" s="1"/>
  <c r="U711" i="1" a="1"/>
  <c r="U711" i="1" s="1"/>
  <c r="U712" i="1" a="1"/>
  <c r="U712" i="1" s="1"/>
  <c r="U713" i="1" a="1"/>
  <c r="U713" i="1" s="1"/>
  <c r="U714" i="1" a="1"/>
  <c r="U714" i="1" s="1"/>
  <c r="U715" i="1" a="1"/>
  <c r="U715" i="1" s="1"/>
  <c r="U716" i="1" a="1"/>
  <c r="U716" i="1" s="1"/>
  <c r="U717" i="1" a="1"/>
  <c r="U717" i="1" s="1"/>
  <c r="U718" i="1" a="1"/>
  <c r="U718" i="1" s="1"/>
  <c r="U719" i="1" a="1"/>
  <c r="U719" i="1" s="1"/>
  <c r="U720" i="1" a="1"/>
  <c r="U720" i="1" s="1"/>
  <c r="U721" i="1" a="1"/>
  <c r="U721" i="1" s="1"/>
  <c r="U722" i="1" a="1"/>
  <c r="U722" i="1" s="1"/>
  <c r="U723" i="1" a="1"/>
  <c r="U723" i="1" s="1"/>
  <c r="U724" i="1" a="1"/>
  <c r="U724" i="1" s="1"/>
  <c r="U725" i="1" a="1"/>
  <c r="U725" i="1" s="1"/>
  <c r="U726" i="1" a="1"/>
  <c r="U726" i="1" s="1"/>
  <c r="U727" i="1" a="1"/>
  <c r="U727" i="1" s="1"/>
  <c r="U728" i="1" a="1"/>
  <c r="U728" i="1" s="1"/>
  <c r="U729" i="1" a="1"/>
  <c r="U729" i="1" s="1"/>
  <c r="U730" i="1" a="1"/>
  <c r="U730" i="1" s="1"/>
  <c r="U731" i="1" a="1"/>
  <c r="U731" i="1" s="1"/>
  <c r="U732" i="1" a="1"/>
  <c r="U732" i="1" s="1"/>
  <c r="U733" i="1" a="1"/>
  <c r="U733" i="1"/>
  <c r="U734" i="1" a="1"/>
  <c r="U734" i="1" s="1"/>
  <c r="U735" i="1" a="1"/>
  <c r="U735" i="1" s="1"/>
  <c r="U736" i="1" a="1"/>
  <c r="U736" i="1" s="1"/>
  <c r="U737" i="1" a="1"/>
  <c r="U737" i="1" s="1"/>
  <c r="U738" i="1" a="1"/>
  <c r="U738" i="1" s="1"/>
  <c r="U739" i="1" a="1"/>
  <c r="U739" i="1" s="1"/>
  <c r="U740" i="1" a="1"/>
  <c r="U740" i="1" s="1"/>
  <c r="U741" i="1" a="1"/>
  <c r="U741" i="1" s="1"/>
  <c r="U742" i="1" a="1"/>
  <c r="U742" i="1" s="1"/>
  <c r="U743" i="1" a="1"/>
  <c r="U743" i="1" s="1"/>
  <c r="U744" i="1" a="1"/>
  <c r="U744" i="1" s="1"/>
  <c r="U745" i="1" a="1"/>
  <c r="U745" i="1" s="1"/>
  <c r="U746" i="1" a="1"/>
  <c r="U746" i="1" s="1"/>
  <c r="U747" i="1" a="1"/>
  <c r="U747" i="1" s="1"/>
  <c r="U748" i="1" a="1"/>
  <c r="U748" i="1" s="1"/>
  <c r="U749" i="1" a="1"/>
  <c r="U749" i="1" s="1"/>
  <c r="U750" i="1" a="1"/>
  <c r="U750" i="1" s="1"/>
  <c r="U751" i="1" a="1"/>
  <c r="U751" i="1" s="1"/>
  <c r="U752" i="1" a="1"/>
  <c r="U752" i="1" s="1"/>
  <c r="U753" i="1" a="1"/>
  <c r="U753" i="1" s="1"/>
  <c r="U754" i="1" a="1"/>
  <c r="U754" i="1" s="1"/>
  <c r="U755" i="1" a="1"/>
  <c r="U755" i="1" s="1"/>
  <c r="U756" i="1" a="1"/>
  <c r="U756" i="1" s="1"/>
  <c r="U757" i="1" a="1"/>
  <c r="U757" i="1" s="1"/>
  <c r="U758" i="1" a="1"/>
  <c r="U758" i="1" s="1"/>
  <c r="U759" i="1" a="1"/>
  <c r="U759" i="1" s="1"/>
  <c r="U760" i="1" a="1"/>
  <c r="U760" i="1" s="1"/>
  <c r="U761" i="1" a="1"/>
  <c r="U761" i="1" s="1"/>
  <c r="U762" i="1" a="1"/>
  <c r="U762" i="1" s="1"/>
  <c r="U763" i="1" a="1"/>
  <c r="U763" i="1" s="1"/>
  <c r="U764" i="1" a="1"/>
  <c r="U764" i="1" s="1"/>
  <c r="U765" i="1" a="1"/>
  <c r="U765" i="1" s="1"/>
  <c r="U766" i="1" a="1"/>
  <c r="U766" i="1" s="1"/>
  <c r="U767" i="1" a="1"/>
  <c r="U767" i="1" s="1"/>
  <c r="U768" i="1" a="1"/>
  <c r="U768" i="1" s="1"/>
  <c r="U769" i="1" a="1"/>
  <c r="U769" i="1" s="1"/>
  <c r="U770" i="1" a="1"/>
  <c r="U770" i="1" s="1"/>
  <c r="U771" i="1" a="1"/>
  <c r="U771" i="1" s="1"/>
  <c r="U772" i="1" a="1"/>
  <c r="U772" i="1" s="1"/>
  <c r="U773" i="1" a="1"/>
  <c r="U773" i="1" s="1"/>
  <c r="U774" i="1" a="1"/>
  <c r="U774" i="1" s="1"/>
  <c r="U775" i="1" a="1"/>
  <c r="U775" i="1" s="1"/>
  <c r="U776" i="1" a="1"/>
  <c r="U776" i="1" s="1"/>
  <c r="U777" i="1" a="1"/>
  <c r="U777" i="1" s="1"/>
  <c r="U778" i="1" a="1"/>
  <c r="U778" i="1" s="1"/>
  <c r="U779" i="1" a="1"/>
  <c r="U779" i="1" s="1"/>
  <c r="U780" i="1" a="1"/>
  <c r="U780" i="1" s="1"/>
  <c r="U781" i="1" a="1"/>
  <c r="U781" i="1" s="1"/>
  <c r="U782" i="1" a="1"/>
  <c r="U782" i="1" s="1"/>
  <c r="U783" i="1" a="1"/>
  <c r="U783" i="1" s="1"/>
  <c r="U784" i="1" a="1"/>
  <c r="U784" i="1" s="1"/>
  <c r="U785" i="1" a="1"/>
  <c r="U785" i="1" s="1"/>
  <c r="U786" i="1" a="1"/>
  <c r="U786" i="1" s="1"/>
  <c r="U787" i="1" a="1"/>
  <c r="U787" i="1" s="1"/>
  <c r="U788" i="1" a="1"/>
  <c r="U788" i="1" s="1"/>
  <c r="U789" i="1" a="1"/>
  <c r="U789" i="1" s="1"/>
  <c r="U790" i="1" a="1"/>
  <c r="U790" i="1" s="1"/>
  <c r="U791" i="1" a="1"/>
  <c r="U791" i="1" s="1"/>
  <c r="U792" i="1" a="1"/>
  <c r="U792" i="1" s="1"/>
  <c r="U793" i="1" a="1"/>
  <c r="U793" i="1" s="1"/>
  <c r="U794" i="1" a="1"/>
  <c r="U794" i="1" s="1"/>
  <c r="U795" i="1" a="1"/>
  <c r="U795" i="1" s="1"/>
  <c r="U796" i="1" a="1"/>
  <c r="U796" i="1" s="1"/>
  <c r="U797" i="1" a="1"/>
  <c r="U797" i="1" s="1"/>
  <c r="U798" i="1" a="1"/>
  <c r="U798" i="1" s="1"/>
  <c r="U799" i="1" a="1"/>
  <c r="U799" i="1" s="1"/>
  <c r="U800" i="1" a="1"/>
  <c r="U800" i="1" s="1"/>
  <c r="U801" i="1" a="1"/>
  <c r="U801" i="1" s="1"/>
  <c r="U802" i="1" a="1"/>
  <c r="U802" i="1" s="1"/>
  <c r="U803" i="1" a="1"/>
  <c r="U803" i="1" s="1"/>
  <c r="U804" i="1" a="1"/>
  <c r="U804" i="1" s="1"/>
  <c r="U805" i="1" a="1"/>
  <c r="U805" i="1"/>
  <c r="U806" i="1" a="1"/>
  <c r="U806" i="1"/>
  <c r="U807" i="1" a="1"/>
  <c r="U807" i="1" s="1"/>
  <c r="U808" i="1" a="1"/>
  <c r="U808" i="1" s="1"/>
  <c r="U809" i="1" a="1"/>
  <c r="U809" i="1" s="1"/>
  <c r="U810" i="1" a="1"/>
  <c r="U810" i="1" s="1"/>
  <c r="U811" i="1" a="1"/>
  <c r="U811" i="1" s="1"/>
  <c r="U812" i="1" a="1"/>
  <c r="U812" i="1" s="1"/>
  <c r="U813" i="1" a="1"/>
  <c r="U813" i="1" s="1"/>
  <c r="U814" i="1" a="1"/>
  <c r="U814" i="1" s="1"/>
  <c r="U815" i="1" a="1"/>
  <c r="U815" i="1" s="1"/>
  <c r="U816" i="1" a="1"/>
  <c r="U816" i="1" s="1"/>
  <c r="U817" i="1" a="1"/>
  <c r="U817" i="1" s="1"/>
  <c r="U818" i="1" a="1"/>
  <c r="U818" i="1" s="1"/>
  <c r="U819" i="1" a="1"/>
  <c r="U819" i="1" s="1"/>
  <c r="U820" i="1" a="1"/>
  <c r="U820" i="1" s="1"/>
  <c r="U821" i="1" a="1"/>
  <c r="U821" i="1" s="1"/>
  <c r="U822" i="1" a="1"/>
  <c r="U822" i="1" s="1"/>
  <c r="U823" i="1" a="1"/>
  <c r="U823" i="1" s="1"/>
  <c r="U824" i="1" a="1"/>
  <c r="U824" i="1" s="1"/>
  <c r="U825" i="1" a="1"/>
  <c r="U825" i="1" s="1"/>
  <c r="U826" i="1" a="1"/>
  <c r="U826" i="1" s="1"/>
  <c r="U827" i="1" a="1"/>
  <c r="U827" i="1" s="1"/>
  <c r="U828" i="1" a="1"/>
  <c r="U828" i="1" s="1"/>
  <c r="U829" i="1" a="1"/>
  <c r="U829" i="1" s="1"/>
  <c r="U830" i="1" a="1"/>
  <c r="U830" i="1" s="1"/>
  <c r="U831" i="1" a="1"/>
  <c r="U831" i="1" s="1"/>
  <c r="U832" i="1" a="1"/>
  <c r="U832" i="1" s="1"/>
  <c r="U833" i="1" a="1"/>
  <c r="U833" i="1" s="1"/>
  <c r="U834" i="1" a="1"/>
  <c r="U834" i="1" s="1"/>
  <c r="U835" i="1" a="1"/>
  <c r="U835" i="1" s="1"/>
  <c r="U836" i="1" a="1"/>
  <c r="U836" i="1" s="1"/>
  <c r="U837" i="1" a="1"/>
  <c r="U837" i="1" s="1"/>
  <c r="U838" i="1" a="1"/>
  <c r="U838" i="1"/>
  <c r="U839" i="1" a="1"/>
  <c r="U839" i="1" s="1"/>
  <c r="U840" i="1" a="1"/>
  <c r="U840" i="1" s="1"/>
  <c r="U841" i="1" a="1"/>
  <c r="U841" i="1" s="1"/>
  <c r="U842" i="1" a="1"/>
  <c r="U842" i="1" s="1"/>
  <c r="U843" i="1" a="1"/>
  <c r="U843" i="1" s="1"/>
  <c r="U844" i="1" a="1"/>
  <c r="U844" i="1" s="1"/>
  <c r="U845" i="1" a="1"/>
  <c r="U845" i="1" s="1"/>
  <c r="U846" i="1" a="1"/>
  <c r="U846" i="1" s="1"/>
  <c r="U847" i="1" a="1"/>
  <c r="U847" i="1" s="1"/>
  <c r="U848" i="1" a="1"/>
  <c r="U848" i="1" s="1"/>
  <c r="U849" i="1" a="1"/>
  <c r="U849" i="1" s="1"/>
  <c r="U850" i="1" a="1"/>
  <c r="U850" i="1" s="1"/>
  <c r="U851" i="1" a="1"/>
  <c r="U851" i="1" s="1"/>
  <c r="U852" i="1" a="1"/>
  <c r="U852" i="1" s="1"/>
  <c r="U853" i="1" a="1"/>
  <c r="U853" i="1"/>
  <c r="U854" i="1" a="1"/>
  <c r="U854" i="1" s="1"/>
  <c r="U855" i="1" a="1"/>
  <c r="U855" i="1" s="1"/>
  <c r="U856" i="1" a="1"/>
  <c r="U856" i="1" s="1"/>
  <c r="U857" i="1" a="1"/>
  <c r="U857" i="1" s="1"/>
  <c r="U858" i="1" a="1"/>
  <c r="U858" i="1" s="1"/>
  <c r="U859" i="1" a="1"/>
  <c r="U859" i="1" s="1"/>
  <c r="U860" i="1" a="1"/>
  <c r="U860" i="1" s="1"/>
  <c r="U861" i="1" a="1"/>
  <c r="U861" i="1" s="1"/>
  <c r="U862" i="1" a="1"/>
  <c r="U862" i="1"/>
  <c r="U863" i="1" a="1"/>
  <c r="U863" i="1" s="1"/>
  <c r="U864" i="1" a="1"/>
  <c r="U864" i="1" s="1"/>
  <c r="U865" i="1" a="1"/>
  <c r="U865" i="1" s="1"/>
  <c r="U866" i="1" a="1"/>
  <c r="U866" i="1" s="1"/>
  <c r="U867" i="1" a="1"/>
  <c r="U867" i="1" s="1"/>
  <c r="U868" i="1" a="1"/>
  <c r="U868" i="1" s="1"/>
  <c r="U869" i="1" a="1"/>
  <c r="U869" i="1" s="1"/>
  <c r="U870" i="1" a="1"/>
  <c r="U870" i="1" s="1"/>
  <c r="U871" i="1" a="1"/>
  <c r="U871" i="1" s="1"/>
  <c r="U872" i="1" a="1"/>
  <c r="U872" i="1" s="1"/>
  <c r="U873" i="1" a="1"/>
  <c r="U873" i="1" s="1"/>
  <c r="U874" i="1" a="1"/>
  <c r="U874" i="1" s="1"/>
  <c r="U875" i="1" a="1"/>
  <c r="U875" i="1" s="1"/>
  <c r="U876" i="1" a="1"/>
  <c r="U876" i="1" s="1"/>
  <c r="U877" i="1" a="1"/>
  <c r="U877" i="1" s="1"/>
  <c r="U878" i="1" a="1"/>
  <c r="U878" i="1" s="1"/>
  <c r="U879" i="1" a="1"/>
  <c r="U879" i="1" s="1"/>
  <c r="U880" i="1" a="1"/>
  <c r="U880" i="1" s="1"/>
  <c r="U881" i="1" a="1"/>
  <c r="U881" i="1" s="1"/>
  <c r="U882" i="1" a="1"/>
  <c r="U882" i="1" s="1"/>
  <c r="U883" i="1" a="1"/>
  <c r="U883" i="1" s="1"/>
  <c r="U884" i="1" a="1"/>
  <c r="U884" i="1" s="1"/>
  <c r="U885" i="1" a="1"/>
  <c r="U885" i="1" s="1"/>
  <c r="U886" i="1" a="1"/>
  <c r="U886" i="1" s="1"/>
  <c r="U887" i="1" a="1"/>
  <c r="U887" i="1" s="1"/>
  <c r="U888" i="1" a="1"/>
  <c r="U888" i="1" s="1"/>
  <c r="U889" i="1" a="1"/>
  <c r="U889" i="1" s="1"/>
  <c r="U890" i="1" a="1"/>
  <c r="U890" i="1" s="1"/>
  <c r="U891" i="1" a="1"/>
  <c r="U891" i="1" s="1"/>
  <c r="U892" i="1" a="1"/>
  <c r="U892" i="1" s="1"/>
  <c r="U893" i="1" a="1"/>
  <c r="U893" i="1" s="1"/>
  <c r="U894" i="1" a="1"/>
  <c r="U894" i="1" s="1"/>
  <c r="U895" i="1" a="1"/>
  <c r="U895" i="1" s="1"/>
  <c r="U896" i="1" a="1"/>
  <c r="U896" i="1" s="1"/>
  <c r="U897" i="1" a="1"/>
  <c r="U897" i="1" s="1"/>
  <c r="U898" i="1" a="1"/>
  <c r="U898" i="1" s="1"/>
  <c r="U899" i="1" a="1"/>
  <c r="U899" i="1" s="1"/>
  <c r="U900" i="1" a="1"/>
  <c r="U900" i="1" s="1"/>
  <c r="U901" i="1" a="1"/>
  <c r="U901" i="1" s="1"/>
  <c r="U902" i="1" a="1"/>
  <c r="U902" i="1" s="1"/>
  <c r="U903" i="1" a="1"/>
  <c r="U903" i="1" s="1"/>
  <c r="U904" i="1" a="1"/>
  <c r="U904" i="1" s="1"/>
  <c r="U905" i="1" a="1"/>
  <c r="U905" i="1" s="1"/>
  <c r="U906" i="1" a="1"/>
  <c r="U906" i="1" s="1"/>
  <c r="U907" i="1" a="1"/>
  <c r="U907" i="1" s="1"/>
  <c r="U908" i="1" a="1"/>
  <c r="U908" i="1" s="1"/>
  <c r="U909" i="1" a="1"/>
  <c r="U909" i="1" s="1"/>
  <c r="U910" i="1" a="1"/>
  <c r="U910" i="1" s="1"/>
  <c r="U911" i="1" a="1"/>
  <c r="U911" i="1" s="1"/>
  <c r="U912" i="1" a="1"/>
  <c r="U912" i="1" s="1"/>
  <c r="U913" i="1" a="1"/>
  <c r="U913" i="1" s="1"/>
  <c r="U914" i="1" a="1"/>
  <c r="U914" i="1" s="1"/>
  <c r="U915" i="1" a="1"/>
  <c r="U915" i="1" s="1"/>
  <c r="U916" i="1" a="1"/>
  <c r="U916" i="1" s="1"/>
  <c r="U917" i="1" a="1"/>
  <c r="U917" i="1" s="1"/>
  <c r="U918" i="1" a="1"/>
  <c r="U918" i="1" s="1"/>
  <c r="U919" i="1" a="1"/>
  <c r="U919" i="1" s="1"/>
  <c r="U920" i="1" a="1"/>
  <c r="U920" i="1" s="1"/>
  <c r="U921" i="1" a="1"/>
  <c r="U921" i="1" s="1"/>
  <c r="U922" i="1" a="1"/>
  <c r="U922" i="1" s="1"/>
  <c r="U923" i="1" a="1"/>
  <c r="U923" i="1" s="1"/>
  <c r="U924" i="1" a="1"/>
  <c r="U924" i="1" s="1"/>
  <c r="U925" i="1" a="1"/>
  <c r="U925" i="1" s="1"/>
  <c r="U926" i="1" a="1"/>
  <c r="U926" i="1" s="1"/>
  <c r="U927" i="1" a="1"/>
  <c r="U927" i="1" s="1"/>
  <c r="U928" i="1" a="1"/>
  <c r="U928" i="1" s="1"/>
  <c r="U929" i="1" a="1"/>
  <c r="U929" i="1" s="1"/>
  <c r="U930" i="1" a="1"/>
  <c r="U930" i="1" s="1"/>
  <c r="U931" i="1" a="1"/>
  <c r="U931" i="1" s="1"/>
  <c r="U932" i="1" a="1"/>
  <c r="U932" i="1" s="1"/>
  <c r="U933" i="1" a="1"/>
  <c r="U933" i="1" s="1"/>
  <c r="U934" i="1" a="1"/>
  <c r="U934" i="1" s="1"/>
  <c r="U935" i="1" a="1"/>
  <c r="U935" i="1" s="1"/>
  <c r="U936" i="1" a="1"/>
  <c r="U936" i="1" s="1"/>
  <c r="U937" i="1" a="1"/>
  <c r="U937" i="1" s="1"/>
  <c r="U938" i="1" a="1"/>
  <c r="U938" i="1" s="1"/>
  <c r="U939" i="1" a="1"/>
  <c r="U939" i="1" s="1"/>
  <c r="U940" i="1" a="1"/>
  <c r="U940" i="1" s="1"/>
  <c r="U941" i="1" a="1"/>
  <c r="U941" i="1" s="1"/>
  <c r="U942" i="1" a="1"/>
  <c r="U942" i="1" s="1"/>
  <c r="U943" i="1" a="1"/>
  <c r="U943" i="1" s="1"/>
  <c r="U944" i="1" a="1"/>
  <c r="U944" i="1" s="1"/>
  <c r="U945" i="1" a="1"/>
  <c r="U945" i="1" s="1"/>
  <c r="U946" i="1" a="1"/>
  <c r="U946" i="1" s="1"/>
  <c r="U947" i="1" a="1"/>
  <c r="U947" i="1" s="1"/>
  <c r="U948" i="1" a="1"/>
  <c r="U948" i="1" s="1"/>
  <c r="U949" i="1" a="1"/>
  <c r="U949" i="1" s="1"/>
  <c r="U950" i="1" a="1"/>
  <c r="U950" i="1" s="1"/>
  <c r="U951" i="1" a="1"/>
  <c r="U951" i="1" s="1"/>
  <c r="U952" i="1" a="1"/>
  <c r="U952" i="1" s="1"/>
  <c r="U953" i="1" a="1"/>
  <c r="U953" i="1" s="1"/>
  <c r="U954" i="1" a="1"/>
  <c r="U954" i="1" s="1"/>
  <c r="U955" i="1" a="1"/>
  <c r="U955" i="1" s="1"/>
  <c r="U956" i="1" a="1"/>
  <c r="U956" i="1" s="1"/>
  <c r="U957" i="1" a="1"/>
  <c r="U957" i="1" s="1"/>
  <c r="U958" i="1" a="1"/>
  <c r="U958" i="1"/>
  <c r="U959" i="1" a="1"/>
  <c r="U959" i="1" s="1"/>
  <c r="U960" i="1" a="1"/>
  <c r="U960" i="1" s="1"/>
  <c r="U961" i="1" a="1"/>
  <c r="U961" i="1" s="1"/>
  <c r="U962" i="1" a="1"/>
  <c r="U962" i="1" s="1"/>
  <c r="U963" i="1" a="1"/>
  <c r="U963" i="1" s="1"/>
  <c r="U964" i="1" a="1"/>
  <c r="U964" i="1" s="1"/>
  <c r="U965" i="1" a="1"/>
  <c r="U965" i="1" s="1"/>
  <c r="U966" i="1" a="1"/>
  <c r="U966" i="1" s="1"/>
  <c r="U967" i="1" a="1"/>
  <c r="U967" i="1" s="1"/>
  <c r="U968" i="1" a="1"/>
  <c r="U968" i="1" s="1"/>
  <c r="U969" i="1" a="1"/>
  <c r="U969" i="1" s="1"/>
  <c r="U970" i="1" a="1"/>
  <c r="U970" i="1" s="1"/>
  <c r="U971" i="1" a="1"/>
  <c r="U971" i="1" s="1"/>
  <c r="U972" i="1" a="1"/>
  <c r="U972" i="1" s="1"/>
  <c r="U973" i="1" a="1"/>
  <c r="U973" i="1" s="1"/>
  <c r="U974" i="1" a="1"/>
  <c r="U974" i="1" s="1"/>
  <c r="U975" i="1" a="1"/>
  <c r="U975" i="1" s="1"/>
  <c r="U976" i="1" a="1"/>
  <c r="U976" i="1" s="1"/>
  <c r="U977" i="1" a="1"/>
  <c r="U977" i="1" s="1"/>
  <c r="U978" i="1" a="1"/>
  <c r="U978" i="1" s="1"/>
  <c r="U979" i="1" a="1"/>
  <c r="U979" i="1" s="1"/>
  <c r="U980" i="1" a="1"/>
  <c r="U980" i="1" s="1"/>
  <c r="U981" i="1" a="1"/>
  <c r="U981" i="1" s="1"/>
  <c r="U982" i="1" a="1"/>
  <c r="U982" i="1" s="1"/>
  <c r="U983" i="1" a="1"/>
  <c r="U983" i="1" s="1"/>
  <c r="U984" i="1" a="1"/>
  <c r="U984" i="1" s="1"/>
  <c r="U985" i="1" a="1"/>
  <c r="U985" i="1" s="1"/>
  <c r="U986" i="1" a="1"/>
  <c r="U986" i="1" s="1"/>
  <c r="U987" i="1" a="1"/>
  <c r="U987" i="1" s="1"/>
  <c r="U988" i="1" a="1"/>
  <c r="U988" i="1" s="1"/>
  <c r="U989" i="1" a="1"/>
  <c r="U989" i="1" s="1"/>
  <c r="U990" i="1" a="1"/>
  <c r="U990" i="1" s="1"/>
  <c r="U991" i="1" a="1"/>
  <c r="U991" i="1" s="1"/>
  <c r="U992" i="1" a="1"/>
  <c r="U992" i="1" s="1"/>
  <c r="U993" i="1" a="1"/>
  <c r="U993" i="1" s="1"/>
  <c r="U994" i="1" a="1"/>
  <c r="U994" i="1" s="1"/>
  <c r="U995" i="1" a="1"/>
  <c r="U995" i="1" s="1"/>
  <c r="U996" i="1" a="1"/>
  <c r="U996" i="1" s="1"/>
  <c r="U997" i="1" a="1"/>
  <c r="U997" i="1" s="1"/>
  <c r="U998" i="1" a="1"/>
  <c r="U998" i="1" s="1"/>
  <c r="U999" i="1" a="1"/>
  <c r="U999" i="1" s="1"/>
  <c r="U1000" i="1" a="1"/>
  <c r="U1000" i="1" s="1"/>
  <c r="U1001" i="1" a="1"/>
  <c r="U1001" i="1" s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3C718B-13DD-40E3-A9CE-2C3FBC0FD1C7}" keepAlive="1" name="Query - smart_logistics_dataset" description="Connection to the 'smart_logistics_dataset' query in the workbook." type="5" refreshedVersion="8" background="1" saveData="1">
    <dbPr connection="Provider=Microsoft.Mashup.OleDb.1;Data Source=$Workbook$;Location=smart_logistics_dataset;Extended Properties=&quot;&quot;" command="SELECT * FROM [smart_logistics_datase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<sst xmlns="http://schemas.openxmlformats.org/spreadsheetml/2006/main" count="13109" uniqueCount="94">
  <si>
    <t>Timestamp</t>
  </si>
  <si>
    <t>Asset_ID</t>
  </si>
  <si>
    <t>Latitude</t>
  </si>
  <si>
    <t>Longitude</t>
  </si>
  <si>
    <t>Inventory_Level</t>
  </si>
  <si>
    <t>Shipment_Status</t>
  </si>
  <si>
    <t>Temperature</t>
  </si>
  <si>
    <t>Humidity</t>
  </si>
  <si>
    <t>Traffic_Status</t>
  </si>
  <si>
    <t>Waiting_Time</t>
  </si>
  <si>
    <t>User_Transaction_Amount</t>
  </si>
  <si>
    <t>User_Purchase_Frequency</t>
  </si>
  <si>
    <t>Logistics_Delay_Reason</t>
  </si>
  <si>
    <t>Asset_Utilization</t>
  </si>
  <si>
    <t>Demand_Forecast</t>
  </si>
  <si>
    <t>Logistics_Delay</t>
  </si>
  <si>
    <t>Truck_7</t>
  </si>
  <si>
    <t>Delayed</t>
  </si>
  <si>
    <t>Detour</t>
  </si>
  <si>
    <t>None</t>
  </si>
  <si>
    <t>Truck_6</t>
  </si>
  <si>
    <t>In Transit</t>
  </si>
  <si>
    <t>Heavy</t>
  </si>
  <si>
    <t>Weather</t>
  </si>
  <si>
    <t>Truck_10</t>
  </si>
  <si>
    <t>Truck_9</t>
  </si>
  <si>
    <t>Delivered</t>
  </si>
  <si>
    <t>Traffic</t>
  </si>
  <si>
    <t>Clear</t>
  </si>
  <si>
    <t>Truck_4</t>
  </si>
  <si>
    <t>Truck_2</t>
  </si>
  <si>
    <t>Mechanical Failure</t>
  </si>
  <si>
    <t>Truck_8</t>
  </si>
  <si>
    <t>Truck_3</t>
  </si>
  <si>
    <t>Truck_5</t>
  </si>
  <si>
    <t>Truck_1</t>
  </si>
  <si>
    <t>Dataset Name</t>
  </si>
  <si>
    <t>Source</t>
  </si>
  <si>
    <t>Business Domain</t>
  </si>
  <si>
    <t>Numbe Of Rows</t>
  </si>
  <si>
    <t>Number of Columns</t>
  </si>
  <si>
    <t>Time Period</t>
  </si>
  <si>
    <t>Target Veriable</t>
  </si>
  <si>
    <t>Primary Key</t>
  </si>
  <si>
    <t>Granularity</t>
  </si>
  <si>
    <t>Smart Logistics Operations Dataset</t>
  </si>
  <si>
    <t>Kaggle</t>
  </si>
  <si>
    <t>Supply Chain &amp; Logistics</t>
  </si>
  <si>
    <t>None identified yet</t>
  </si>
  <si>
    <t>One row represents a recorded logistics observation (event/snapshot) for a truck at a specific point in time, potentially during the lifecycle of a shipment</t>
  </si>
  <si>
    <t>Row Labels</t>
  </si>
  <si>
    <t>Grand Total</t>
  </si>
  <si>
    <t>Count of Asset_ID</t>
  </si>
  <si>
    <t>Column Labels</t>
  </si>
  <si>
    <t>Observation</t>
  </si>
  <si>
    <t>Interpretation</t>
  </si>
  <si>
    <t>Recommendation</t>
  </si>
  <si>
    <t>The delay rate across all recorded delay reasons ranges from 55.9% to 57.2%, a difference of only 1.3 percentage points.</t>
  </si>
  <si>
    <r>
      <t xml:space="preserve">The recorded delay reason appears to have </t>
    </r>
    <r>
      <rPr>
        <b/>
        <sz val="11"/>
        <color theme="1"/>
        <rFont val="Aptos Narrow"/>
        <family val="2"/>
        <scheme val="minor"/>
      </rPr>
      <t>little discriminatory power</t>
    </r>
    <r>
      <rPr>
        <sz val="11"/>
        <color theme="1"/>
        <rFont val="Aptos Narrow"/>
        <family val="2"/>
        <scheme val="minor"/>
      </rPr>
      <t xml:space="preserve"> for distinguishing delayed from non-delayed observations in this dataset.</t>
    </r>
  </si>
  <si>
    <t>Investigate other operational variables—such as Waiting_Time, Traffic_Status, or Asset_Utilization—which may provide stronger explanatory value.</t>
  </si>
  <si>
    <t>Timestamp: Date and time when the data was recorded, representing logistics activity.</t>
  </si>
  <si>
    <t>Asset_ID: Unique identifier for the logistical assets (e.g., trucks).</t>
  </si>
  <si>
    <t>Latitude &amp; Longitude: Geographical coordinates of the asset for tracking and monitoring.</t>
  </si>
  <si>
    <t>Inventory_Level: Current level of inventory associated with the asset or shipment.</t>
  </si>
  <si>
    <t>Shipment_Status: Status of the shipment (e.g., In Transit, Delivered, Delayed).</t>
  </si>
  <si>
    <t>Temperature: Temperature recorded at the time of the shipment or transportation.</t>
  </si>
  <si>
    <t>Humidity: Humidity level at the time of recording.</t>
  </si>
  <si>
    <t>Traffic_Status: Current traffic condition (e.g., Clear, Heavy, Detour).</t>
  </si>
  <si>
    <t>Waiting_Time: Time spent waiting during the logistics process (in minutes).</t>
  </si>
  <si>
    <t>User_Transaction_Amount: Monetary amount associated with user transactions.</t>
  </si>
  <si>
    <t>User_Purchase_Frequency: Frequency of purchases made by the user.</t>
  </si>
  <si>
    <t>Logistics_Delay_Reason: Reason for any delays in the logistics process (e.g., Weather, Mechanical Failure).</t>
  </si>
  <si>
    <t>Asset_Utilization: Percentage of asset utilization, indicating how effectively assets are being used.</t>
  </si>
  <si>
    <t>Demand_Forecast: Predicted demand for the logistics services in the coming period.</t>
  </si>
  <si>
    <t>Logistics_Delay (Target): Binary variable indicating whether a logistics delay occurred (1 for delay, 0 for no delay).</t>
  </si>
  <si>
    <t>Date</t>
  </si>
  <si>
    <t>Time</t>
  </si>
  <si>
    <t>Year</t>
  </si>
  <si>
    <t>Month</t>
  </si>
  <si>
    <t>Waiting_Time_Category</t>
  </si>
  <si>
    <t>Temperature Category</t>
  </si>
  <si>
    <t>Utilization Category</t>
  </si>
  <si>
    <t>Weekday</t>
  </si>
  <si>
    <t>Season</t>
  </si>
  <si>
    <t>Is_Weekend</t>
  </si>
  <si>
    <t>Status_Enc</t>
  </si>
  <si>
    <t>Traffic_Enc</t>
  </si>
  <si>
    <t>Heavy_Traffic_Flag</t>
  </si>
  <si>
    <t>High_Humidity_Flag</t>
  </si>
  <si>
    <t>Long_Wait_Flag</t>
  </si>
  <si>
    <t>Spring</t>
  </si>
  <si>
    <t>Fall</t>
  </si>
  <si>
    <t>Summer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</si>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</sst>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stafa El Rouby" refreshedDate="46232.237519097223" createdVersion="8" refreshedVersion="8" minRefreshableVersion="3" recordCount="1000" xr:uid="{FFA78175-7EC9-412F-AF65-2D1B1A7D62FC}">
  <cacheSource type="worksheet">
    <worksheetSource name="smart_dataset"/>
  </cacheSource>
  <cacheFields count="16">
    <cacheField name="Timestamp" numFmtId="22">
      <sharedItems containsSemiMixedTypes="0" containsNonDate="0" containsDate="1" containsString="0" minDate="2024-01-01T11:37:57" maxDate="2024-12-30T20:21:58"/>
    </cacheField>
    <cacheField name="Asset_ID" numFmtId="0">
      <sharedItems/>
    </cacheField>
    <cacheField name="Latitude" numFmtId="0">
      <sharedItems containsSemiMixedTypes="0" containsString="0" containsNumber="1" minValue="-89.791499999999999" maxValue="89.870099999999994"/>
    </cacheField>
    <cacheField name="Longitude" numFmtId="0">
      <sharedItems containsSemiMixedTypes="0" containsString="0" containsNumber="1" minValue="-179.8202" maxValue="179.9237"/>
    </cacheField>
    <cacheField name="Inventory_Level" numFmtId="0">
      <sharedItems containsSemiMixedTypes="0" containsString="0" containsNumber="1" containsInteger="1" minValue="100" maxValue="500"/>
    </cacheField>
    <cacheField name="Shipment_Status" numFmtId="0">
      <sharedItems count="3">
        <s v="Delayed"/>
        <s v="In Transit"/>
        <s v="Delivered"/>
      </sharedItems>
    </cacheField>
    <cacheField name="Temperature" numFmtId="0">
      <sharedItems containsSemiMixedTypes="0" containsString="0" containsNumber="1" minValue="18" maxValue="30"/>
    </cacheField>
    <cacheField name="Humidity" numFmtId="0">
      <sharedItems containsSemiMixedTypes="0" containsString="0" containsNumber="1" minValue="50" maxValue="80"/>
    </cacheField>
    <cacheField name="Traffic_Status" numFmtId="0">
      <sharedItems/>
    </cacheField>
    <cacheField name="Waiting_Time" numFmtId="0">
      <sharedItems containsSemiMixedTypes="0" containsString="0" containsNumber="1" containsInteger="1" minValue="10" maxValue="60"/>
    </cacheField>
    <cacheField name="User_Transaction_Amount" numFmtId="0">
      <sharedItems containsSemiMixedTypes="0" containsString="0" containsNumber="1" containsInteger="1" minValue="100" maxValue="500"/>
    </cacheField>
    <cacheField name="User_Purchase_Frequency" numFmtId="0">
      <sharedItems containsSemiMixedTypes="0" containsString="0" containsNumber="1" containsInteger="1" minValue="1" maxValue="10"/>
    </cacheField>
    <cacheField name="Logistics_Delay_Reason" numFmtId="0">
      <sharedItems/>
    </cacheField>
    <cacheField name="Asset_Utilization" numFmtId="0">
      <sharedItems containsSemiMixedTypes="0" containsString="0" containsNumber="1" minValue="60" maxValue="100"/>
    </cacheField>
    <cacheField name="Demand_Forecast" numFmtId="0">
      <sharedItems containsSemiMixedTypes="0" containsString="0" containsNumber="1" containsInteger="1" minValue="100" maxValue="300"/>
    </cacheField>
    <cacheField name="Logistics_Delay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4-03-20T00:11:14"/>
    <s v="Truck_7"/>
    <n v="-65.738299999999995"/>
    <n v="11.249700000000001"/>
    <n v="390"/>
    <x v="0"/>
    <n v="27"/>
    <n v="67.8"/>
    <s v="Detour"/>
    <n v="38"/>
    <n v="320"/>
    <n v="4"/>
    <s v="None"/>
    <n v="60.1"/>
    <n v="285"/>
    <x v="0"/>
  </r>
  <r>
    <d v="2024-10-30T07:53:51"/>
    <s v="Truck_6"/>
    <n v="22.274799999999999"/>
    <n v="-131.70859999999999"/>
    <n v="491"/>
    <x v="1"/>
    <n v="22.5"/>
    <n v="54.3"/>
    <s v="Heavy"/>
    <n v="16"/>
    <n v="439"/>
    <n v="7"/>
    <s v="Weather"/>
    <n v="80.900000000000006"/>
    <n v="174"/>
    <x v="0"/>
  </r>
  <r>
    <d v="2024-07-29T18:42:48"/>
    <s v="Truck_10"/>
    <n v="54.923200000000001"/>
    <n v="79.545500000000004"/>
    <n v="190"/>
    <x v="1"/>
    <n v="25.2"/>
    <n v="62.2"/>
    <s v="Detour"/>
    <n v="34"/>
    <n v="355"/>
    <n v="3"/>
    <s v="None"/>
    <n v="99.2"/>
    <n v="260"/>
    <x v="1"/>
  </r>
  <r>
    <d v="2024-10-28T00:50:54"/>
    <s v="Truck_9"/>
    <n v="42.39"/>
    <n v="-1.4787999999999999"/>
    <n v="330"/>
    <x v="2"/>
    <n v="25.4"/>
    <n v="52.3"/>
    <s v="Heavy"/>
    <n v="37"/>
    <n v="227"/>
    <n v="5"/>
    <s v="Traffic"/>
    <n v="97.4"/>
    <n v="160"/>
    <x v="0"/>
  </r>
  <r>
    <d v="2024-09-27T15:52:58"/>
    <s v="Truck_7"/>
    <n v="-65.847700000000003"/>
    <n v="47.946800000000003"/>
    <n v="480"/>
    <x v="0"/>
    <n v="20.5"/>
    <n v="57.2"/>
    <s v="Clear"/>
    <n v="56"/>
    <n v="197"/>
    <n v="6"/>
    <s v="None"/>
    <n v="71.599999999999994"/>
    <n v="270"/>
    <x v="0"/>
  </r>
  <r>
    <d v="2024-09-17T06:02:15"/>
    <s v="Truck_7"/>
    <n v="73.331199999999995"/>
    <n v="46.583100000000002"/>
    <n v="118"/>
    <x v="1"/>
    <n v="24.3"/>
    <n v="61.8"/>
    <s v="Clear"/>
    <n v="56"/>
    <n v="258"/>
    <n v="10"/>
    <s v="None"/>
    <n v="66.8"/>
    <n v="189"/>
    <x v="1"/>
  </r>
  <r>
    <d v="2024-02-05T08:38:56"/>
    <s v="Truck_4"/>
    <n v="27.930700000000002"/>
    <n v="147.5317"/>
    <n v="480"/>
    <x v="0"/>
    <n v="20.7"/>
    <n v="75.400000000000006"/>
    <s v="Clear"/>
    <n v="32"/>
    <n v="263"/>
    <n v="3"/>
    <s v="None"/>
    <n v="73.3"/>
    <n v="198"/>
    <x v="0"/>
  </r>
  <r>
    <d v="2024-09-28T09:08:23"/>
    <s v="Truck_9"/>
    <n v="46.564300000000003"/>
    <n v="-126.5348"/>
    <n v="222"/>
    <x v="1"/>
    <n v="23.3"/>
    <n v="64.2"/>
    <s v="Detour"/>
    <n v="30"/>
    <n v="459"/>
    <n v="9"/>
    <s v="Traffic"/>
    <n v="73.8"/>
    <n v="253"/>
    <x v="1"/>
  </r>
  <r>
    <d v="2024-01-18T08:27:04"/>
    <s v="Truck_9"/>
    <n v="-83.673699999999997"/>
    <n v="-31.712499999999999"/>
    <n v="245"/>
    <x v="2"/>
    <n v="26.4"/>
    <n v="77.2"/>
    <s v="Clear"/>
    <n v="14"/>
    <n v="183"/>
    <n v="2"/>
    <s v="None"/>
    <n v="69.599999999999994"/>
    <n v="206"/>
    <x v="1"/>
  </r>
  <r>
    <d v="2024-11-09T00:48:26"/>
    <s v="Truck_2"/>
    <n v="54.168300000000002"/>
    <n v="-135.26759999999999"/>
    <n v="389"/>
    <x v="1"/>
    <n v="21.9"/>
    <n v="57.3"/>
    <s v="Clear"/>
    <n v="52"/>
    <n v="127"/>
    <n v="7"/>
    <s v="Mechanical Failure"/>
    <n v="63.1"/>
    <n v="224"/>
    <x v="1"/>
  </r>
  <r>
    <d v="2024-01-09T23:19:43"/>
    <s v="Truck_9"/>
    <n v="82.963300000000004"/>
    <n v="-154.5274"/>
    <n v="319"/>
    <x v="0"/>
    <n v="22"/>
    <n v="53.5"/>
    <s v="Clear"/>
    <n v="28"/>
    <n v="360"/>
    <n v="4"/>
    <s v="None"/>
    <n v="69.8"/>
    <n v="171"/>
    <x v="0"/>
  </r>
  <r>
    <d v="2024-02-02T22:28:16"/>
    <s v="Truck_10"/>
    <n v="-25.276800000000001"/>
    <n v="156.12620000000001"/>
    <n v="234"/>
    <x v="2"/>
    <n v="29.7"/>
    <n v="63.6"/>
    <s v="Detour"/>
    <n v="13"/>
    <n v="406"/>
    <n v="10"/>
    <s v="Traffic"/>
    <n v="85.5"/>
    <n v="238"/>
    <x v="1"/>
  </r>
  <r>
    <d v="2024-02-17T21:14:42"/>
    <s v="Truck_8"/>
    <n v="-65.525999999999996"/>
    <n v="-3.0202"/>
    <n v="154"/>
    <x v="1"/>
    <n v="21.5"/>
    <n v="74.2"/>
    <s v="Detour"/>
    <n v="38"/>
    <n v="215"/>
    <n v="3"/>
    <s v="Weather"/>
    <n v="84.4"/>
    <n v="114"/>
    <x v="1"/>
  </r>
  <r>
    <d v="2024-03-04T06:44:50"/>
    <s v="Truck_2"/>
    <n v="-26.183599999999998"/>
    <n v="-30.364100000000001"/>
    <n v="348"/>
    <x v="2"/>
    <n v="27.3"/>
    <n v="71.599999999999994"/>
    <s v="Detour"/>
    <n v="30"/>
    <n v="211"/>
    <n v="2"/>
    <s v="None"/>
    <n v="96.4"/>
    <n v="115"/>
    <x v="1"/>
  </r>
  <r>
    <d v="2024-08-28T12:19:14"/>
    <s v="Truck_3"/>
    <n v="2.6709000000000001"/>
    <n v="-80.887900000000002"/>
    <n v="163"/>
    <x v="1"/>
    <n v="25.1"/>
    <n v="76.8"/>
    <s v="Heavy"/>
    <n v="54"/>
    <n v="320"/>
    <n v="5"/>
    <s v="Weather"/>
    <n v="93.2"/>
    <n v="231"/>
    <x v="0"/>
  </r>
  <r>
    <d v="2024-01-04T22:52:43"/>
    <s v="Truck_5"/>
    <n v="-22.479299999999999"/>
    <n v="-54.514299999999999"/>
    <n v="130"/>
    <x v="0"/>
    <n v="23.7"/>
    <n v="68.099999999999994"/>
    <s v="Clear"/>
    <n v="45"/>
    <n v="487"/>
    <n v="4"/>
    <s v="Traffic"/>
    <n v="84.1"/>
    <n v="256"/>
    <x v="0"/>
  </r>
  <r>
    <d v="2024-10-30T17:52:03"/>
    <s v="Truck_4"/>
    <n v="-34.535299999999999"/>
    <n v="-40.861699999999999"/>
    <n v="391"/>
    <x v="0"/>
    <n v="21.6"/>
    <n v="72.5"/>
    <s v="Clear"/>
    <n v="58"/>
    <n v="298"/>
    <n v="7"/>
    <s v="Traffic"/>
    <n v="61.5"/>
    <n v="170"/>
    <x v="0"/>
  </r>
  <r>
    <d v="2024-07-15T15:42:02"/>
    <s v="Truck_7"/>
    <n v="-8.7104999999999997"/>
    <n v="-17.834700000000002"/>
    <n v="344"/>
    <x v="0"/>
    <n v="21.4"/>
    <n v="53.5"/>
    <s v="Detour"/>
    <n v="23"/>
    <n v="461"/>
    <n v="9"/>
    <s v="None"/>
    <n v="93.4"/>
    <n v="106"/>
    <x v="0"/>
  </r>
  <r>
    <d v="2024-01-19T06:42:30"/>
    <s v="Truck_5"/>
    <n v="14.6629"/>
    <n v="116.06959999999999"/>
    <n v="409"/>
    <x v="0"/>
    <n v="27.5"/>
    <n v="66.599999999999994"/>
    <s v="Detour"/>
    <n v="29"/>
    <n v="492"/>
    <n v="3"/>
    <s v="None"/>
    <n v="72.599999999999994"/>
    <n v="204"/>
    <x v="0"/>
  </r>
  <r>
    <d v="2024-04-28T21:23:34"/>
    <s v="Truck_10"/>
    <n v="75.774299999999997"/>
    <n v="108.9425"/>
    <n v="457"/>
    <x v="1"/>
    <n v="25.5"/>
    <n v="75.900000000000006"/>
    <s v="Clear"/>
    <n v="21"/>
    <n v="315"/>
    <n v="3"/>
    <s v="Traffic"/>
    <n v="83.4"/>
    <n v="248"/>
    <x v="1"/>
  </r>
  <r>
    <d v="2024-03-06T20:00:26"/>
    <s v="Truck_5"/>
    <n v="50.341900000000003"/>
    <n v="108.5647"/>
    <n v="207"/>
    <x v="2"/>
    <n v="29.3"/>
    <n v="59.4"/>
    <s v="Detour"/>
    <n v="31"/>
    <n v="174"/>
    <n v="5"/>
    <s v="Mechanical Failure"/>
    <n v="65.900000000000006"/>
    <n v="195"/>
    <x v="1"/>
  </r>
  <r>
    <d v="2024-11-20T16:38:07"/>
    <s v="Truck_8"/>
    <n v="-6.6729000000000003"/>
    <n v="132.67269999999999"/>
    <n v="155"/>
    <x v="2"/>
    <n v="19.399999999999999"/>
    <n v="53.2"/>
    <s v="Heavy"/>
    <n v="20"/>
    <n v="152"/>
    <n v="1"/>
    <s v="Mechanical Failure"/>
    <n v="99.3"/>
    <n v="235"/>
    <x v="0"/>
  </r>
  <r>
    <d v="2024-01-07T09:13:28"/>
    <s v="Truck_6"/>
    <n v="-74.1751"/>
    <n v="-102.73309999999999"/>
    <n v="314"/>
    <x v="2"/>
    <n v="19.899999999999999"/>
    <n v="64.8"/>
    <s v="Detour"/>
    <n v="57"/>
    <n v="396"/>
    <n v="10"/>
    <s v="Weather"/>
    <n v="78.599999999999994"/>
    <n v="135"/>
    <x v="1"/>
  </r>
  <r>
    <d v="2024-09-25T15:12:12"/>
    <s v="Truck_10"/>
    <n v="-33.226399999999998"/>
    <n v="169.61869999999999"/>
    <n v="156"/>
    <x v="1"/>
    <n v="27.2"/>
    <n v="74.400000000000006"/>
    <s v="Clear"/>
    <n v="35"/>
    <n v="354"/>
    <n v="2"/>
    <s v="Weather"/>
    <n v="63.1"/>
    <n v="282"/>
    <x v="1"/>
  </r>
  <r>
    <d v="2024-02-11T13:30:18"/>
    <s v="Truck_2"/>
    <n v="-34.446899999999999"/>
    <n v="93.158500000000004"/>
    <n v="119"/>
    <x v="1"/>
    <n v="28.1"/>
    <n v="72.400000000000006"/>
    <s v="Detour"/>
    <n v="41"/>
    <n v="176"/>
    <n v="2"/>
    <s v="None"/>
    <n v="60.9"/>
    <n v="238"/>
    <x v="1"/>
  </r>
  <r>
    <d v="2024-11-20T11:22:13"/>
    <s v="Truck_3"/>
    <n v="-13.510999999999999"/>
    <n v="141.84540000000001"/>
    <n v="112"/>
    <x v="1"/>
    <n v="19.7"/>
    <n v="76.599999999999994"/>
    <s v="Detour"/>
    <n v="22"/>
    <n v="121"/>
    <n v="3"/>
    <s v="Traffic"/>
    <n v="80.900000000000006"/>
    <n v="262"/>
    <x v="1"/>
  </r>
  <r>
    <d v="2024-06-25T02:26:25"/>
    <s v="Truck_3"/>
    <n v="-22.427"/>
    <n v="108.2306"/>
    <n v="435"/>
    <x v="2"/>
    <n v="25.8"/>
    <n v="78.599999999999994"/>
    <s v="Heavy"/>
    <n v="22"/>
    <n v="220"/>
    <n v="7"/>
    <s v="Traffic"/>
    <n v="90.8"/>
    <n v="101"/>
    <x v="0"/>
  </r>
  <r>
    <d v="2024-06-25T00:01:12"/>
    <s v="Truck_9"/>
    <n v="43.335299999999997"/>
    <n v="-12.068300000000001"/>
    <n v="422"/>
    <x v="2"/>
    <n v="20"/>
    <n v="62.9"/>
    <s v="Heavy"/>
    <n v="14"/>
    <n v="184"/>
    <n v="9"/>
    <s v="Traffic"/>
    <n v="64"/>
    <n v="248"/>
    <x v="0"/>
  </r>
  <r>
    <d v="2024-05-02T02:33:56"/>
    <s v="Truck_4"/>
    <n v="-66.7517"/>
    <n v="161.44999999999999"/>
    <n v="353"/>
    <x v="1"/>
    <n v="20.5"/>
    <n v="52"/>
    <s v="Heavy"/>
    <n v="26"/>
    <n v="392"/>
    <n v="7"/>
    <s v="Traffic"/>
    <n v="76.400000000000006"/>
    <n v="155"/>
    <x v="0"/>
  </r>
  <r>
    <d v="2024-08-10T00:04:40"/>
    <s v="Truck_8"/>
    <n v="-65.734899999999996"/>
    <n v="-173.30109999999999"/>
    <n v="299"/>
    <x v="0"/>
    <n v="23.9"/>
    <n v="50.1"/>
    <s v="Heavy"/>
    <n v="17"/>
    <n v="315"/>
    <n v="6"/>
    <s v="None"/>
    <n v="88.3"/>
    <n v="252"/>
    <x v="0"/>
  </r>
  <r>
    <d v="2024-05-13T03:20:21"/>
    <s v="Truck_1"/>
    <n v="-55.476799999999997"/>
    <n v="18.255099999999999"/>
    <n v="261"/>
    <x v="0"/>
    <n v="22.5"/>
    <n v="78.400000000000006"/>
    <s v="Clear"/>
    <n v="41"/>
    <n v="209"/>
    <n v="6"/>
    <s v="Mechanical Failure"/>
    <n v="71.8"/>
    <n v="240"/>
    <x v="0"/>
  </r>
  <r>
    <d v="2024-12-02T08:32:47"/>
    <s v="Truck_8"/>
    <n v="5.9179000000000004"/>
    <n v="74.825400000000002"/>
    <n v="425"/>
    <x v="0"/>
    <n v="19.3"/>
    <n v="51.1"/>
    <s v="Heavy"/>
    <n v="39"/>
    <n v="235"/>
    <n v="9"/>
    <s v="Mechanical Failure"/>
    <n v="88.3"/>
    <n v="242"/>
    <x v="0"/>
  </r>
  <r>
    <d v="2024-02-12T06:23:27"/>
    <s v="Truck_7"/>
    <n v="49.392899999999997"/>
    <n v="-47.580500000000001"/>
    <n v="369"/>
    <x v="2"/>
    <n v="26.3"/>
    <n v="52.1"/>
    <s v="Detour"/>
    <n v="48"/>
    <n v="104"/>
    <n v="7"/>
    <s v="None"/>
    <n v="66.7"/>
    <n v="220"/>
    <x v="1"/>
  </r>
  <r>
    <d v="2024-04-24T06:17:22"/>
    <s v="Truck_10"/>
    <n v="80.315799999999996"/>
    <n v="70.765000000000001"/>
    <n v="223"/>
    <x v="0"/>
    <n v="24"/>
    <n v="60.2"/>
    <s v="Heavy"/>
    <n v="45"/>
    <n v="292"/>
    <n v="6"/>
    <s v="Weather"/>
    <n v="78.400000000000006"/>
    <n v="205"/>
    <x v="0"/>
  </r>
  <r>
    <d v="2024-12-06T19:05:13"/>
    <s v="Truck_2"/>
    <n v="-19.884699999999999"/>
    <n v="42.5062"/>
    <n v="200"/>
    <x v="2"/>
    <n v="28.1"/>
    <n v="72.099999999999994"/>
    <s v="Detour"/>
    <n v="28"/>
    <n v="129"/>
    <n v="9"/>
    <s v="None"/>
    <n v="74.3"/>
    <n v="134"/>
    <x v="1"/>
  </r>
  <r>
    <d v="2024-04-30T11:53:17"/>
    <s v="Truck_9"/>
    <n v="5.4554999999999998"/>
    <n v="-147.5455"/>
    <n v="466"/>
    <x v="1"/>
    <n v="26.1"/>
    <n v="72.099999999999994"/>
    <s v="Detour"/>
    <n v="54"/>
    <n v="475"/>
    <n v="9"/>
    <s v="Mechanical Failure"/>
    <n v="83.4"/>
    <n v="222"/>
    <x v="1"/>
  </r>
  <r>
    <d v="2024-09-19T22:53:51"/>
    <s v="Truck_8"/>
    <n v="-19.2577"/>
    <n v="66.744"/>
    <n v="474"/>
    <x v="1"/>
    <n v="27.7"/>
    <n v="71.2"/>
    <s v="Heavy"/>
    <n v="50"/>
    <n v="311"/>
    <n v="3"/>
    <s v="Mechanical Failure"/>
    <n v="91.6"/>
    <n v="266"/>
    <x v="0"/>
  </r>
  <r>
    <d v="2024-12-22T15:08:14"/>
    <s v="Truck_6"/>
    <n v="-79.0792"/>
    <n v="-16.342300000000002"/>
    <n v="490"/>
    <x v="2"/>
    <n v="23.1"/>
    <n v="75.2"/>
    <s v="Heavy"/>
    <n v="14"/>
    <n v="460"/>
    <n v="7"/>
    <s v="None"/>
    <n v="87.8"/>
    <n v="261"/>
    <x v="0"/>
  </r>
  <r>
    <d v="2024-08-15T05:45:04"/>
    <s v="Truck_5"/>
    <n v="-1.6787000000000001"/>
    <n v="3.2441"/>
    <n v="126"/>
    <x v="2"/>
    <n v="29.6"/>
    <n v="67.599999999999994"/>
    <s v="Detour"/>
    <n v="19"/>
    <n v="201"/>
    <n v="9"/>
    <s v="Weather"/>
    <n v="84.1"/>
    <n v="255"/>
    <x v="1"/>
  </r>
  <r>
    <d v="2024-03-16T11:17:42"/>
    <s v="Truck_7"/>
    <n v="-8.2431000000000001"/>
    <n v="-12.495900000000001"/>
    <n v="164"/>
    <x v="1"/>
    <n v="18.2"/>
    <n v="76.400000000000006"/>
    <s v="Clear"/>
    <n v="45"/>
    <n v="466"/>
    <n v="7"/>
    <s v="None"/>
    <n v="98.1"/>
    <n v="196"/>
    <x v="1"/>
  </r>
  <r>
    <d v="2024-12-28T11:40:55"/>
    <s v="Truck_2"/>
    <n v="-30.0701"/>
    <n v="135.6396"/>
    <n v="477"/>
    <x v="0"/>
    <n v="19.2"/>
    <n v="79.400000000000006"/>
    <s v="Clear"/>
    <n v="12"/>
    <n v="310"/>
    <n v="5"/>
    <s v="Mechanical Failure"/>
    <n v="63.7"/>
    <n v="129"/>
    <x v="0"/>
  </r>
  <r>
    <d v="2024-02-04T18:55:58"/>
    <s v="Truck_5"/>
    <n v="61.8444"/>
    <n v="107.48350000000001"/>
    <n v="245"/>
    <x v="1"/>
    <n v="24.2"/>
    <n v="56.9"/>
    <s v="Detour"/>
    <n v="39"/>
    <n v="379"/>
    <n v="2"/>
    <s v="Traffic"/>
    <n v="66.400000000000006"/>
    <n v="183"/>
    <x v="1"/>
  </r>
  <r>
    <d v="2024-07-09T02:12:54"/>
    <s v="Truck_5"/>
    <n v="40.783999999999999"/>
    <n v="77.2346"/>
    <n v="172"/>
    <x v="0"/>
    <n v="25.2"/>
    <n v="67.599999999999994"/>
    <s v="Clear"/>
    <n v="40"/>
    <n v="274"/>
    <n v="7"/>
    <s v="Weather"/>
    <n v="66.3"/>
    <n v="170"/>
    <x v="0"/>
  </r>
  <r>
    <d v="2024-12-01T23:54:16"/>
    <s v="Truck_7"/>
    <n v="-68.351500000000001"/>
    <n v="158.251"/>
    <n v="206"/>
    <x v="0"/>
    <n v="20.7"/>
    <n v="77.5"/>
    <s v="Clear"/>
    <n v="15"/>
    <n v="308"/>
    <n v="2"/>
    <s v="Mechanical Failure"/>
    <n v="63.9"/>
    <n v="209"/>
    <x v="0"/>
  </r>
  <r>
    <d v="2024-06-22T13:26:02"/>
    <s v="Truck_6"/>
    <n v="-33.837800000000001"/>
    <n v="73.322100000000006"/>
    <n v="310"/>
    <x v="1"/>
    <n v="18.7"/>
    <n v="54.7"/>
    <s v="Clear"/>
    <n v="52"/>
    <n v="232"/>
    <n v="9"/>
    <s v="Traffic"/>
    <n v="72.599999999999994"/>
    <n v="113"/>
    <x v="1"/>
  </r>
  <r>
    <d v="2024-07-27T15:50:46"/>
    <s v="Truck_2"/>
    <n v="69.660899999999998"/>
    <n v="38.446399999999997"/>
    <n v="225"/>
    <x v="2"/>
    <n v="19"/>
    <n v="63"/>
    <s v="Heavy"/>
    <n v="17"/>
    <n v="282"/>
    <n v="6"/>
    <s v="Weather"/>
    <n v="99.6"/>
    <n v="265"/>
    <x v="0"/>
  </r>
  <r>
    <d v="2024-09-05T14:12:00"/>
    <s v="Truck_3"/>
    <n v="20.8843"/>
    <n v="1.3947000000000001"/>
    <n v="303"/>
    <x v="0"/>
    <n v="20.7"/>
    <n v="70.599999999999994"/>
    <s v="Clear"/>
    <n v="47"/>
    <n v="143"/>
    <n v="10"/>
    <s v="None"/>
    <n v="98.1"/>
    <n v="123"/>
    <x v="0"/>
  </r>
  <r>
    <d v="2024-11-11T22:09:53"/>
    <s v="Truck_1"/>
    <n v="-14.8081"/>
    <n v="-177.30029999999999"/>
    <n v="237"/>
    <x v="0"/>
    <n v="20.7"/>
    <n v="78.3"/>
    <s v="Heavy"/>
    <n v="35"/>
    <n v="491"/>
    <n v="2"/>
    <s v="None"/>
    <n v="80.7"/>
    <n v="189"/>
    <x v="0"/>
  </r>
  <r>
    <d v="2024-05-01T22:26:11"/>
    <s v="Truck_6"/>
    <n v="4.1399999999999999E-2"/>
    <n v="-130.65049999999999"/>
    <n v="172"/>
    <x v="2"/>
    <n v="18.2"/>
    <n v="79.900000000000006"/>
    <s v="Clear"/>
    <n v="46"/>
    <n v="258"/>
    <n v="3"/>
    <s v="Mechanical Failure"/>
    <n v="60.1"/>
    <n v="154"/>
    <x v="1"/>
  </r>
  <r>
    <d v="2024-07-26T20:19:01"/>
    <s v="Truck_9"/>
    <n v="-79.914599999999993"/>
    <n v="-3.8553999999999999"/>
    <n v="214"/>
    <x v="1"/>
    <n v="21.7"/>
    <n v="77"/>
    <s v="Heavy"/>
    <n v="47"/>
    <n v="187"/>
    <n v="10"/>
    <s v="None"/>
    <n v="97.4"/>
    <n v="175"/>
    <x v="0"/>
  </r>
  <r>
    <d v="2024-08-09T01:16:43"/>
    <s v="Truck_3"/>
    <n v="76.4465"/>
    <n v="173.14930000000001"/>
    <n v="330"/>
    <x v="0"/>
    <n v="24"/>
    <n v="52.9"/>
    <s v="Heavy"/>
    <n v="14"/>
    <n v="425"/>
    <n v="1"/>
    <s v="Mechanical Failure"/>
    <n v="89.8"/>
    <n v="289"/>
    <x v="0"/>
  </r>
  <r>
    <d v="2024-01-29T21:04:08"/>
    <s v="Truck_5"/>
    <n v="-15.6005"/>
    <n v="-92.197400000000002"/>
    <n v="130"/>
    <x v="2"/>
    <n v="18.100000000000001"/>
    <n v="78.3"/>
    <s v="Heavy"/>
    <n v="39"/>
    <n v="424"/>
    <n v="9"/>
    <s v="Traffic"/>
    <n v="92.3"/>
    <n v="143"/>
    <x v="0"/>
  </r>
  <r>
    <d v="2024-03-23T12:47:34"/>
    <s v="Truck_2"/>
    <n v="67.396000000000001"/>
    <n v="170.15369999999999"/>
    <n v="364"/>
    <x v="0"/>
    <n v="26.9"/>
    <n v="67.8"/>
    <s v="Clear"/>
    <n v="55"/>
    <n v="467"/>
    <n v="7"/>
    <s v="Weather"/>
    <n v="95.2"/>
    <n v="128"/>
    <x v="0"/>
  </r>
  <r>
    <d v="2024-10-17T13:22:31"/>
    <s v="Truck_8"/>
    <n v="33.617899999999999"/>
    <n v="-67.275800000000004"/>
    <n v="430"/>
    <x v="0"/>
    <n v="26.4"/>
    <n v="68.400000000000006"/>
    <s v="Heavy"/>
    <n v="16"/>
    <n v="277"/>
    <n v="8"/>
    <s v="None"/>
    <n v="71.900000000000006"/>
    <n v="137"/>
    <x v="0"/>
  </r>
  <r>
    <d v="2024-07-11T07:07:27"/>
    <s v="Truck_8"/>
    <n v="-50.817399999999999"/>
    <n v="-40.340899999999998"/>
    <n v="187"/>
    <x v="1"/>
    <n v="18.600000000000001"/>
    <n v="67.7"/>
    <s v="Clear"/>
    <n v="12"/>
    <n v="375"/>
    <n v="5"/>
    <s v="None"/>
    <n v="85.4"/>
    <n v="140"/>
    <x v="1"/>
  </r>
  <r>
    <d v="2024-12-11T16:57:48"/>
    <s v="Truck_5"/>
    <n v="50.270899999999997"/>
    <n v="125.6915"/>
    <n v="323"/>
    <x v="0"/>
    <n v="28.3"/>
    <n v="61.2"/>
    <s v="Detour"/>
    <n v="52"/>
    <n v="139"/>
    <n v="4"/>
    <s v="Weather"/>
    <n v="72.400000000000006"/>
    <n v="127"/>
    <x v="0"/>
  </r>
  <r>
    <d v="2024-01-10T01:05:25"/>
    <s v="Truck_9"/>
    <n v="-73.821100000000001"/>
    <n v="3.1869999999999998"/>
    <n v="386"/>
    <x v="2"/>
    <n v="26.6"/>
    <n v="78.2"/>
    <s v="Detour"/>
    <n v="19"/>
    <n v="456"/>
    <n v="7"/>
    <s v="Traffic"/>
    <n v="87.6"/>
    <n v="290"/>
    <x v="1"/>
  </r>
  <r>
    <d v="2024-06-17T07:59:24"/>
    <s v="Truck_9"/>
    <n v="79.117199999999997"/>
    <n v="178.49340000000001"/>
    <n v="422"/>
    <x v="0"/>
    <n v="19.600000000000001"/>
    <n v="53.3"/>
    <s v="Heavy"/>
    <n v="40"/>
    <n v="205"/>
    <n v="5"/>
    <s v="Weather"/>
    <n v="86.1"/>
    <n v="242"/>
    <x v="0"/>
  </r>
  <r>
    <d v="2024-06-25T01:52:28"/>
    <s v="Truck_9"/>
    <n v="27.4253"/>
    <n v="90.138599999999997"/>
    <n v="433"/>
    <x v="0"/>
    <n v="24"/>
    <n v="77.8"/>
    <s v="Clear"/>
    <n v="37"/>
    <n v="173"/>
    <n v="9"/>
    <s v="Weather"/>
    <n v="89.6"/>
    <n v="143"/>
    <x v="0"/>
  </r>
  <r>
    <d v="2024-04-17T20:13:18"/>
    <s v="Truck_9"/>
    <n v="67.908600000000007"/>
    <n v="-140.0283"/>
    <n v="318"/>
    <x v="2"/>
    <n v="26"/>
    <n v="77.400000000000006"/>
    <s v="Clear"/>
    <n v="19"/>
    <n v="314"/>
    <n v="2"/>
    <s v="None"/>
    <n v="70.2"/>
    <n v="250"/>
    <x v="1"/>
  </r>
  <r>
    <d v="2024-10-09T18:26:11"/>
    <s v="Truck_9"/>
    <n v="-72.895799999999994"/>
    <n v="129.8921"/>
    <n v="176"/>
    <x v="1"/>
    <n v="22.6"/>
    <n v="73.3"/>
    <s v="Heavy"/>
    <n v="37"/>
    <n v="154"/>
    <n v="4"/>
    <s v="Mechanical Failure"/>
    <n v="91.4"/>
    <n v="169"/>
    <x v="0"/>
  </r>
  <r>
    <d v="2024-11-27T17:17:47"/>
    <s v="Truck_4"/>
    <n v="-58.680199999999999"/>
    <n v="-62.747399999999999"/>
    <n v="125"/>
    <x v="0"/>
    <n v="23.4"/>
    <n v="57.6"/>
    <s v="Heavy"/>
    <n v="23"/>
    <n v="191"/>
    <n v="2"/>
    <s v="Traffic"/>
    <n v="72"/>
    <n v="241"/>
    <x v="0"/>
  </r>
  <r>
    <d v="2024-06-12T02:49:27"/>
    <s v="Truck_6"/>
    <n v="64.039500000000004"/>
    <n v="-151.7045"/>
    <n v="336"/>
    <x v="1"/>
    <n v="27.4"/>
    <n v="58.9"/>
    <s v="Detour"/>
    <n v="49"/>
    <n v="100"/>
    <n v="10"/>
    <s v="Weather"/>
    <n v="70.7"/>
    <n v="236"/>
    <x v="1"/>
  </r>
  <r>
    <d v="2024-11-02T21:19:46"/>
    <s v="Truck_7"/>
    <n v="-24.1402"/>
    <n v="-168.60130000000001"/>
    <n v="244"/>
    <x v="2"/>
    <n v="21.3"/>
    <n v="73.8"/>
    <s v="Heavy"/>
    <n v="39"/>
    <n v="229"/>
    <n v="7"/>
    <s v="None"/>
    <n v="98.1"/>
    <n v="197"/>
    <x v="0"/>
  </r>
  <r>
    <d v="2024-02-29T15:12:54"/>
    <s v="Truck_4"/>
    <n v="72.857399999999998"/>
    <n v="179.01"/>
    <n v="391"/>
    <x v="1"/>
    <n v="20.5"/>
    <n v="71.2"/>
    <s v="Detour"/>
    <n v="12"/>
    <n v="112"/>
    <n v="7"/>
    <s v="None"/>
    <n v="78.3"/>
    <n v="267"/>
    <x v="1"/>
  </r>
  <r>
    <d v="2024-03-17T23:47:15"/>
    <s v="Truck_6"/>
    <n v="7.3574999999999999"/>
    <n v="86.644199999999998"/>
    <n v="425"/>
    <x v="2"/>
    <n v="24.2"/>
    <n v="54.6"/>
    <s v="Detour"/>
    <n v="32"/>
    <n v="193"/>
    <n v="3"/>
    <s v="Weather"/>
    <n v="69.900000000000006"/>
    <n v="260"/>
    <x v="1"/>
  </r>
  <r>
    <d v="2024-11-25T10:39:09"/>
    <s v="Truck_5"/>
    <n v="68.959400000000002"/>
    <n v="-123.5048"/>
    <n v="403"/>
    <x v="1"/>
    <n v="26.9"/>
    <n v="60.6"/>
    <s v="Clear"/>
    <n v="50"/>
    <n v="418"/>
    <n v="1"/>
    <s v="Traffic"/>
    <n v="67.8"/>
    <n v="182"/>
    <x v="1"/>
  </r>
  <r>
    <d v="2024-07-04T18:22:32"/>
    <s v="Truck_4"/>
    <n v="14.9079"/>
    <n v="50.160600000000002"/>
    <n v="438"/>
    <x v="0"/>
    <n v="26.5"/>
    <n v="69.3"/>
    <s v="Heavy"/>
    <n v="34"/>
    <n v="378"/>
    <n v="5"/>
    <s v="Weather"/>
    <n v="88.7"/>
    <n v="256"/>
    <x v="0"/>
  </r>
  <r>
    <d v="2024-03-19T05:23:55"/>
    <s v="Truck_1"/>
    <n v="66.235299999999995"/>
    <n v="10.8345"/>
    <n v="339"/>
    <x v="1"/>
    <n v="26.8"/>
    <n v="64.5"/>
    <s v="Detour"/>
    <n v="24"/>
    <n v="235"/>
    <n v="6"/>
    <s v="Traffic"/>
    <n v="69.3"/>
    <n v="212"/>
    <x v="1"/>
  </r>
  <r>
    <d v="2024-03-20T01:25:23"/>
    <s v="Truck_9"/>
    <n v="70.189899999999994"/>
    <n v="-65.679199999999994"/>
    <n v="203"/>
    <x v="1"/>
    <n v="18"/>
    <n v="68.900000000000006"/>
    <s v="Heavy"/>
    <n v="19"/>
    <n v="370"/>
    <n v="3"/>
    <s v="Traffic"/>
    <n v="74.400000000000006"/>
    <n v="254"/>
    <x v="0"/>
  </r>
  <r>
    <d v="2024-07-18T11:16:58"/>
    <s v="Truck_4"/>
    <n v="51.453899999999997"/>
    <n v="-20.825299999999999"/>
    <n v="313"/>
    <x v="2"/>
    <n v="23.6"/>
    <n v="65.2"/>
    <s v="Clear"/>
    <n v="49"/>
    <n v="137"/>
    <n v="6"/>
    <s v="None"/>
    <n v="100"/>
    <n v="122"/>
    <x v="1"/>
  </r>
  <r>
    <d v="2024-08-10T08:40:26"/>
    <s v="Truck_2"/>
    <n v="-39.880000000000003"/>
    <n v="55.179200000000002"/>
    <n v="261"/>
    <x v="2"/>
    <n v="27.1"/>
    <n v="67.3"/>
    <s v="Detour"/>
    <n v="35"/>
    <n v="496"/>
    <n v="2"/>
    <s v="Weather"/>
    <n v="71.3"/>
    <n v="264"/>
    <x v="1"/>
  </r>
  <r>
    <d v="2024-02-20T08:11:14"/>
    <s v="Truck_8"/>
    <n v="-17.235499999999998"/>
    <n v="-130.69149999999999"/>
    <n v="179"/>
    <x v="1"/>
    <n v="28.5"/>
    <n v="51"/>
    <s v="Detour"/>
    <n v="12"/>
    <n v="354"/>
    <n v="3"/>
    <s v="Weather"/>
    <n v="92.8"/>
    <n v="225"/>
    <x v="1"/>
  </r>
  <r>
    <d v="2024-12-18T02:23:25"/>
    <s v="Truck_6"/>
    <n v="-44.257599999999996"/>
    <n v="-86.507300000000001"/>
    <n v="442"/>
    <x v="1"/>
    <n v="18.3"/>
    <n v="50.3"/>
    <s v="Clear"/>
    <n v="56"/>
    <n v="469"/>
    <n v="2"/>
    <s v="None"/>
    <n v="96.3"/>
    <n v="192"/>
    <x v="1"/>
  </r>
  <r>
    <d v="2024-08-20T16:18:37"/>
    <s v="Truck_5"/>
    <n v="19.925699999999999"/>
    <n v="116.0526"/>
    <n v="291"/>
    <x v="2"/>
    <n v="28.5"/>
    <n v="54.6"/>
    <s v="Heavy"/>
    <n v="14"/>
    <n v="316"/>
    <n v="7"/>
    <s v="None"/>
    <n v="77.5"/>
    <n v="288"/>
    <x v="0"/>
  </r>
  <r>
    <d v="2024-11-06T07:40:41"/>
    <s v="Truck_5"/>
    <n v="-47.209400000000002"/>
    <n v="15.632400000000001"/>
    <n v="348"/>
    <x v="2"/>
    <n v="28.2"/>
    <n v="68.3"/>
    <s v="Clear"/>
    <n v="22"/>
    <n v="415"/>
    <n v="4"/>
    <s v="Traffic"/>
    <n v="67.400000000000006"/>
    <n v="204"/>
    <x v="1"/>
  </r>
  <r>
    <d v="2024-12-14T15:09:01"/>
    <s v="Truck_6"/>
    <n v="-58.424900000000001"/>
    <n v="-57.660899999999998"/>
    <n v="454"/>
    <x v="1"/>
    <n v="23.7"/>
    <n v="51.9"/>
    <s v="Clear"/>
    <n v="51"/>
    <n v="232"/>
    <n v="7"/>
    <s v="Weather"/>
    <n v="78.7"/>
    <n v="172"/>
    <x v="1"/>
  </r>
  <r>
    <d v="2024-01-15T12:01:25"/>
    <s v="Truck_1"/>
    <n v="-20.069600000000001"/>
    <n v="-73.268900000000002"/>
    <n v="486"/>
    <x v="2"/>
    <n v="29.1"/>
    <n v="78.400000000000006"/>
    <s v="Clear"/>
    <n v="21"/>
    <n v="158"/>
    <n v="7"/>
    <s v="None"/>
    <n v="62.6"/>
    <n v="243"/>
    <x v="1"/>
  </r>
  <r>
    <d v="2024-05-18T10:00:52"/>
    <s v="Truck_10"/>
    <n v="-36.854900000000001"/>
    <n v="164.76179999999999"/>
    <n v="483"/>
    <x v="1"/>
    <n v="29.2"/>
    <n v="65"/>
    <s v="Heavy"/>
    <n v="57"/>
    <n v="167"/>
    <n v="8"/>
    <s v="Mechanical Failure"/>
    <n v="96.8"/>
    <n v="245"/>
    <x v="0"/>
  </r>
  <r>
    <d v="2024-11-17T02:02:28"/>
    <s v="Truck_4"/>
    <n v="-86.660899999999998"/>
    <n v="-128.03540000000001"/>
    <n v="472"/>
    <x v="2"/>
    <n v="23.5"/>
    <n v="72"/>
    <s v="Clear"/>
    <n v="59"/>
    <n v="485"/>
    <n v="3"/>
    <s v="Weather"/>
    <n v="67.2"/>
    <n v="248"/>
    <x v="1"/>
  </r>
  <r>
    <d v="2024-08-22T20:11:57"/>
    <s v="Truck_5"/>
    <n v="-53.373199999999997"/>
    <n v="-99.637"/>
    <n v="186"/>
    <x v="1"/>
    <n v="18.899999999999999"/>
    <n v="70.5"/>
    <s v="Clear"/>
    <n v="38"/>
    <n v="344"/>
    <n v="1"/>
    <s v="Traffic"/>
    <n v="95.6"/>
    <n v="252"/>
    <x v="1"/>
  </r>
  <r>
    <d v="2024-09-12T08:00:47"/>
    <s v="Truck_6"/>
    <n v="-58.796300000000002"/>
    <n v="-150.41220000000001"/>
    <n v="366"/>
    <x v="1"/>
    <n v="22.8"/>
    <n v="66.7"/>
    <s v="Clear"/>
    <n v="39"/>
    <n v="219"/>
    <n v="7"/>
    <s v="Traffic"/>
    <n v="91"/>
    <n v="211"/>
    <x v="1"/>
  </r>
  <r>
    <d v="2024-08-09T21:54:31"/>
    <s v="Truck_5"/>
    <n v="-46.1616"/>
    <n v="-46.640099999999997"/>
    <n v="359"/>
    <x v="2"/>
    <n v="23"/>
    <n v="71.7"/>
    <s v="Detour"/>
    <n v="50"/>
    <n v="486"/>
    <n v="10"/>
    <s v="Traffic"/>
    <n v="64"/>
    <n v="169"/>
    <x v="1"/>
  </r>
  <r>
    <d v="2024-04-19T02:50:29"/>
    <s v="Truck_7"/>
    <n v="33.871600000000001"/>
    <n v="36.875300000000003"/>
    <n v="422"/>
    <x v="0"/>
    <n v="26.5"/>
    <n v="75"/>
    <s v="Heavy"/>
    <n v="39"/>
    <n v="100"/>
    <n v="6"/>
    <s v="None"/>
    <n v="67.2"/>
    <n v="127"/>
    <x v="0"/>
  </r>
  <r>
    <d v="2024-09-30T11:18:34"/>
    <s v="Truck_6"/>
    <n v="35.7136"/>
    <n v="-23.1356"/>
    <n v="209"/>
    <x v="1"/>
    <n v="24.9"/>
    <n v="76.8"/>
    <s v="Clear"/>
    <n v="51"/>
    <n v="214"/>
    <n v="2"/>
    <s v="Mechanical Failure"/>
    <n v="86.5"/>
    <n v="156"/>
    <x v="1"/>
  </r>
  <r>
    <d v="2024-03-22T16:43:42"/>
    <s v="Truck_5"/>
    <n v="36.385800000000003"/>
    <n v="-107.38939999999999"/>
    <n v="324"/>
    <x v="0"/>
    <n v="20.7"/>
    <n v="77.5"/>
    <s v="Heavy"/>
    <n v="39"/>
    <n v="387"/>
    <n v="1"/>
    <s v="None"/>
    <n v="69.099999999999994"/>
    <n v="138"/>
    <x v="0"/>
  </r>
  <r>
    <d v="2024-10-15T04:02:56"/>
    <s v="Truck_7"/>
    <n v="26.612500000000001"/>
    <n v="25.4788"/>
    <n v="199"/>
    <x v="1"/>
    <n v="27.4"/>
    <n v="57.1"/>
    <s v="Heavy"/>
    <n v="28"/>
    <n v="383"/>
    <n v="6"/>
    <s v="None"/>
    <n v="61.9"/>
    <n v="105"/>
    <x v="0"/>
  </r>
  <r>
    <d v="2024-12-18T19:01:30"/>
    <s v="Truck_5"/>
    <n v="-84.891499999999994"/>
    <n v="57.571399999999997"/>
    <n v="213"/>
    <x v="0"/>
    <n v="27.7"/>
    <n v="58.1"/>
    <s v="Clear"/>
    <n v="41"/>
    <n v="267"/>
    <n v="7"/>
    <s v="Mechanical Failure"/>
    <n v="60.9"/>
    <n v="254"/>
    <x v="0"/>
  </r>
  <r>
    <d v="2024-06-09T17:12:12"/>
    <s v="Truck_4"/>
    <n v="-49.684600000000003"/>
    <n v="-63.289200000000001"/>
    <n v="257"/>
    <x v="0"/>
    <n v="23.1"/>
    <n v="59.1"/>
    <s v="Clear"/>
    <n v="56"/>
    <n v="451"/>
    <n v="3"/>
    <s v="Weather"/>
    <n v="93.8"/>
    <n v="248"/>
    <x v="0"/>
  </r>
  <r>
    <d v="2024-10-30T02:01:46"/>
    <s v="Truck_5"/>
    <n v="14.747400000000001"/>
    <n v="-2.5245000000000002"/>
    <n v="475"/>
    <x v="1"/>
    <n v="22.2"/>
    <n v="79.400000000000006"/>
    <s v="Detour"/>
    <n v="25"/>
    <n v="268"/>
    <n v="3"/>
    <s v="Weather"/>
    <n v="60.3"/>
    <n v="151"/>
    <x v="1"/>
  </r>
  <r>
    <d v="2024-06-23T03:05:18"/>
    <s v="Truck_7"/>
    <n v="-8.6011000000000006"/>
    <n v="-63.127400000000002"/>
    <n v="377"/>
    <x v="1"/>
    <n v="22.7"/>
    <n v="75.5"/>
    <s v="Clear"/>
    <n v="59"/>
    <n v="445"/>
    <n v="7"/>
    <s v="None"/>
    <n v="99.1"/>
    <n v="272"/>
    <x v="1"/>
  </r>
  <r>
    <d v="2024-08-19T17:13:42"/>
    <s v="Truck_2"/>
    <n v="67.2149"/>
    <n v="117.9203"/>
    <n v="456"/>
    <x v="0"/>
    <n v="26.4"/>
    <n v="51.4"/>
    <s v="Heavy"/>
    <n v="23"/>
    <n v="100"/>
    <n v="1"/>
    <s v="Weather"/>
    <n v="94.2"/>
    <n v="105"/>
    <x v="0"/>
  </r>
  <r>
    <d v="2024-04-30T12:39:49"/>
    <s v="Truck_1"/>
    <n v="-11.3392"/>
    <n v="-69.339500000000001"/>
    <n v="106"/>
    <x v="0"/>
    <n v="18.3"/>
    <n v="65.900000000000006"/>
    <s v="Heavy"/>
    <n v="53"/>
    <n v="244"/>
    <n v="2"/>
    <s v="Traffic"/>
    <n v="99.5"/>
    <n v="125"/>
    <x v="0"/>
  </r>
  <r>
    <d v="2024-12-15T03:53:36"/>
    <s v="Truck_10"/>
    <n v="26.376300000000001"/>
    <n v="157.09049999999999"/>
    <n v="234"/>
    <x v="0"/>
    <n v="29.1"/>
    <n v="65.3"/>
    <s v="Clear"/>
    <n v="19"/>
    <n v="432"/>
    <n v="3"/>
    <s v="Weather"/>
    <n v="92.7"/>
    <n v="214"/>
    <x v="0"/>
  </r>
  <r>
    <d v="2024-03-21T14:56:42"/>
    <s v="Truck_8"/>
    <n v="-13.468999999999999"/>
    <n v="75.340800000000002"/>
    <n v="390"/>
    <x v="0"/>
    <n v="19.5"/>
    <n v="79.2"/>
    <s v="Heavy"/>
    <n v="26"/>
    <n v="366"/>
    <n v="4"/>
    <s v="Mechanical Failure"/>
    <n v="69.400000000000006"/>
    <n v="217"/>
    <x v="0"/>
  </r>
  <r>
    <d v="2024-09-27T18:08:16"/>
    <s v="Truck_4"/>
    <n v="-11.2424"/>
    <n v="-4.5637999999999996"/>
    <n v="203"/>
    <x v="2"/>
    <n v="20.399999999999999"/>
    <n v="78.3"/>
    <s v="Detour"/>
    <n v="21"/>
    <n v="187"/>
    <n v="5"/>
    <s v="None"/>
    <n v="87.9"/>
    <n v="262"/>
    <x v="1"/>
  </r>
  <r>
    <d v="2024-11-17T08:35:02"/>
    <s v="Truck_6"/>
    <n v="62.655900000000003"/>
    <n v="18.8474"/>
    <n v="297"/>
    <x v="0"/>
    <n v="23.1"/>
    <n v="59.4"/>
    <s v="Detour"/>
    <n v="29"/>
    <n v="268"/>
    <n v="10"/>
    <s v="Traffic"/>
    <n v="71.2"/>
    <n v="151"/>
    <x v="0"/>
  </r>
  <r>
    <d v="2024-05-03T03:34:28"/>
    <s v="Truck_9"/>
    <n v="60.803199999999997"/>
    <n v="-179.59059999999999"/>
    <n v="238"/>
    <x v="1"/>
    <n v="25"/>
    <n v="75.8"/>
    <s v="Heavy"/>
    <n v="26"/>
    <n v="330"/>
    <n v="9"/>
    <s v="Weather"/>
    <n v="99.2"/>
    <n v="165"/>
    <x v="0"/>
  </r>
  <r>
    <d v="2024-03-05T00:54:47"/>
    <s v="Truck_4"/>
    <n v="-10.0451"/>
    <n v="79.895600000000002"/>
    <n v="126"/>
    <x v="2"/>
    <n v="28.2"/>
    <n v="54.5"/>
    <s v="Detour"/>
    <n v="35"/>
    <n v="320"/>
    <n v="4"/>
    <s v="Mechanical Failure"/>
    <n v="93.7"/>
    <n v="136"/>
    <x v="1"/>
  </r>
  <r>
    <d v="2024-01-14T09:22:40"/>
    <s v="Truck_2"/>
    <n v="17.648299999999999"/>
    <n v="114.2638"/>
    <n v="455"/>
    <x v="2"/>
    <n v="22.9"/>
    <n v="79.599999999999994"/>
    <s v="Detour"/>
    <n v="51"/>
    <n v="410"/>
    <n v="9"/>
    <s v="Weather"/>
    <n v="84.9"/>
    <n v="233"/>
    <x v="1"/>
  </r>
  <r>
    <d v="2024-02-17T21:06:05"/>
    <s v="Truck_4"/>
    <n v="-51.923299999999998"/>
    <n v="-57.585799999999999"/>
    <n v="220"/>
    <x v="0"/>
    <n v="29.4"/>
    <n v="52.4"/>
    <s v="Clear"/>
    <n v="18"/>
    <n v="468"/>
    <n v="9"/>
    <s v="Mechanical Failure"/>
    <n v="63.1"/>
    <n v="137"/>
    <x v="0"/>
  </r>
  <r>
    <d v="2024-07-06T11:17:28"/>
    <s v="Truck_5"/>
    <n v="22.389800000000001"/>
    <n v="3.8948"/>
    <n v="403"/>
    <x v="1"/>
    <n v="22.5"/>
    <n v="62.5"/>
    <s v="Clear"/>
    <n v="38"/>
    <n v="225"/>
    <n v="3"/>
    <s v="Weather"/>
    <n v="81.400000000000006"/>
    <n v="169"/>
    <x v="1"/>
  </r>
  <r>
    <d v="2024-05-10T22:14:19"/>
    <s v="Truck_10"/>
    <n v="86.336799999999997"/>
    <n v="29.447800000000001"/>
    <n v="448"/>
    <x v="0"/>
    <n v="23.4"/>
    <n v="59.9"/>
    <s v="Detour"/>
    <n v="41"/>
    <n v="120"/>
    <n v="10"/>
    <s v="Weather"/>
    <n v="70.8"/>
    <n v="150"/>
    <x v="0"/>
  </r>
  <r>
    <d v="2024-12-23T18:56:11"/>
    <s v="Truck_5"/>
    <n v="-14.6662"/>
    <n v="-88.367400000000004"/>
    <n v="168"/>
    <x v="1"/>
    <n v="22.4"/>
    <n v="57.9"/>
    <s v="Heavy"/>
    <n v="43"/>
    <n v="377"/>
    <n v="4"/>
    <s v="Mechanical Failure"/>
    <n v="71.099999999999994"/>
    <n v="140"/>
    <x v="0"/>
  </r>
  <r>
    <d v="2024-02-06T08:28:02"/>
    <s v="Truck_7"/>
    <n v="-71.905699999999996"/>
    <n v="-41.431399999999996"/>
    <n v="409"/>
    <x v="2"/>
    <n v="18"/>
    <n v="53.5"/>
    <s v="Heavy"/>
    <n v="47"/>
    <n v="153"/>
    <n v="9"/>
    <s v="None"/>
    <n v="74.099999999999994"/>
    <n v="117"/>
    <x v="0"/>
  </r>
  <r>
    <d v="2024-09-16T10:08:52"/>
    <s v="Truck_2"/>
    <n v="54.888800000000003"/>
    <n v="7.4287000000000001"/>
    <n v="469"/>
    <x v="1"/>
    <n v="20.7"/>
    <n v="70.400000000000006"/>
    <s v="Clear"/>
    <n v="31"/>
    <n v="335"/>
    <n v="7"/>
    <s v="Traffic"/>
    <n v="86.1"/>
    <n v="298"/>
    <x v="1"/>
  </r>
  <r>
    <d v="2024-01-26T12:56:30"/>
    <s v="Truck_5"/>
    <n v="-89.791499999999999"/>
    <n v="85.803600000000003"/>
    <n v="305"/>
    <x v="1"/>
    <n v="20.5"/>
    <n v="71.2"/>
    <s v="Detour"/>
    <n v="44"/>
    <n v="302"/>
    <n v="10"/>
    <s v="Weather"/>
    <n v="71.900000000000006"/>
    <n v="141"/>
    <x v="1"/>
  </r>
  <r>
    <d v="2024-11-29T06:34:32"/>
    <s v="Truck_5"/>
    <n v="39.908799999999999"/>
    <n v="71.959500000000006"/>
    <n v="219"/>
    <x v="0"/>
    <n v="26.6"/>
    <n v="79.8"/>
    <s v="Heavy"/>
    <n v="46"/>
    <n v="245"/>
    <n v="1"/>
    <s v="None"/>
    <n v="70.5"/>
    <n v="202"/>
    <x v="0"/>
  </r>
  <r>
    <d v="2024-06-02T19:16:49"/>
    <s v="Truck_8"/>
    <n v="30.7119"/>
    <n v="111.5767"/>
    <n v="167"/>
    <x v="0"/>
    <n v="23.8"/>
    <n v="71.599999999999994"/>
    <s v="Clear"/>
    <n v="55"/>
    <n v="416"/>
    <n v="8"/>
    <s v="Traffic"/>
    <n v="60.7"/>
    <n v="263"/>
    <x v="0"/>
  </r>
  <r>
    <d v="2024-02-08T10:07:24"/>
    <s v="Truck_4"/>
    <n v="5.7076000000000002"/>
    <n v="-79.925600000000003"/>
    <n v="100"/>
    <x v="0"/>
    <n v="24.1"/>
    <n v="50.9"/>
    <s v="Detour"/>
    <n v="39"/>
    <n v="340"/>
    <n v="4"/>
    <s v="None"/>
    <n v="96.9"/>
    <n v="274"/>
    <x v="0"/>
  </r>
  <r>
    <d v="2024-08-17T07:05:15"/>
    <s v="Truck_9"/>
    <n v="69.050899999999999"/>
    <n v="91.847999999999999"/>
    <n v="321"/>
    <x v="1"/>
    <n v="25.4"/>
    <n v="53.8"/>
    <s v="Clear"/>
    <n v="24"/>
    <n v="340"/>
    <n v="5"/>
    <s v="Traffic"/>
    <n v="84.6"/>
    <n v="223"/>
    <x v="1"/>
  </r>
  <r>
    <d v="2024-01-27T04:09:11"/>
    <s v="Truck_7"/>
    <n v="52.782800000000002"/>
    <n v="176.06710000000001"/>
    <n v="244"/>
    <x v="2"/>
    <n v="23.6"/>
    <n v="64.900000000000006"/>
    <s v="Clear"/>
    <n v="24"/>
    <n v="145"/>
    <n v="4"/>
    <s v="Mechanical Failure"/>
    <n v="67.599999999999994"/>
    <n v="285"/>
    <x v="1"/>
  </r>
  <r>
    <d v="2024-12-13T00:55:11"/>
    <s v="Truck_9"/>
    <n v="42.966999999999999"/>
    <n v="146.13579999999999"/>
    <n v="281"/>
    <x v="2"/>
    <n v="18.399999999999999"/>
    <n v="74.599999999999994"/>
    <s v="Detour"/>
    <n v="41"/>
    <n v="419"/>
    <n v="6"/>
    <s v="None"/>
    <n v="69.099999999999994"/>
    <n v="242"/>
    <x v="1"/>
  </r>
  <r>
    <d v="2024-10-26T21:55:21"/>
    <s v="Truck_7"/>
    <n v="-11.994300000000001"/>
    <n v="-126.87430000000001"/>
    <n v="301"/>
    <x v="2"/>
    <n v="18.3"/>
    <n v="60"/>
    <s v="Detour"/>
    <n v="42"/>
    <n v="243"/>
    <n v="3"/>
    <s v="Mechanical Failure"/>
    <n v="99"/>
    <n v="273"/>
    <x v="1"/>
  </r>
  <r>
    <d v="2024-03-19T05:42:50"/>
    <s v="Truck_8"/>
    <n v="60.590299999999999"/>
    <n v="-90.041499999999999"/>
    <n v="437"/>
    <x v="1"/>
    <n v="25.5"/>
    <n v="73.2"/>
    <s v="Clear"/>
    <n v="59"/>
    <n v="310"/>
    <n v="2"/>
    <s v="None"/>
    <n v="83.9"/>
    <n v="228"/>
    <x v="1"/>
  </r>
  <r>
    <d v="2024-10-23T14:15:25"/>
    <s v="Truck_7"/>
    <n v="-23.298200000000001"/>
    <n v="143.86340000000001"/>
    <n v="253"/>
    <x v="1"/>
    <n v="22.8"/>
    <n v="78.7"/>
    <s v="Clear"/>
    <n v="49"/>
    <n v="180"/>
    <n v="3"/>
    <s v="Weather"/>
    <n v="74"/>
    <n v="296"/>
    <x v="1"/>
  </r>
  <r>
    <d v="2024-01-18T08:34:25"/>
    <s v="Truck_2"/>
    <n v="-34.218899999999998"/>
    <n v="-36.628799999999998"/>
    <n v="491"/>
    <x v="2"/>
    <n v="25.5"/>
    <n v="50.3"/>
    <s v="Heavy"/>
    <n v="18"/>
    <n v="111"/>
    <n v="1"/>
    <s v="Weather"/>
    <n v="97.1"/>
    <n v="100"/>
    <x v="0"/>
  </r>
  <r>
    <d v="2024-11-15T11:42:39"/>
    <s v="Truck_3"/>
    <n v="19.545000000000002"/>
    <n v="73.096800000000002"/>
    <n v="172"/>
    <x v="0"/>
    <n v="22.8"/>
    <n v="60.4"/>
    <s v="Detour"/>
    <n v="38"/>
    <n v="187"/>
    <n v="9"/>
    <s v="Weather"/>
    <n v="83.3"/>
    <n v="106"/>
    <x v="0"/>
  </r>
  <r>
    <d v="2024-07-01T16:37:53"/>
    <s v="Truck_7"/>
    <n v="33.335099999999997"/>
    <n v="-103.926"/>
    <n v="252"/>
    <x v="0"/>
    <n v="24.4"/>
    <n v="72.3"/>
    <s v="Detour"/>
    <n v="54"/>
    <n v="156"/>
    <n v="6"/>
    <s v="Mechanical Failure"/>
    <n v="86.8"/>
    <n v="225"/>
    <x v="0"/>
  </r>
  <r>
    <d v="2024-06-11T08:04:09"/>
    <s v="Truck_4"/>
    <n v="-63.206400000000002"/>
    <n v="30.081800000000001"/>
    <n v="118"/>
    <x v="0"/>
    <n v="21.8"/>
    <n v="52.1"/>
    <s v="Clear"/>
    <n v="19"/>
    <n v="421"/>
    <n v="8"/>
    <s v="Mechanical Failure"/>
    <n v="99.1"/>
    <n v="284"/>
    <x v="0"/>
  </r>
  <r>
    <d v="2024-07-03T15:08:44"/>
    <s v="Truck_4"/>
    <n v="83.285799999999995"/>
    <n v="-66.106899999999996"/>
    <n v="179"/>
    <x v="0"/>
    <n v="25"/>
    <n v="71.099999999999994"/>
    <s v="Detour"/>
    <n v="60"/>
    <n v="325"/>
    <n v="1"/>
    <s v="Weather"/>
    <n v="66.8"/>
    <n v="226"/>
    <x v="0"/>
  </r>
  <r>
    <d v="2024-02-05T00:41:30"/>
    <s v="Truck_6"/>
    <n v="-23.2424"/>
    <n v="18.6206"/>
    <n v="119"/>
    <x v="2"/>
    <n v="25.9"/>
    <n v="77.7"/>
    <s v="Clear"/>
    <n v="38"/>
    <n v="189"/>
    <n v="7"/>
    <s v="Weather"/>
    <n v="79.3"/>
    <n v="149"/>
    <x v="1"/>
  </r>
  <r>
    <d v="2024-03-12T03:54:06"/>
    <s v="Truck_5"/>
    <n v="-89.079300000000003"/>
    <n v="130.33619999999999"/>
    <n v="221"/>
    <x v="0"/>
    <n v="22.8"/>
    <n v="76.099999999999994"/>
    <s v="Detour"/>
    <n v="35"/>
    <n v="233"/>
    <n v="4"/>
    <s v="None"/>
    <n v="61.5"/>
    <n v="281"/>
    <x v="0"/>
  </r>
  <r>
    <d v="2024-11-17T06:38:26"/>
    <s v="Truck_7"/>
    <n v="-11.290800000000001"/>
    <n v="-105.25149999999999"/>
    <n v="261"/>
    <x v="0"/>
    <n v="24.5"/>
    <n v="74.2"/>
    <s v="Detour"/>
    <n v="36"/>
    <n v="201"/>
    <n v="10"/>
    <s v="Mechanical Failure"/>
    <n v="67"/>
    <n v="226"/>
    <x v="0"/>
  </r>
  <r>
    <d v="2024-07-30T10:23:03"/>
    <s v="Truck_5"/>
    <n v="0.37730000000000002"/>
    <n v="-13.6838"/>
    <n v="226"/>
    <x v="2"/>
    <n v="25.4"/>
    <n v="73.7"/>
    <s v="Detour"/>
    <n v="46"/>
    <n v="138"/>
    <n v="8"/>
    <s v="Traffic"/>
    <n v="75.5"/>
    <n v="298"/>
    <x v="1"/>
  </r>
  <r>
    <d v="2024-12-07T16:11:00"/>
    <s v="Truck_10"/>
    <n v="-7.77"/>
    <n v="163.5958"/>
    <n v="226"/>
    <x v="1"/>
    <n v="21.1"/>
    <n v="56.1"/>
    <s v="Heavy"/>
    <n v="50"/>
    <n v="160"/>
    <n v="5"/>
    <s v="None"/>
    <n v="77.3"/>
    <n v="174"/>
    <x v="0"/>
  </r>
  <r>
    <d v="2024-03-15T17:54:08"/>
    <s v="Truck_7"/>
    <n v="-80.122200000000007"/>
    <n v="-56.149700000000003"/>
    <n v="415"/>
    <x v="1"/>
    <n v="25.3"/>
    <n v="54.4"/>
    <s v="Heavy"/>
    <n v="53"/>
    <n v="345"/>
    <n v="2"/>
    <s v="Mechanical Failure"/>
    <n v="87.4"/>
    <n v="181"/>
    <x v="0"/>
  </r>
  <r>
    <d v="2024-10-15T06:49:32"/>
    <s v="Truck_3"/>
    <n v="-84.804100000000005"/>
    <n v="57.167999999999999"/>
    <n v="422"/>
    <x v="2"/>
    <n v="29.7"/>
    <n v="68.3"/>
    <s v="Heavy"/>
    <n v="45"/>
    <n v="246"/>
    <n v="1"/>
    <s v="Weather"/>
    <n v="85.6"/>
    <n v="136"/>
    <x v="0"/>
  </r>
  <r>
    <d v="2024-08-27T06:52:35"/>
    <s v="Truck_8"/>
    <n v="-13.147500000000001"/>
    <n v="-1.0702"/>
    <n v="413"/>
    <x v="0"/>
    <n v="23.4"/>
    <n v="67.099999999999994"/>
    <s v="Heavy"/>
    <n v="32"/>
    <n v="325"/>
    <n v="3"/>
    <s v="Mechanical Failure"/>
    <n v="93.3"/>
    <n v="109"/>
    <x v="0"/>
  </r>
  <r>
    <d v="2024-08-02T02:01:25"/>
    <s v="Truck_1"/>
    <n v="-87.554699999999997"/>
    <n v="113.4629"/>
    <n v="269"/>
    <x v="1"/>
    <n v="25.2"/>
    <n v="57.7"/>
    <s v="Detour"/>
    <n v="20"/>
    <n v="247"/>
    <n v="2"/>
    <s v="Weather"/>
    <n v="60.9"/>
    <n v="177"/>
    <x v="1"/>
  </r>
  <r>
    <d v="2024-11-27T18:48:54"/>
    <s v="Truck_4"/>
    <n v="72.906599999999997"/>
    <n v="36.1965"/>
    <n v="489"/>
    <x v="2"/>
    <n v="25.7"/>
    <n v="50.1"/>
    <s v="Heavy"/>
    <n v="51"/>
    <n v="204"/>
    <n v="1"/>
    <s v="Weather"/>
    <n v="65.099999999999994"/>
    <n v="184"/>
    <x v="0"/>
  </r>
  <r>
    <d v="2024-12-03T05:26:24"/>
    <s v="Truck_6"/>
    <n v="16.1951"/>
    <n v="-119.4492"/>
    <n v="426"/>
    <x v="1"/>
    <n v="28.8"/>
    <n v="56.2"/>
    <s v="Clear"/>
    <n v="30"/>
    <n v="145"/>
    <n v="3"/>
    <s v="Traffic"/>
    <n v="81.2"/>
    <n v="220"/>
    <x v="1"/>
  </r>
  <r>
    <d v="2024-02-05T03:19:43"/>
    <s v="Truck_5"/>
    <n v="28.3461"/>
    <n v="-1.5547"/>
    <n v="457"/>
    <x v="2"/>
    <n v="27.9"/>
    <n v="78.599999999999994"/>
    <s v="Heavy"/>
    <n v="18"/>
    <n v="461"/>
    <n v="6"/>
    <s v="Weather"/>
    <n v="69.099999999999994"/>
    <n v="137"/>
    <x v="0"/>
  </r>
  <r>
    <d v="2024-12-19T22:58:09"/>
    <s v="Truck_1"/>
    <n v="-35.566299999999998"/>
    <n v="47.402799999999999"/>
    <n v="270"/>
    <x v="2"/>
    <n v="21.7"/>
    <n v="53.6"/>
    <s v="Clear"/>
    <n v="15"/>
    <n v="499"/>
    <n v="8"/>
    <s v="Mechanical Failure"/>
    <n v="94.9"/>
    <n v="111"/>
    <x v="1"/>
  </r>
  <r>
    <d v="2024-11-23T08:44:11"/>
    <s v="Truck_7"/>
    <n v="-33.246000000000002"/>
    <n v="106.3248"/>
    <n v="267"/>
    <x v="1"/>
    <n v="29.8"/>
    <n v="79.8"/>
    <s v="Heavy"/>
    <n v="55"/>
    <n v="282"/>
    <n v="5"/>
    <s v="None"/>
    <n v="90.5"/>
    <n v="173"/>
    <x v="0"/>
  </r>
  <r>
    <d v="2024-04-30T14:49:18"/>
    <s v="Truck_5"/>
    <n v="10.2059"/>
    <n v="98.617999999999995"/>
    <n v="381"/>
    <x v="2"/>
    <n v="24.4"/>
    <n v="50.1"/>
    <s v="Heavy"/>
    <n v="54"/>
    <n v="243"/>
    <n v="6"/>
    <s v="None"/>
    <n v="61.5"/>
    <n v="278"/>
    <x v="0"/>
  </r>
  <r>
    <d v="2024-06-07T06:45:59"/>
    <s v="Truck_3"/>
    <n v="-6.2310999999999996"/>
    <n v="173.62639999999999"/>
    <n v="402"/>
    <x v="2"/>
    <n v="27"/>
    <n v="74.2"/>
    <s v="Heavy"/>
    <n v="17"/>
    <n v="155"/>
    <n v="10"/>
    <s v="Traffic"/>
    <n v="73.400000000000006"/>
    <n v="281"/>
    <x v="0"/>
  </r>
  <r>
    <d v="2024-11-24T04:49:31"/>
    <s v="Truck_4"/>
    <n v="-78.109399999999994"/>
    <n v="-52.543500000000002"/>
    <n v="331"/>
    <x v="2"/>
    <n v="20.399999999999999"/>
    <n v="66.099999999999994"/>
    <s v="Heavy"/>
    <n v="25"/>
    <n v="261"/>
    <n v="6"/>
    <s v="Mechanical Failure"/>
    <n v="77.7"/>
    <n v="264"/>
    <x v="0"/>
  </r>
  <r>
    <d v="2024-07-29T00:56:10"/>
    <s v="Truck_5"/>
    <n v="-70.364500000000007"/>
    <n v="-128.8622"/>
    <n v="167"/>
    <x v="2"/>
    <n v="25.6"/>
    <n v="62.5"/>
    <s v="Detour"/>
    <n v="40"/>
    <n v="246"/>
    <n v="9"/>
    <s v="Traffic"/>
    <n v="63.8"/>
    <n v="126"/>
    <x v="1"/>
  </r>
  <r>
    <d v="2024-06-01T20:00:16"/>
    <s v="Truck_4"/>
    <n v="18.118300000000001"/>
    <n v="116.4939"/>
    <n v="187"/>
    <x v="0"/>
    <n v="23.3"/>
    <n v="71.7"/>
    <s v="Heavy"/>
    <n v="10"/>
    <n v="209"/>
    <n v="10"/>
    <s v="Traffic"/>
    <n v="97.2"/>
    <n v="151"/>
    <x v="0"/>
  </r>
  <r>
    <d v="2024-07-18T12:19:20"/>
    <s v="Truck_10"/>
    <n v="20.296900000000001"/>
    <n v="124.1885"/>
    <n v="298"/>
    <x v="1"/>
    <n v="18.600000000000001"/>
    <n v="74.400000000000006"/>
    <s v="Detour"/>
    <n v="41"/>
    <n v="248"/>
    <n v="1"/>
    <s v="None"/>
    <n v="86.3"/>
    <n v="283"/>
    <x v="1"/>
  </r>
  <r>
    <d v="2024-12-16T11:48:34"/>
    <s v="Truck_6"/>
    <n v="-27.738700000000001"/>
    <n v="19.6189"/>
    <n v="331"/>
    <x v="0"/>
    <n v="21.4"/>
    <n v="62.9"/>
    <s v="Detour"/>
    <n v="46"/>
    <n v="235"/>
    <n v="8"/>
    <s v="Mechanical Failure"/>
    <n v="62.6"/>
    <n v="298"/>
    <x v="0"/>
  </r>
  <r>
    <d v="2024-04-15T22:37:19"/>
    <s v="Truck_2"/>
    <n v="-31.1328"/>
    <n v="175.84530000000001"/>
    <n v="180"/>
    <x v="2"/>
    <n v="27.2"/>
    <n v="52.9"/>
    <s v="Clear"/>
    <n v="29"/>
    <n v="390"/>
    <n v="8"/>
    <s v="Mechanical Failure"/>
    <n v="68.400000000000006"/>
    <n v="110"/>
    <x v="1"/>
  </r>
  <r>
    <d v="2024-04-05T10:29:17"/>
    <s v="Truck_10"/>
    <n v="24.8353"/>
    <n v="-83.717299999999994"/>
    <n v="282"/>
    <x v="1"/>
    <n v="19.399999999999999"/>
    <n v="71.900000000000006"/>
    <s v="Clear"/>
    <n v="43"/>
    <n v="464"/>
    <n v="10"/>
    <s v="Traffic"/>
    <n v="90"/>
    <n v="107"/>
    <x v="1"/>
  </r>
  <r>
    <d v="2024-12-20T12:26:19"/>
    <s v="Truck_4"/>
    <n v="-32.723999999999997"/>
    <n v="82.957700000000003"/>
    <n v="363"/>
    <x v="0"/>
    <n v="27"/>
    <n v="70.900000000000006"/>
    <s v="Detour"/>
    <n v="52"/>
    <n v="482"/>
    <n v="6"/>
    <s v="Weather"/>
    <n v="62.9"/>
    <n v="248"/>
    <x v="0"/>
  </r>
  <r>
    <d v="2024-07-02T03:07:27"/>
    <s v="Truck_3"/>
    <n v="72.122"/>
    <n v="89.972800000000007"/>
    <n v="212"/>
    <x v="2"/>
    <n v="25.9"/>
    <n v="68"/>
    <s v="Heavy"/>
    <n v="32"/>
    <n v="312"/>
    <n v="6"/>
    <s v="Mechanical Failure"/>
    <n v="87.6"/>
    <n v="296"/>
    <x v="0"/>
  </r>
  <r>
    <d v="2024-01-28T04:43:23"/>
    <s v="Truck_1"/>
    <n v="-7.6360000000000001"/>
    <n v="51.061500000000002"/>
    <n v="317"/>
    <x v="1"/>
    <n v="23.9"/>
    <n v="69.5"/>
    <s v="Clear"/>
    <n v="59"/>
    <n v="447"/>
    <n v="1"/>
    <s v="Weather"/>
    <n v="97.1"/>
    <n v="294"/>
    <x v="1"/>
  </r>
  <r>
    <d v="2024-01-14T20:39:14"/>
    <s v="Truck_2"/>
    <n v="-24.011800000000001"/>
    <n v="111.4726"/>
    <n v="240"/>
    <x v="2"/>
    <n v="18.8"/>
    <n v="63.9"/>
    <s v="Detour"/>
    <n v="23"/>
    <n v="462"/>
    <n v="1"/>
    <s v="None"/>
    <n v="61.2"/>
    <n v="276"/>
    <x v="1"/>
  </r>
  <r>
    <d v="2024-08-06T11:35:04"/>
    <s v="Truck_10"/>
    <n v="77.004199999999997"/>
    <n v="-12.2919"/>
    <n v="427"/>
    <x v="0"/>
    <n v="20.3"/>
    <n v="57.3"/>
    <s v="Heavy"/>
    <n v="18"/>
    <n v="341"/>
    <n v="3"/>
    <s v="Weather"/>
    <n v="85.7"/>
    <n v="189"/>
    <x v="0"/>
  </r>
  <r>
    <d v="2024-12-08T01:10:23"/>
    <s v="Truck_10"/>
    <n v="-38.686700000000002"/>
    <n v="-19.9939"/>
    <n v="144"/>
    <x v="0"/>
    <n v="18.2"/>
    <n v="53.1"/>
    <s v="Clear"/>
    <n v="16"/>
    <n v="106"/>
    <n v="5"/>
    <s v="Weather"/>
    <n v="69.400000000000006"/>
    <n v="214"/>
    <x v="0"/>
  </r>
  <r>
    <d v="2024-02-27T01:51:59"/>
    <s v="Truck_8"/>
    <n v="41.375"/>
    <n v="77.294899999999998"/>
    <n v="280"/>
    <x v="1"/>
    <n v="25.5"/>
    <n v="74.2"/>
    <s v="Clear"/>
    <n v="46"/>
    <n v="447"/>
    <n v="2"/>
    <s v="Traffic"/>
    <n v="65.3"/>
    <n v="236"/>
    <x v="1"/>
  </r>
  <r>
    <d v="2024-02-14T21:28:31"/>
    <s v="Truck_2"/>
    <n v="-68.465100000000007"/>
    <n v="179.44329999999999"/>
    <n v="182"/>
    <x v="0"/>
    <n v="20.3"/>
    <n v="59.8"/>
    <s v="Detour"/>
    <n v="30"/>
    <n v="288"/>
    <n v="7"/>
    <s v="None"/>
    <n v="83.3"/>
    <n v="107"/>
    <x v="0"/>
  </r>
  <r>
    <d v="2024-03-21T11:48:25"/>
    <s v="Truck_3"/>
    <n v="-13.0063"/>
    <n v="0.53449999999999998"/>
    <n v="439"/>
    <x v="0"/>
    <n v="21.5"/>
    <n v="72.8"/>
    <s v="Heavy"/>
    <n v="30"/>
    <n v="101"/>
    <n v="10"/>
    <s v="Mechanical Failure"/>
    <n v="90.4"/>
    <n v="114"/>
    <x v="0"/>
  </r>
  <r>
    <d v="2024-10-16T22:56:13"/>
    <s v="Truck_2"/>
    <n v="41.306600000000003"/>
    <n v="161.14619999999999"/>
    <n v="174"/>
    <x v="0"/>
    <n v="27.2"/>
    <n v="77.900000000000006"/>
    <s v="Heavy"/>
    <n v="39"/>
    <n v="173"/>
    <n v="5"/>
    <s v="Mechanical Failure"/>
    <n v="91.1"/>
    <n v="262"/>
    <x v="0"/>
  </r>
  <r>
    <d v="2024-02-21T23:20:41"/>
    <s v="Truck_6"/>
    <n v="-23.101099999999999"/>
    <n v="-54.517600000000002"/>
    <n v="186"/>
    <x v="0"/>
    <n v="24"/>
    <n v="67.3"/>
    <s v="Detour"/>
    <n v="44"/>
    <n v="352"/>
    <n v="9"/>
    <s v="None"/>
    <n v="85.7"/>
    <n v="262"/>
    <x v="0"/>
  </r>
  <r>
    <d v="2024-09-24T22:17:10"/>
    <s v="Truck_10"/>
    <n v="-17.608799999999999"/>
    <n v="-41.430399999999999"/>
    <n v="109"/>
    <x v="2"/>
    <n v="26.9"/>
    <n v="75.3"/>
    <s v="Detour"/>
    <n v="26"/>
    <n v="314"/>
    <n v="7"/>
    <s v="None"/>
    <n v="93.3"/>
    <n v="176"/>
    <x v="1"/>
  </r>
  <r>
    <d v="2024-03-30T10:22:10"/>
    <s v="Truck_4"/>
    <n v="-72.449200000000005"/>
    <n v="131.85239999999999"/>
    <n v="483"/>
    <x v="1"/>
    <n v="21.9"/>
    <n v="71.900000000000006"/>
    <s v="Detour"/>
    <n v="59"/>
    <n v="226"/>
    <n v="10"/>
    <s v="Mechanical Failure"/>
    <n v="69.2"/>
    <n v="152"/>
    <x v="1"/>
  </r>
  <r>
    <d v="2024-12-15T07:37:03"/>
    <s v="Truck_2"/>
    <n v="27.360099999999999"/>
    <n v="-105.0457"/>
    <n v="100"/>
    <x v="0"/>
    <n v="27.5"/>
    <n v="68.599999999999994"/>
    <s v="Clear"/>
    <n v="49"/>
    <n v="464"/>
    <n v="3"/>
    <s v="None"/>
    <n v="61.7"/>
    <n v="149"/>
    <x v="0"/>
  </r>
  <r>
    <d v="2024-03-26T22:29:16"/>
    <s v="Truck_1"/>
    <n v="-86.5291"/>
    <n v="-36.578899999999997"/>
    <n v="128"/>
    <x v="2"/>
    <n v="28.9"/>
    <n v="63.7"/>
    <s v="Clear"/>
    <n v="56"/>
    <n v="140"/>
    <n v="1"/>
    <s v="Weather"/>
    <n v="72.8"/>
    <n v="127"/>
    <x v="1"/>
  </r>
  <r>
    <d v="2024-05-09T18:49:33"/>
    <s v="Truck_10"/>
    <n v="10.207800000000001"/>
    <n v="36.856999999999999"/>
    <n v="100"/>
    <x v="1"/>
    <n v="21.9"/>
    <n v="72.099999999999994"/>
    <s v="Detour"/>
    <n v="22"/>
    <n v="413"/>
    <n v="1"/>
    <s v="Weather"/>
    <n v="67.5"/>
    <n v="145"/>
    <x v="1"/>
  </r>
  <r>
    <d v="2024-11-19T09:57:01"/>
    <s v="Truck_6"/>
    <n v="-42.675899999999999"/>
    <n v="-7.9817999999999998"/>
    <n v="468"/>
    <x v="0"/>
    <n v="28.6"/>
    <n v="65.099999999999994"/>
    <s v="Heavy"/>
    <n v="45"/>
    <n v="419"/>
    <n v="8"/>
    <s v="None"/>
    <n v="76.099999999999994"/>
    <n v="119"/>
    <x v="0"/>
  </r>
  <r>
    <d v="2024-11-26T17:09:09"/>
    <s v="Truck_8"/>
    <n v="36.249400000000001"/>
    <n v="143.1951"/>
    <n v="243"/>
    <x v="1"/>
    <n v="27.7"/>
    <n v="74.8"/>
    <s v="Detour"/>
    <n v="28"/>
    <n v="311"/>
    <n v="9"/>
    <s v="None"/>
    <n v="97.5"/>
    <n v="272"/>
    <x v="1"/>
  </r>
  <r>
    <d v="2024-04-20T09:54:18"/>
    <s v="Truck_2"/>
    <n v="28.996400000000001"/>
    <n v="151.6114"/>
    <n v="134"/>
    <x v="0"/>
    <n v="29.2"/>
    <n v="55.5"/>
    <s v="Detour"/>
    <n v="34"/>
    <n v="189"/>
    <n v="1"/>
    <s v="Weather"/>
    <n v="87.8"/>
    <n v="270"/>
    <x v="0"/>
  </r>
  <r>
    <d v="2024-06-05T19:19:16"/>
    <s v="Truck_3"/>
    <n v="-22.1005"/>
    <n v="-38.844900000000003"/>
    <n v="484"/>
    <x v="2"/>
    <n v="29.1"/>
    <n v="54.7"/>
    <s v="Detour"/>
    <n v="48"/>
    <n v="320"/>
    <n v="7"/>
    <s v="Weather"/>
    <n v="84.6"/>
    <n v="118"/>
    <x v="1"/>
  </r>
  <r>
    <d v="2024-07-08T04:26:39"/>
    <s v="Truck_6"/>
    <n v="47.280299999999997"/>
    <n v="32.135599999999997"/>
    <n v="300"/>
    <x v="2"/>
    <n v="22.4"/>
    <n v="54.3"/>
    <s v="Heavy"/>
    <n v="23"/>
    <n v="323"/>
    <n v="5"/>
    <s v="Weather"/>
    <n v="65.5"/>
    <n v="230"/>
    <x v="0"/>
  </r>
  <r>
    <d v="2024-04-01T03:56:41"/>
    <s v="Truck_10"/>
    <n v="-25.469200000000001"/>
    <n v="-70.760300000000001"/>
    <n v="396"/>
    <x v="2"/>
    <n v="21.9"/>
    <n v="67.400000000000006"/>
    <s v="Detour"/>
    <n v="24"/>
    <n v="238"/>
    <n v="3"/>
    <s v="Weather"/>
    <n v="60.4"/>
    <n v="117"/>
    <x v="1"/>
  </r>
  <r>
    <d v="2024-02-11T04:52:58"/>
    <s v="Truck_4"/>
    <n v="20.145099999999999"/>
    <n v="158.74019999999999"/>
    <n v="135"/>
    <x v="2"/>
    <n v="26.8"/>
    <n v="79.099999999999994"/>
    <s v="Detour"/>
    <n v="57"/>
    <n v="173"/>
    <n v="7"/>
    <s v="Mechanical Failure"/>
    <n v="81.3"/>
    <n v="115"/>
    <x v="1"/>
  </r>
  <r>
    <d v="2024-08-23T00:05:52"/>
    <s v="Truck_8"/>
    <n v="-29.272600000000001"/>
    <n v="149.63290000000001"/>
    <n v="236"/>
    <x v="2"/>
    <n v="21.9"/>
    <n v="51.9"/>
    <s v="Detour"/>
    <n v="21"/>
    <n v="233"/>
    <n v="6"/>
    <s v="Mechanical Failure"/>
    <n v="72"/>
    <n v="115"/>
    <x v="1"/>
  </r>
  <r>
    <d v="2024-11-04T00:29:20"/>
    <s v="Truck_1"/>
    <n v="-82.394199999999998"/>
    <n v="179.9237"/>
    <n v="294"/>
    <x v="2"/>
    <n v="27.6"/>
    <n v="79.7"/>
    <s v="Heavy"/>
    <n v="24"/>
    <n v="181"/>
    <n v="5"/>
    <s v="Weather"/>
    <n v="88.2"/>
    <n v="191"/>
    <x v="0"/>
  </r>
  <r>
    <d v="2024-05-04T19:24:30"/>
    <s v="Truck_4"/>
    <n v="37.3932"/>
    <n v="53.447000000000003"/>
    <n v="209"/>
    <x v="0"/>
    <n v="29.4"/>
    <n v="57.8"/>
    <s v="Detour"/>
    <n v="34"/>
    <n v="319"/>
    <n v="4"/>
    <s v="Mechanical Failure"/>
    <n v="85"/>
    <n v="208"/>
    <x v="0"/>
  </r>
  <r>
    <d v="2024-11-13T04:19:12"/>
    <s v="Truck_4"/>
    <n v="-3.4094000000000002"/>
    <n v="-85.877399999999994"/>
    <n v="378"/>
    <x v="0"/>
    <n v="28.2"/>
    <n v="70.2"/>
    <s v="Clear"/>
    <n v="60"/>
    <n v="490"/>
    <n v="9"/>
    <s v="Traffic"/>
    <n v="66.8"/>
    <n v="166"/>
    <x v="0"/>
  </r>
  <r>
    <d v="2024-02-13T19:17:18"/>
    <s v="Truck_1"/>
    <n v="-60.278199999999998"/>
    <n v="-7.5464000000000002"/>
    <n v="355"/>
    <x v="0"/>
    <n v="22.5"/>
    <n v="74"/>
    <s v="Clear"/>
    <n v="20"/>
    <n v="321"/>
    <n v="3"/>
    <s v="Weather"/>
    <n v="90.6"/>
    <n v="252"/>
    <x v="0"/>
  </r>
  <r>
    <d v="2024-06-28T07:17:35"/>
    <s v="Truck_9"/>
    <n v="-1.8123"/>
    <n v="-156.20699999999999"/>
    <n v="474"/>
    <x v="0"/>
    <n v="29.2"/>
    <n v="66.099999999999994"/>
    <s v="Heavy"/>
    <n v="26"/>
    <n v="318"/>
    <n v="5"/>
    <s v="Weather"/>
    <n v="96.2"/>
    <n v="110"/>
    <x v="0"/>
  </r>
  <r>
    <d v="2024-12-15T22:06:59"/>
    <s v="Truck_6"/>
    <n v="45.552999999999997"/>
    <n v="20.901499999999999"/>
    <n v="218"/>
    <x v="2"/>
    <n v="19.5"/>
    <n v="67.900000000000006"/>
    <s v="Detour"/>
    <n v="27"/>
    <n v="257"/>
    <n v="10"/>
    <s v="Mechanical Failure"/>
    <n v="62.2"/>
    <n v="150"/>
    <x v="1"/>
  </r>
  <r>
    <d v="2024-06-30T14:22:40"/>
    <s v="Truck_2"/>
    <n v="-28.382000000000001"/>
    <n v="-47.823099999999997"/>
    <n v="357"/>
    <x v="1"/>
    <n v="29.3"/>
    <n v="73.2"/>
    <s v="Clear"/>
    <n v="22"/>
    <n v="229"/>
    <n v="7"/>
    <s v="Mechanical Failure"/>
    <n v="94.3"/>
    <n v="131"/>
    <x v="1"/>
  </r>
  <r>
    <d v="2024-12-05T16:36:07"/>
    <s v="Truck_5"/>
    <n v="-71.0852"/>
    <n v="-12.918699999999999"/>
    <n v="255"/>
    <x v="0"/>
    <n v="27.4"/>
    <n v="59.6"/>
    <s v="Clear"/>
    <n v="20"/>
    <n v="497"/>
    <n v="3"/>
    <s v="Traffic"/>
    <n v="98.4"/>
    <n v="277"/>
    <x v="0"/>
  </r>
  <r>
    <d v="2024-06-13T13:04:28"/>
    <s v="Truck_2"/>
    <n v="-35.642400000000002"/>
    <n v="-106.7595"/>
    <n v="415"/>
    <x v="0"/>
    <n v="22.2"/>
    <n v="65.8"/>
    <s v="Heavy"/>
    <n v="18"/>
    <n v="287"/>
    <n v="2"/>
    <s v="Traffic"/>
    <n v="61.1"/>
    <n v="256"/>
    <x v="0"/>
  </r>
  <r>
    <d v="2024-03-17T08:20:11"/>
    <s v="Truck_9"/>
    <n v="-81.622"/>
    <n v="-152.0754"/>
    <n v="353"/>
    <x v="2"/>
    <n v="29.5"/>
    <n v="76.8"/>
    <s v="Heavy"/>
    <n v="41"/>
    <n v="421"/>
    <n v="8"/>
    <s v="None"/>
    <n v="97.7"/>
    <n v="212"/>
    <x v="0"/>
  </r>
  <r>
    <d v="2024-09-21T03:09:39"/>
    <s v="Truck_8"/>
    <n v="-22.911100000000001"/>
    <n v="-154.35939999999999"/>
    <n v="260"/>
    <x v="1"/>
    <n v="23.8"/>
    <n v="58.4"/>
    <s v="Clear"/>
    <n v="49"/>
    <n v="266"/>
    <n v="7"/>
    <s v="Mechanical Failure"/>
    <n v="77.8"/>
    <n v="131"/>
    <x v="1"/>
  </r>
  <r>
    <d v="2024-02-20T20:52:03"/>
    <s v="Truck_4"/>
    <n v="-68.793700000000001"/>
    <n v="-164.38659999999999"/>
    <n v="447"/>
    <x v="2"/>
    <n v="21.1"/>
    <n v="75.599999999999994"/>
    <s v="Heavy"/>
    <n v="51"/>
    <n v="315"/>
    <n v="1"/>
    <s v="Mechanical Failure"/>
    <n v="64.7"/>
    <n v="186"/>
    <x v="0"/>
  </r>
  <r>
    <d v="2024-11-19T18:03:38"/>
    <s v="Truck_5"/>
    <n v="-25.5794"/>
    <n v="132.2662"/>
    <n v="483"/>
    <x v="0"/>
    <n v="26.6"/>
    <n v="50"/>
    <s v="Clear"/>
    <n v="51"/>
    <n v="466"/>
    <n v="6"/>
    <s v="Mechanical Failure"/>
    <n v="87.9"/>
    <n v="272"/>
    <x v="0"/>
  </r>
  <r>
    <d v="2024-11-07T16:16:40"/>
    <s v="Truck_10"/>
    <n v="49.046500000000002"/>
    <n v="41.342799999999997"/>
    <n v="363"/>
    <x v="2"/>
    <n v="28.6"/>
    <n v="75.2"/>
    <s v="Heavy"/>
    <n v="19"/>
    <n v="358"/>
    <n v="1"/>
    <s v="Weather"/>
    <n v="77.400000000000006"/>
    <n v="272"/>
    <x v="0"/>
  </r>
  <r>
    <d v="2024-02-18T14:10:22"/>
    <s v="Truck_8"/>
    <n v="-81.667699999999996"/>
    <n v="-40.832700000000003"/>
    <n v="313"/>
    <x v="0"/>
    <n v="20.5"/>
    <n v="79.3"/>
    <s v="Detour"/>
    <n v="49"/>
    <n v="229"/>
    <n v="7"/>
    <s v="None"/>
    <n v="98.5"/>
    <n v="126"/>
    <x v="0"/>
  </r>
  <r>
    <d v="2024-03-03T00:53:07"/>
    <s v="Truck_10"/>
    <n v="-69.688699999999997"/>
    <n v="-34.456299999999999"/>
    <n v="289"/>
    <x v="2"/>
    <n v="19.3"/>
    <n v="68.599999999999994"/>
    <s v="Clear"/>
    <n v="33"/>
    <n v="149"/>
    <n v="4"/>
    <s v="None"/>
    <n v="74.3"/>
    <n v="220"/>
    <x v="1"/>
  </r>
  <r>
    <d v="2024-06-02T09:09:21"/>
    <s v="Truck_4"/>
    <n v="-49.181100000000001"/>
    <n v="-94.151499999999999"/>
    <n v="171"/>
    <x v="2"/>
    <n v="21.3"/>
    <n v="66.099999999999994"/>
    <s v="Clear"/>
    <n v="57"/>
    <n v="125"/>
    <n v="8"/>
    <s v="None"/>
    <n v="98.9"/>
    <n v="249"/>
    <x v="1"/>
  </r>
  <r>
    <d v="2024-01-25T12:09:42"/>
    <s v="Truck_6"/>
    <n v="12.8172"/>
    <n v="76.140799999999999"/>
    <n v="401"/>
    <x v="1"/>
    <n v="25.7"/>
    <n v="71.400000000000006"/>
    <s v="Clear"/>
    <n v="30"/>
    <n v="494"/>
    <n v="4"/>
    <s v="Weather"/>
    <n v="81.099999999999994"/>
    <n v="175"/>
    <x v="1"/>
  </r>
  <r>
    <d v="2024-10-04T16:19:17"/>
    <s v="Truck_9"/>
    <n v="20.114599999999999"/>
    <n v="19.758299999999998"/>
    <n v="376"/>
    <x v="2"/>
    <n v="25.1"/>
    <n v="54.1"/>
    <s v="Clear"/>
    <n v="55"/>
    <n v="305"/>
    <n v="5"/>
    <s v="Mechanical Failure"/>
    <n v="83.2"/>
    <n v="158"/>
    <x v="1"/>
  </r>
  <r>
    <d v="2024-11-02T12:07:34"/>
    <s v="Truck_3"/>
    <n v="84.131699999999995"/>
    <n v="-144.78399999999999"/>
    <n v="371"/>
    <x v="0"/>
    <n v="26.2"/>
    <n v="58.5"/>
    <s v="Heavy"/>
    <n v="46"/>
    <n v="168"/>
    <n v="10"/>
    <s v="Traffic"/>
    <n v="69.5"/>
    <n v="162"/>
    <x v="0"/>
  </r>
  <r>
    <d v="2024-04-22T01:56:59"/>
    <s v="Truck_4"/>
    <n v="-53.932899999999997"/>
    <n v="30.323599999999999"/>
    <n v="496"/>
    <x v="1"/>
    <n v="23.4"/>
    <n v="71.599999999999994"/>
    <s v="Clear"/>
    <n v="15"/>
    <n v="451"/>
    <n v="3"/>
    <s v="Weather"/>
    <n v="76.3"/>
    <n v="235"/>
    <x v="1"/>
  </r>
  <r>
    <d v="2024-04-15T22:28:46"/>
    <s v="Truck_2"/>
    <n v="31.857099999999999"/>
    <n v="-83.169799999999995"/>
    <n v="149"/>
    <x v="1"/>
    <n v="20.9"/>
    <n v="68.099999999999994"/>
    <s v="Detour"/>
    <n v="39"/>
    <n v="274"/>
    <n v="9"/>
    <s v="Traffic"/>
    <n v="71.8"/>
    <n v="138"/>
    <x v="1"/>
  </r>
  <r>
    <d v="2024-01-19T14:28:30"/>
    <s v="Truck_6"/>
    <n v="67.730199999999996"/>
    <n v="-70.186099999999996"/>
    <n v="166"/>
    <x v="1"/>
    <n v="29.4"/>
    <n v="59.5"/>
    <s v="Heavy"/>
    <n v="40"/>
    <n v="210"/>
    <n v="4"/>
    <s v="Traffic"/>
    <n v="82.9"/>
    <n v="246"/>
    <x v="0"/>
  </r>
  <r>
    <d v="2024-09-22T12:19:08"/>
    <s v="Truck_9"/>
    <n v="73.372299999999996"/>
    <n v="93.246399999999994"/>
    <n v="369"/>
    <x v="0"/>
    <n v="28"/>
    <n v="52.3"/>
    <s v="Detour"/>
    <n v="35"/>
    <n v="481"/>
    <n v="5"/>
    <s v="Mechanical Failure"/>
    <n v="73.400000000000006"/>
    <n v="179"/>
    <x v="0"/>
  </r>
  <r>
    <d v="2024-11-01T23:47:02"/>
    <s v="Truck_5"/>
    <n v="68.236099999999993"/>
    <n v="-85.921599999999998"/>
    <n v="409"/>
    <x v="1"/>
    <n v="22"/>
    <n v="68.099999999999994"/>
    <s v="Clear"/>
    <n v="18"/>
    <n v="423"/>
    <n v="10"/>
    <s v="Weather"/>
    <n v="62.8"/>
    <n v="282"/>
    <x v="1"/>
  </r>
  <r>
    <d v="2024-05-13T14:10:55"/>
    <s v="Truck_8"/>
    <n v="40.547800000000002"/>
    <n v="147.02610000000001"/>
    <n v="494"/>
    <x v="0"/>
    <n v="19.2"/>
    <n v="58.4"/>
    <s v="Clear"/>
    <n v="52"/>
    <n v="231"/>
    <n v="10"/>
    <s v="Weather"/>
    <n v="89.5"/>
    <n v="201"/>
    <x v="0"/>
  </r>
  <r>
    <d v="2024-02-17T07:36:46"/>
    <s v="Truck_6"/>
    <n v="-36.429900000000004"/>
    <n v="58.0595"/>
    <n v="238"/>
    <x v="0"/>
    <n v="23.8"/>
    <n v="79.400000000000006"/>
    <s v="Detour"/>
    <n v="33"/>
    <n v="416"/>
    <n v="5"/>
    <s v="Weather"/>
    <n v="88.2"/>
    <n v="102"/>
    <x v="0"/>
  </r>
  <r>
    <d v="2024-11-23T19:33:59"/>
    <s v="Truck_8"/>
    <n v="83.200299999999999"/>
    <n v="-119.0412"/>
    <n v="422"/>
    <x v="1"/>
    <n v="19.2"/>
    <n v="54.5"/>
    <s v="Clear"/>
    <n v="18"/>
    <n v="437"/>
    <n v="3"/>
    <s v="None"/>
    <n v="73.5"/>
    <n v="103"/>
    <x v="1"/>
  </r>
  <r>
    <d v="2024-09-23T10:32:15"/>
    <s v="Truck_9"/>
    <n v="74.581599999999995"/>
    <n v="-19.698599999999999"/>
    <n v="132"/>
    <x v="1"/>
    <n v="28.2"/>
    <n v="57.2"/>
    <s v="Clear"/>
    <n v="23"/>
    <n v="401"/>
    <n v="6"/>
    <s v="None"/>
    <n v="93.6"/>
    <n v="154"/>
    <x v="1"/>
  </r>
  <r>
    <d v="2024-08-25T22:32:25"/>
    <s v="Truck_1"/>
    <n v="-64.709400000000002"/>
    <n v="137.791"/>
    <n v="189"/>
    <x v="0"/>
    <n v="25.2"/>
    <n v="70"/>
    <s v="Clear"/>
    <n v="10"/>
    <n v="360"/>
    <n v="6"/>
    <s v="Mechanical Failure"/>
    <n v="81.900000000000006"/>
    <n v="191"/>
    <x v="0"/>
  </r>
  <r>
    <d v="2024-09-27T06:23:53"/>
    <s v="Truck_1"/>
    <n v="-59.601999999999997"/>
    <n v="62.712000000000003"/>
    <n v="255"/>
    <x v="2"/>
    <n v="28.5"/>
    <n v="72.2"/>
    <s v="Clear"/>
    <n v="60"/>
    <n v="419"/>
    <n v="2"/>
    <s v="Traffic"/>
    <n v="68.400000000000006"/>
    <n v="246"/>
    <x v="1"/>
  </r>
  <r>
    <d v="2024-05-09T04:02:20"/>
    <s v="Truck_7"/>
    <n v="-68.371200000000002"/>
    <n v="-65.980199999999996"/>
    <n v="107"/>
    <x v="0"/>
    <n v="21.9"/>
    <n v="74.099999999999994"/>
    <s v="Heavy"/>
    <n v="51"/>
    <n v="413"/>
    <n v="1"/>
    <s v="Weather"/>
    <n v="84.9"/>
    <n v="257"/>
    <x v="0"/>
  </r>
  <r>
    <d v="2024-05-27T10:59:49"/>
    <s v="Truck_6"/>
    <n v="3.8431000000000002"/>
    <n v="91.007800000000003"/>
    <n v="274"/>
    <x v="0"/>
    <n v="19.3"/>
    <n v="51.4"/>
    <s v="Heavy"/>
    <n v="57"/>
    <n v="279"/>
    <n v="10"/>
    <s v="None"/>
    <n v="75.3"/>
    <n v="127"/>
    <x v="0"/>
  </r>
  <r>
    <d v="2024-02-23T18:39:32"/>
    <s v="Truck_4"/>
    <n v="76.394599999999997"/>
    <n v="105.7941"/>
    <n v="206"/>
    <x v="0"/>
    <n v="21.9"/>
    <n v="68.599999999999994"/>
    <s v="Heavy"/>
    <n v="42"/>
    <n v="100"/>
    <n v="7"/>
    <s v="Traffic"/>
    <n v="63.3"/>
    <n v="116"/>
    <x v="0"/>
  </r>
  <r>
    <d v="2024-07-28T22:29:33"/>
    <s v="Truck_5"/>
    <n v="-46.187100000000001"/>
    <n v="9.4679000000000002"/>
    <n v="270"/>
    <x v="1"/>
    <n v="26.7"/>
    <n v="72.2"/>
    <s v="Heavy"/>
    <n v="35"/>
    <n v="107"/>
    <n v="10"/>
    <s v="Traffic"/>
    <n v="90.8"/>
    <n v="158"/>
    <x v="0"/>
  </r>
  <r>
    <d v="2024-03-05T10:30:30"/>
    <s v="Truck_10"/>
    <n v="-10.8849"/>
    <n v="86.081199999999995"/>
    <n v="277"/>
    <x v="1"/>
    <n v="23.7"/>
    <n v="72.099999999999994"/>
    <s v="Clear"/>
    <n v="12"/>
    <n v="195"/>
    <n v="5"/>
    <s v="Traffic"/>
    <n v="64.5"/>
    <n v="130"/>
    <x v="1"/>
  </r>
  <r>
    <d v="2024-01-06T21:16:03"/>
    <s v="Truck_4"/>
    <n v="-67.761899999999997"/>
    <n v="176.40119999999999"/>
    <n v="454"/>
    <x v="0"/>
    <n v="21"/>
    <n v="77.3"/>
    <s v="Clear"/>
    <n v="15"/>
    <n v="112"/>
    <n v="10"/>
    <s v="Weather"/>
    <n v="73.2"/>
    <n v="237"/>
    <x v="0"/>
  </r>
  <r>
    <d v="2024-09-14T16:45:31"/>
    <s v="Truck_2"/>
    <n v="-22.110099999999999"/>
    <n v="-65.135000000000005"/>
    <n v="197"/>
    <x v="1"/>
    <n v="27.3"/>
    <n v="71.3"/>
    <s v="Detour"/>
    <n v="24"/>
    <n v="460"/>
    <n v="9"/>
    <s v="None"/>
    <n v="64.7"/>
    <n v="162"/>
    <x v="1"/>
  </r>
  <r>
    <d v="2024-11-03T23:16:49"/>
    <s v="Truck_5"/>
    <n v="75.1113"/>
    <n v="-136.47999999999999"/>
    <n v="182"/>
    <x v="2"/>
    <n v="19.7"/>
    <n v="72.3"/>
    <s v="Clear"/>
    <n v="50"/>
    <n v="428"/>
    <n v="3"/>
    <s v="None"/>
    <n v="63.3"/>
    <n v="280"/>
    <x v="1"/>
  </r>
  <r>
    <d v="2024-03-19T21:36:22"/>
    <s v="Truck_6"/>
    <n v="-69.343000000000004"/>
    <n v="131.9033"/>
    <n v="171"/>
    <x v="2"/>
    <n v="25.1"/>
    <n v="76.5"/>
    <s v="Heavy"/>
    <n v="55"/>
    <n v="309"/>
    <n v="3"/>
    <s v="Traffic"/>
    <n v="94.6"/>
    <n v="112"/>
    <x v="0"/>
  </r>
  <r>
    <d v="2024-02-01T18:55:10"/>
    <s v="Truck_3"/>
    <n v="35.652200000000001"/>
    <n v="-84.702500000000001"/>
    <n v="159"/>
    <x v="2"/>
    <n v="26.9"/>
    <n v="69.5"/>
    <s v="Clear"/>
    <n v="32"/>
    <n v="272"/>
    <n v="7"/>
    <s v="None"/>
    <n v="69.7"/>
    <n v="278"/>
    <x v="1"/>
  </r>
  <r>
    <d v="2024-04-18T12:04:40"/>
    <s v="Truck_8"/>
    <n v="-86.156999999999996"/>
    <n v="-92.465199999999996"/>
    <n v="378"/>
    <x v="0"/>
    <n v="29.5"/>
    <n v="61.7"/>
    <s v="Detour"/>
    <n v="13"/>
    <n v="305"/>
    <n v="8"/>
    <s v="Mechanical Failure"/>
    <n v="98.5"/>
    <n v="211"/>
    <x v="0"/>
  </r>
  <r>
    <d v="2024-05-26T14:30:07"/>
    <s v="Truck_1"/>
    <n v="25.1355"/>
    <n v="-2.6802000000000001"/>
    <n v="469"/>
    <x v="1"/>
    <n v="26.2"/>
    <n v="65"/>
    <s v="Clear"/>
    <n v="19"/>
    <n v="477"/>
    <n v="2"/>
    <s v="Mechanical Failure"/>
    <n v="96.9"/>
    <n v="206"/>
    <x v="1"/>
  </r>
  <r>
    <d v="2024-07-29T16:54:53"/>
    <s v="Truck_8"/>
    <n v="12.0938"/>
    <n v="96.899600000000007"/>
    <n v="106"/>
    <x v="1"/>
    <n v="27"/>
    <n v="56.8"/>
    <s v="Detour"/>
    <n v="31"/>
    <n v="120"/>
    <n v="4"/>
    <s v="Weather"/>
    <n v="95.7"/>
    <n v="286"/>
    <x v="1"/>
  </r>
  <r>
    <d v="2024-12-09T13:41:26"/>
    <s v="Truck_3"/>
    <n v="-77.086200000000005"/>
    <n v="137.9042"/>
    <n v="486"/>
    <x v="1"/>
    <n v="21.7"/>
    <n v="76"/>
    <s v="Clear"/>
    <n v="42"/>
    <n v="282"/>
    <n v="9"/>
    <s v="Mechanical Failure"/>
    <n v="80.5"/>
    <n v="139"/>
    <x v="1"/>
  </r>
  <r>
    <d v="2024-09-14T09:03:54"/>
    <s v="Truck_2"/>
    <n v="-17.1205"/>
    <n v="-47.0657"/>
    <n v="248"/>
    <x v="1"/>
    <n v="26.3"/>
    <n v="53.7"/>
    <s v="Detour"/>
    <n v="40"/>
    <n v="146"/>
    <n v="10"/>
    <s v="Weather"/>
    <n v="71.7"/>
    <n v="246"/>
    <x v="1"/>
  </r>
  <r>
    <d v="2024-12-01T01:52:30"/>
    <s v="Truck_3"/>
    <n v="-52.8874"/>
    <n v="162.74639999999999"/>
    <n v="157"/>
    <x v="1"/>
    <n v="25.4"/>
    <n v="79.099999999999994"/>
    <s v="Detour"/>
    <n v="17"/>
    <n v="311"/>
    <n v="9"/>
    <s v="Weather"/>
    <n v="69.900000000000006"/>
    <n v="233"/>
    <x v="1"/>
  </r>
  <r>
    <d v="2024-08-19T17:09:24"/>
    <s v="Truck_6"/>
    <n v="-3.6577999999999999"/>
    <n v="176.29900000000001"/>
    <n v="235"/>
    <x v="1"/>
    <n v="23.2"/>
    <n v="54.6"/>
    <s v="Clear"/>
    <n v="28"/>
    <n v="467"/>
    <n v="9"/>
    <s v="Mechanical Failure"/>
    <n v="68.2"/>
    <n v="206"/>
    <x v="1"/>
  </r>
  <r>
    <d v="2024-04-15T18:58:09"/>
    <s v="Truck_7"/>
    <n v="-7.6641000000000004"/>
    <n v="-25.371700000000001"/>
    <n v="170"/>
    <x v="0"/>
    <n v="25.4"/>
    <n v="55.8"/>
    <s v="Heavy"/>
    <n v="55"/>
    <n v="463"/>
    <n v="10"/>
    <s v="Weather"/>
    <n v="60.1"/>
    <n v="112"/>
    <x v="0"/>
  </r>
  <r>
    <d v="2024-04-12T10:58:21"/>
    <s v="Truck_6"/>
    <n v="-82.141599999999997"/>
    <n v="-91.892499999999998"/>
    <n v="342"/>
    <x v="2"/>
    <n v="25.1"/>
    <n v="52.4"/>
    <s v="Clear"/>
    <n v="24"/>
    <n v="103"/>
    <n v="2"/>
    <s v="Mechanical Failure"/>
    <n v="88"/>
    <n v="209"/>
    <x v="1"/>
  </r>
  <r>
    <d v="2024-02-23T09:29:19"/>
    <s v="Truck_3"/>
    <n v="87.507900000000006"/>
    <n v="-125.53189999999999"/>
    <n v="290"/>
    <x v="1"/>
    <n v="20.5"/>
    <n v="51.4"/>
    <s v="Clear"/>
    <n v="22"/>
    <n v="170"/>
    <n v="4"/>
    <s v="Mechanical Failure"/>
    <n v="74.7"/>
    <n v="147"/>
    <x v="1"/>
  </r>
  <r>
    <d v="2024-02-27T05:17:36"/>
    <s v="Truck_1"/>
    <n v="-76.877099999999999"/>
    <n v="94.616600000000005"/>
    <n v="260"/>
    <x v="0"/>
    <n v="22.8"/>
    <n v="71.7"/>
    <s v="Heavy"/>
    <n v="44"/>
    <n v="393"/>
    <n v="5"/>
    <s v="Mechanical Failure"/>
    <n v="94.1"/>
    <n v="154"/>
    <x v="0"/>
  </r>
  <r>
    <d v="2024-07-26T19:10:43"/>
    <s v="Truck_5"/>
    <n v="89.276499999999999"/>
    <n v="166.65479999999999"/>
    <n v="378"/>
    <x v="0"/>
    <n v="18.899999999999999"/>
    <n v="55.5"/>
    <s v="Heavy"/>
    <n v="35"/>
    <n v="367"/>
    <n v="4"/>
    <s v="Weather"/>
    <n v="74.400000000000006"/>
    <n v="229"/>
    <x v="0"/>
  </r>
  <r>
    <d v="2024-06-29T05:20:24"/>
    <s v="Truck_2"/>
    <n v="-82.854600000000005"/>
    <n v="7.8760000000000003"/>
    <n v="177"/>
    <x v="0"/>
    <n v="19.2"/>
    <n v="70.099999999999994"/>
    <s v="Clear"/>
    <n v="57"/>
    <n v="141"/>
    <n v="4"/>
    <s v="Weather"/>
    <n v="86.6"/>
    <n v="249"/>
    <x v="0"/>
  </r>
  <r>
    <d v="2024-04-15T04:40:07"/>
    <s v="Truck_2"/>
    <n v="-40.283999999999999"/>
    <n v="-86.808899999999994"/>
    <n v="310"/>
    <x v="1"/>
    <n v="22.8"/>
    <n v="64.400000000000006"/>
    <s v="Heavy"/>
    <n v="33"/>
    <n v="104"/>
    <n v="2"/>
    <s v="Mechanical Failure"/>
    <n v="98.9"/>
    <n v="110"/>
    <x v="0"/>
  </r>
  <r>
    <d v="2024-07-24T04:09:02"/>
    <s v="Truck_3"/>
    <n v="2.2208000000000001"/>
    <n v="-170.26410000000001"/>
    <n v="132"/>
    <x v="2"/>
    <n v="27.5"/>
    <n v="57.2"/>
    <s v="Heavy"/>
    <n v="36"/>
    <n v="481"/>
    <n v="5"/>
    <s v="Traffic"/>
    <n v="65.2"/>
    <n v="140"/>
    <x v="0"/>
  </r>
  <r>
    <d v="2024-07-19T01:06:21"/>
    <s v="Truck_8"/>
    <n v="54.842300000000002"/>
    <n v="175.5701"/>
    <n v="331"/>
    <x v="0"/>
    <n v="25.6"/>
    <n v="77.8"/>
    <s v="Heavy"/>
    <n v="26"/>
    <n v="213"/>
    <n v="9"/>
    <s v="Traffic"/>
    <n v="90.7"/>
    <n v="269"/>
    <x v="0"/>
  </r>
  <r>
    <d v="2024-04-23T16:50:45"/>
    <s v="Truck_1"/>
    <n v="-78.472300000000004"/>
    <n v="-82.614999999999995"/>
    <n v="294"/>
    <x v="2"/>
    <n v="24.4"/>
    <n v="65.2"/>
    <s v="Detour"/>
    <n v="23"/>
    <n v="439"/>
    <n v="8"/>
    <s v="Traffic"/>
    <n v="65"/>
    <n v="213"/>
    <x v="1"/>
  </r>
  <r>
    <d v="2024-06-18T12:57:05"/>
    <s v="Truck_6"/>
    <n v="4.8495999999999997"/>
    <n v="-60.7988"/>
    <n v="277"/>
    <x v="2"/>
    <n v="29.3"/>
    <n v="50.7"/>
    <s v="Heavy"/>
    <n v="24"/>
    <n v="242"/>
    <n v="2"/>
    <s v="Mechanical Failure"/>
    <n v="93.4"/>
    <n v="271"/>
    <x v="0"/>
  </r>
  <r>
    <d v="2024-12-17T04:11:19"/>
    <s v="Truck_5"/>
    <n v="54.034199999999998"/>
    <n v="-98.308300000000003"/>
    <n v="329"/>
    <x v="0"/>
    <n v="29.7"/>
    <n v="77.900000000000006"/>
    <s v="Heavy"/>
    <n v="33"/>
    <n v="232"/>
    <n v="5"/>
    <s v="Weather"/>
    <n v="91.9"/>
    <n v="124"/>
    <x v="0"/>
  </r>
  <r>
    <d v="2024-11-17T04:41:18"/>
    <s v="Truck_8"/>
    <n v="41.43"/>
    <n v="-128.1678"/>
    <n v="204"/>
    <x v="2"/>
    <n v="18.7"/>
    <n v="68.5"/>
    <s v="Heavy"/>
    <n v="27"/>
    <n v="473"/>
    <n v="2"/>
    <s v="Traffic"/>
    <n v="76.900000000000006"/>
    <n v="217"/>
    <x v="0"/>
  </r>
  <r>
    <d v="2024-06-20T11:18:46"/>
    <s v="Truck_1"/>
    <n v="-56.067399999999999"/>
    <n v="82.943100000000001"/>
    <n v="410"/>
    <x v="2"/>
    <n v="28.9"/>
    <n v="60.3"/>
    <s v="Clear"/>
    <n v="32"/>
    <n v="436"/>
    <n v="1"/>
    <s v="None"/>
    <n v="77.2"/>
    <n v="272"/>
    <x v="1"/>
  </r>
  <r>
    <d v="2024-06-29T11:16:26"/>
    <s v="Truck_7"/>
    <n v="-0.85389999999999999"/>
    <n v="-177.5496"/>
    <n v="417"/>
    <x v="0"/>
    <n v="26.9"/>
    <n v="70.8"/>
    <s v="Clear"/>
    <n v="44"/>
    <n v="103"/>
    <n v="7"/>
    <s v="Mechanical Failure"/>
    <n v="94.7"/>
    <n v="181"/>
    <x v="0"/>
  </r>
  <r>
    <d v="2024-07-05T09:14:48"/>
    <s v="Truck_6"/>
    <n v="54.597299999999997"/>
    <n v="-128.4974"/>
    <n v="324"/>
    <x v="2"/>
    <n v="20.7"/>
    <n v="72.400000000000006"/>
    <s v="Clear"/>
    <n v="12"/>
    <n v="173"/>
    <n v="7"/>
    <s v="None"/>
    <n v="95.1"/>
    <n v="243"/>
    <x v="1"/>
  </r>
  <r>
    <d v="2024-07-19T20:10:54"/>
    <s v="Truck_8"/>
    <n v="-46.145699999999998"/>
    <n v="161.02539999999999"/>
    <n v="218"/>
    <x v="0"/>
    <n v="23.8"/>
    <n v="52.3"/>
    <s v="Detour"/>
    <n v="52"/>
    <n v="389"/>
    <n v="2"/>
    <s v="Traffic"/>
    <n v="79.5"/>
    <n v="231"/>
    <x v="0"/>
  </r>
  <r>
    <d v="2024-08-27T22:26:18"/>
    <s v="Truck_5"/>
    <n v="76.839100000000002"/>
    <n v="140.30109999999999"/>
    <n v="137"/>
    <x v="0"/>
    <n v="23.6"/>
    <n v="51.7"/>
    <s v="Detour"/>
    <n v="24"/>
    <n v="124"/>
    <n v="6"/>
    <s v="Traffic"/>
    <n v="70.599999999999994"/>
    <n v="279"/>
    <x v="0"/>
  </r>
  <r>
    <d v="2024-06-17T02:43:31"/>
    <s v="Truck_4"/>
    <n v="-59.191400000000002"/>
    <n v="-125.4515"/>
    <n v="414"/>
    <x v="0"/>
    <n v="18.3"/>
    <n v="76.400000000000006"/>
    <s v="Detour"/>
    <n v="42"/>
    <n v="332"/>
    <n v="10"/>
    <s v="Traffic"/>
    <n v="66.3"/>
    <n v="249"/>
    <x v="0"/>
  </r>
  <r>
    <d v="2024-05-21T02:30:18"/>
    <s v="Truck_1"/>
    <n v="-75.617699999999999"/>
    <n v="-156.976"/>
    <n v="216"/>
    <x v="1"/>
    <n v="26.9"/>
    <n v="67.2"/>
    <s v="Detour"/>
    <n v="35"/>
    <n v="181"/>
    <n v="10"/>
    <s v="Weather"/>
    <n v="86.2"/>
    <n v="185"/>
    <x v="1"/>
  </r>
  <r>
    <d v="2024-05-08T02:13:49"/>
    <s v="Truck_8"/>
    <n v="-24.1694"/>
    <n v="30.0335"/>
    <n v="170"/>
    <x v="0"/>
    <n v="26.4"/>
    <n v="51.6"/>
    <s v="Detour"/>
    <n v="47"/>
    <n v="278"/>
    <n v="3"/>
    <s v="None"/>
    <n v="96.4"/>
    <n v="105"/>
    <x v="0"/>
  </r>
  <r>
    <d v="2024-05-02T09:49:37"/>
    <s v="Truck_2"/>
    <n v="-6.8583999999999996"/>
    <n v="150.61269999999999"/>
    <n v="154"/>
    <x v="2"/>
    <n v="28.6"/>
    <n v="66.8"/>
    <s v="Clear"/>
    <n v="18"/>
    <n v="384"/>
    <n v="9"/>
    <s v="Weather"/>
    <n v="60.4"/>
    <n v="263"/>
    <x v="1"/>
  </r>
  <r>
    <d v="2024-01-25T20:15:13"/>
    <s v="Truck_2"/>
    <n v="-32.214599999999997"/>
    <n v="166.79409999999999"/>
    <n v="213"/>
    <x v="2"/>
    <n v="25"/>
    <n v="72.7"/>
    <s v="Detour"/>
    <n v="51"/>
    <n v="353"/>
    <n v="8"/>
    <s v="None"/>
    <n v="82.6"/>
    <n v="227"/>
    <x v="1"/>
  </r>
  <r>
    <d v="2024-01-07T12:49:12"/>
    <s v="Truck_4"/>
    <n v="-46.305100000000003"/>
    <n v="-93.1541"/>
    <n v="276"/>
    <x v="2"/>
    <n v="24.9"/>
    <n v="77"/>
    <s v="Detour"/>
    <n v="60"/>
    <n v="467"/>
    <n v="4"/>
    <s v="Weather"/>
    <n v="84.6"/>
    <n v="292"/>
    <x v="1"/>
  </r>
  <r>
    <d v="2024-03-08T10:09:37"/>
    <s v="Truck_10"/>
    <n v="-85.085899999999995"/>
    <n v="41.137999999999998"/>
    <n v="382"/>
    <x v="1"/>
    <n v="22"/>
    <n v="77.8"/>
    <s v="Clear"/>
    <n v="47"/>
    <n v="448"/>
    <n v="5"/>
    <s v="Weather"/>
    <n v="81.400000000000006"/>
    <n v="246"/>
    <x v="1"/>
  </r>
  <r>
    <d v="2024-12-22T15:01:19"/>
    <s v="Truck_8"/>
    <n v="89.1858"/>
    <n v="-159.32419999999999"/>
    <n v="383"/>
    <x v="1"/>
    <n v="19.100000000000001"/>
    <n v="69"/>
    <s v="Detour"/>
    <n v="16"/>
    <n v="238"/>
    <n v="3"/>
    <s v="Weather"/>
    <n v="90.7"/>
    <n v="290"/>
    <x v="1"/>
  </r>
  <r>
    <d v="2024-01-21T13:17:03"/>
    <s v="Truck_1"/>
    <n v="1.429"/>
    <n v="-119.0925"/>
    <n v="334"/>
    <x v="0"/>
    <n v="26.6"/>
    <n v="74.099999999999994"/>
    <s v="Detour"/>
    <n v="10"/>
    <n v="317"/>
    <n v="3"/>
    <s v="Traffic"/>
    <n v="73"/>
    <n v="184"/>
    <x v="0"/>
  </r>
  <r>
    <d v="2024-06-25T02:35:14"/>
    <s v="Truck_9"/>
    <n v="78.325199999999995"/>
    <n v="15.2758"/>
    <n v="421"/>
    <x v="0"/>
    <n v="26.3"/>
    <n v="68.8"/>
    <s v="Heavy"/>
    <n v="53"/>
    <n v="128"/>
    <n v="6"/>
    <s v="None"/>
    <n v="76.599999999999994"/>
    <n v="100"/>
    <x v="0"/>
  </r>
  <r>
    <d v="2024-05-27T05:13:33"/>
    <s v="Truck_2"/>
    <n v="-9.2286999999999999"/>
    <n v="107.9306"/>
    <n v="329"/>
    <x v="2"/>
    <n v="25"/>
    <n v="51.2"/>
    <s v="Detour"/>
    <n v="53"/>
    <n v="233"/>
    <n v="5"/>
    <s v="Mechanical Failure"/>
    <n v="67.2"/>
    <n v="188"/>
    <x v="1"/>
  </r>
  <r>
    <d v="2024-01-27T01:05:38"/>
    <s v="Truck_10"/>
    <n v="71.432699999999997"/>
    <n v="127.3664"/>
    <n v="284"/>
    <x v="1"/>
    <n v="22.1"/>
    <n v="77.2"/>
    <s v="Heavy"/>
    <n v="16"/>
    <n v="226"/>
    <n v="4"/>
    <s v="None"/>
    <n v="95.8"/>
    <n v="206"/>
    <x v="0"/>
  </r>
  <r>
    <d v="2024-01-21T03:11:55"/>
    <s v="Truck_2"/>
    <n v="-84.004900000000006"/>
    <n v="111.8327"/>
    <n v="184"/>
    <x v="0"/>
    <n v="19.2"/>
    <n v="59.8"/>
    <s v="Heavy"/>
    <n v="23"/>
    <n v="126"/>
    <n v="4"/>
    <s v="Mechanical Failure"/>
    <n v="90.4"/>
    <n v="200"/>
    <x v="0"/>
  </r>
  <r>
    <d v="2024-08-03T13:26:27"/>
    <s v="Truck_5"/>
    <n v="7.0778999999999996"/>
    <n v="-165.136"/>
    <n v="403"/>
    <x v="2"/>
    <n v="20.6"/>
    <n v="66.099999999999994"/>
    <s v="Clear"/>
    <n v="15"/>
    <n v="461"/>
    <n v="4"/>
    <s v="None"/>
    <n v="77.099999999999994"/>
    <n v="263"/>
    <x v="1"/>
  </r>
  <r>
    <d v="2024-06-05T18:09:34"/>
    <s v="Truck_6"/>
    <n v="-86.085800000000006"/>
    <n v="117.86969999999999"/>
    <n v="100"/>
    <x v="1"/>
    <n v="22.3"/>
    <n v="72.3"/>
    <s v="Detour"/>
    <n v="43"/>
    <n v="256"/>
    <n v="5"/>
    <s v="None"/>
    <n v="92.8"/>
    <n v="101"/>
    <x v="1"/>
  </r>
  <r>
    <d v="2024-10-27T12:09:17"/>
    <s v="Truck_3"/>
    <n v="59.243200000000002"/>
    <n v="175.9873"/>
    <n v="135"/>
    <x v="0"/>
    <n v="18.899999999999999"/>
    <n v="55.5"/>
    <s v="Heavy"/>
    <n v="57"/>
    <n v="162"/>
    <n v="9"/>
    <s v="None"/>
    <n v="75.3"/>
    <n v="127"/>
    <x v="0"/>
  </r>
  <r>
    <d v="2024-10-22T14:28:47"/>
    <s v="Truck_1"/>
    <n v="-39.3003"/>
    <n v="-121.6771"/>
    <n v="220"/>
    <x v="1"/>
    <n v="25"/>
    <n v="79"/>
    <s v="Heavy"/>
    <n v="51"/>
    <n v="481"/>
    <n v="2"/>
    <s v="Weather"/>
    <n v="64.3"/>
    <n v="268"/>
    <x v="0"/>
  </r>
  <r>
    <d v="2024-09-03T09:41:58"/>
    <s v="Truck_8"/>
    <n v="-83.671999999999997"/>
    <n v="164.25219999999999"/>
    <n v="318"/>
    <x v="1"/>
    <n v="29.8"/>
    <n v="51.4"/>
    <s v="Clear"/>
    <n v="24"/>
    <n v="216"/>
    <n v="3"/>
    <s v="Weather"/>
    <n v="83.8"/>
    <n v="221"/>
    <x v="1"/>
  </r>
  <r>
    <d v="2024-01-03T11:20:33"/>
    <s v="Truck_7"/>
    <n v="5.9541000000000004"/>
    <n v="-156.4873"/>
    <n v="237"/>
    <x v="2"/>
    <n v="29.2"/>
    <n v="56.2"/>
    <s v="Detour"/>
    <n v="15"/>
    <n v="251"/>
    <n v="3"/>
    <s v="Weather"/>
    <n v="76.3"/>
    <n v="198"/>
    <x v="1"/>
  </r>
  <r>
    <d v="2024-06-11T23:38:53"/>
    <s v="Truck_2"/>
    <n v="-16.380400000000002"/>
    <n v="-119.05459999999999"/>
    <n v="459"/>
    <x v="1"/>
    <n v="27.2"/>
    <n v="78.5"/>
    <s v="Heavy"/>
    <n v="22"/>
    <n v="323"/>
    <n v="7"/>
    <s v="None"/>
    <n v="87.3"/>
    <n v="271"/>
    <x v="0"/>
  </r>
  <r>
    <d v="2024-01-04T23:32:40"/>
    <s v="Truck_6"/>
    <n v="-27.491299999999999"/>
    <n v="-1.8571"/>
    <n v="332"/>
    <x v="1"/>
    <n v="21.7"/>
    <n v="58.9"/>
    <s v="Heavy"/>
    <n v="33"/>
    <n v="363"/>
    <n v="6"/>
    <s v="Weather"/>
    <n v="90.1"/>
    <n v="131"/>
    <x v="0"/>
  </r>
  <r>
    <d v="2024-08-02T06:58:21"/>
    <s v="Truck_8"/>
    <n v="67.700199999999995"/>
    <n v="43.853000000000002"/>
    <n v="133"/>
    <x v="1"/>
    <n v="28.7"/>
    <n v="69.5"/>
    <s v="Detour"/>
    <n v="57"/>
    <n v="342"/>
    <n v="6"/>
    <s v="Traffic"/>
    <n v="99.9"/>
    <n v="261"/>
    <x v="1"/>
  </r>
  <r>
    <d v="2024-08-29T02:07:16"/>
    <s v="Truck_8"/>
    <n v="30.5045"/>
    <n v="52.255899999999997"/>
    <n v="499"/>
    <x v="0"/>
    <n v="18.3"/>
    <n v="75.099999999999994"/>
    <s v="Clear"/>
    <n v="22"/>
    <n v="251"/>
    <n v="1"/>
    <s v="Mechanical Failure"/>
    <n v="79.2"/>
    <n v="139"/>
    <x v="0"/>
  </r>
  <r>
    <d v="2024-02-22T18:02:00"/>
    <s v="Truck_10"/>
    <n v="4.8619000000000003"/>
    <n v="61.422400000000003"/>
    <n v="350"/>
    <x v="2"/>
    <n v="25.3"/>
    <n v="71.2"/>
    <s v="Detour"/>
    <n v="19"/>
    <n v="177"/>
    <n v="1"/>
    <s v="None"/>
    <n v="67"/>
    <n v="209"/>
    <x v="1"/>
  </r>
  <r>
    <d v="2024-06-21T20:31:34"/>
    <s v="Truck_7"/>
    <n v="84.087199999999996"/>
    <n v="85.238299999999995"/>
    <n v="186"/>
    <x v="0"/>
    <n v="24.1"/>
    <n v="72"/>
    <s v="Detour"/>
    <n v="26"/>
    <n v="131"/>
    <n v="4"/>
    <s v="None"/>
    <n v="68.2"/>
    <n v="189"/>
    <x v="0"/>
  </r>
  <r>
    <d v="2024-01-27T15:36:15"/>
    <s v="Truck_8"/>
    <n v="11.5213"/>
    <n v="-168.47409999999999"/>
    <n v="403"/>
    <x v="2"/>
    <n v="23.1"/>
    <n v="69.3"/>
    <s v="Detour"/>
    <n v="24"/>
    <n v="487"/>
    <n v="10"/>
    <s v="Mechanical Failure"/>
    <n v="69.599999999999994"/>
    <n v="104"/>
    <x v="1"/>
  </r>
  <r>
    <d v="2024-06-17T12:40:13"/>
    <s v="Truck_6"/>
    <n v="63.770099999999999"/>
    <n v="163.26509999999999"/>
    <n v="193"/>
    <x v="0"/>
    <n v="22.1"/>
    <n v="68.2"/>
    <s v="Heavy"/>
    <n v="29"/>
    <n v="231"/>
    <n v="3"/>
    <s v="Weather"/>
    <n v="69.7"/>
    <n v="198"/>
    <x v="0"/>
  </r>
  <r>
    <d v="2024-03-31T14:30:18"/>
    <s v="Truck_2"/>
    <n v="57.575699999999998"/>
    <n v="-35.043900000000001"/>
    <n v="254"/>
    <x v="2"/>
    <n v="24"/>
    <n v="78.599999999999994"/>
    <s v="Heavy"/>
    <n v="24"/>
    <n v="108"/>
    <n v="3"/>
    <s v="Weather"/>
    <n v="66.599999999999994"/>
    <n v="219"/>
    <x v="0"/>
  </r>
  <r>
    <d v="2024-03-23T08:10:19"/>
    <s v="Truck_9"/>
    <n v="-66.600899999999996"/>
    <n v="-11.7155"/>
    <n v="368"/>
    <x v="2"/>
    <n v="26.1"/>
    <n v="71"/>
    <s v="Clear"/>
    <n v="58"/>
    <n v="336"/>
    <n v="2"/>
    <s v="Mechanical Failure"/>
    <n v="86.5"/>
    <n v="259"/>
    <x v="1"/>
  </r>
  <r>
    <d v="2024-10-02T15:12:00"/>
    <s v="Truck_6"/>
    <n v="18.754999999999999"/>
    <n v="-46.887099999999997"/>
    <n v="283"/>
    <x v="0"/>
    <n v="28.5"/>
    <n v="50.7"/>
    <s v="Detour"/>
    <n v="11"/>
    <n v="495"/>
    <n v="10"/>
    <s v="Weather"/>
    <n v="88.1"/>
    <n v="200"/>
    <x v="0"/>
  </r>
  <r>
    <d v="2024-07-28T18:36:05"/>
    <s v="Truck_10"/>
    <n v="50.357399999999998"/>
    <n v="128.56180000000001"/>
    <n v="164"/>
    <x v="2"/>
    <n v="25.5"/>
    <n v="67.599999999999994"/>
    <s v="Heavy"/>
    <n v="20"/>
    <n v="188"/>
    <n v="7"/>
    <s v="Mechanical Failure"/>
    <n v="60.1"/>
    <n v="268"/>
    <x v="0"/>
  </r>
  <r>
    <d v="2024-01-11T15:19:53"/>
    <s v="Truck_5"/>
    <n v="46.9009"/>
    <n v="3.7490000000000001"/>
    <n v="419"/>
    <x v="2"/>
    <n v="22.1"/>
    <n v="74.7"/>
    <s v="Detour"/>
    <n v="31"/>
    <n v="236"/>
    <n v="10"/>
    <s v="Traffic"/>
    <n v="95.9"/>
    <n v="182"/>
    <x v="1"/>
  </r>
  <r>
    <d v="2024-12-28T18:53:31"/>
    <s v="Truck_9"/>
    <n v="17.5319"/>
    <n v="-65.076499999999996"/>
    <n v="489"/>
    <x v="2"/>
    <n v="25"/>
    <n v="69.400000000000006"/>
    <s v="Clear"/>
    <n v="30"/>
    <n v="345"/>
    <n v="8"/>
    <s v="None"/>
    <n v="66.099999999999994"/>
    <n v="128"/>
    <x v="1"/>
  </r>
  <r>
    <d v="2024-09-07T12:50:16"/>
    <s v="Truck_2"/>
    <n v="4.8304999999999998"/>
    <n v="-6.5757000000000003"/>
    <n v="498"/>
    <x v="0"/>
    <n v="20.2"/>
    <n v="55"/>
    <s v="Clear"/>
    <n v="51"/>
    <n v="147"/>
    <n v="8"/>
    <s v="Weather"/>
    <n v="97.7"/>
    <n v="247"/>
    <x v="0"/>
  </r>
  <r>
    <d v="2024-12-09T11:15:02"/>
    <s v="Truck_10"/>
    <n v="38.8917"/>
    <n v="-38.803199999999997"/>
    <n v="244"/>
    <x v="0"/>
    <n v="21.2"/>
    <n v="61.8"/>
    <s v="Detour"/>
    <n v="24"/>
    <n v="181"/>
    <n v="2"/>
    <s v="Traffic"/>
    <n v="70.099999999999994"/>
    <n v="238"/>
    <x v="0"/>
  </r>
  <r>
    <d v="2024-10-05T18:34:00"/>
    <s v="Truck_4"/>
    <n v="-20.048200000000001"/>
    <n v="-83.691500000000005"/>
    <n v="488"/>
    <x v="2"/>
    <n v="21.5"/>
    <n v="50.3"/>
    <s v="Heavy"/>
    <n v="32"/>
    <n v="120"/>
    <n v="1"/>
    <s v="Mechanical Failure"/>
    <n v="79.099999999999994"/>
    <n v="111"/>
    <x v="0"/>
  </r>
  <r>
    <d v="2024-04-22T10:55:19"/>
    <s v="Truck_9"/>
    <n v="-83.253399999999999"/>
    <n v="-166.33090000000001"/>
    <n v="152"/>
    <x v="0"/>
    <n v="21.2"/>
    <n v="70.3"/>
    <s v="Clear"/>
    <n v="10"/>
    <n v="467"/>
    <n v="10"/>
    <s v="None"/>
    <n v="61.5"/>
    <n v="269"/>
    <x v="0"/>
  </r>
  <r>
    <d v="2024-02-27T21:45:48"/>
    <s v="Truck_10"/>
    <n v="-4.8643000000000001"/>
    <n v="75.430400000000006"/>
    <n v="168"/>
    <x v="0"/>
    <n v="23.2"/>
    <n v="71.5"/>
    <s v="Clear"/>
    <n v="23"/>
    <n v="292"/>
    <n v="3"/>
    <s v="Traffic"/>
    <n v="98.8"/>
    <n v="102"/>
    <x v="0"/>
  </r>
  <r>
    <d v="2024-05-23T22:03:43"/>
    <s v="Truck_5"/>
    <n v="46.7637"/>
    <n v="-146.4348"/>
    <n v="268"/>
    <x v="2"/>
    <n v="23.9"/>
    <n v="79.2"/>
    <s v="Clear"/>
    <n v="41"/>
    <n v="295"/>
    <n v="9"/>
    <s v="Mechanical Failure"/>
    <n v="69.5"/>
    <n v="146"/>
    <x v="1"/>
  </r>
  <r>
    <d v="2024-01-02T22:19:42"/>
    <s v="Truck_7"/>
    <n v="-68.390900000000002"/>
    <n v="-122.557"/>
    <n v="341"/>
    <x v="1"/>
    <n v="21.3"/>
    <n v="76.2"/>
    <s v="Heavy"/>
    <n v="58"/>
    <n v="429"/>
    <n v="3"/>
    <s v="None"/>
    <n v="78.599999999999994"/>
    <n v="178"/>
    <x v="0"/>
  </r>
  <r>
    <d v="2024-09-29T06:31:55"/>
    <s v="Truck_7"/>
    <n v="62.345700000000001"/>
    <n v="-54.203299999999999"/>
    <n v="166"/>
    <x v="2"/>
    <n v="28.9"/>
    <n v="50.6"/>
    <s v="Heavy"/>
    <n v="58"/>
    <n v="197"/>
    <n v="3"/>
    <s v="Traffic"/>
    <n v="88.8"/>
    <n v="282"/>
    <x v="0"/>
  </r>
  <r>
    <d v="2024-12-18T08:33:58"/>
    <s v="Truck_7"/>
    <n v="72.8857"/>
    <n v="135.9494"/>
    <n v="483"/>
    <x v="0"/>
    <n v="21.4"/>
    <n v="51.2"/>
    <s v="Heavy"/>
    <n v="33"/>
    <n v="249"/>
    <n v="2"/>
    <s v="None"/>
    <n v="67.599999999999994"/>
    <n v="165"/>
    <x v="0"/>
  </r>
  <r>
    <d v="2024-08-11T10:28:58"/>
    <s v="Truck_10"/>
    <n v="2.2782"/>
    <n v="-158.46279999999999"/>
    <n v="232"/>
    <x v="2"/>
    <n v="22.3"/>
    <n v="73.3"/>
    <s v="Heavy"/>
    <n v="19"/>
    <n v="332"/>
    <n v="4"/>
    <s v="None"/>
    <n v="78.599999999999994"/>
    <n v="135"/>
    <x v="0"/>
  </r>
  <r>
    <d v="2024-03-24T22:56:32"/>
    <s v="Truck_3"/>
    <n v="11.768599999999999"/>
    <n v="154.60429999999999"/>
    <n v="392"/>
    <x v="1"/>
    <n v="20.7"/>
    <n v="62.8"/>
    <s v="Detour"/>
    <n v="12"/>
    <n v="417"/>
    <n v="2"/>
    <s v="Weather"/>
    <n v="69.3"/>
    <n v="109"/>
    <x v="1"/>
  </r>
  <r>
    <d v="2024-06-02T00:24:04"/>
    <s v="Truck_8"/>
    <n v="-75.597999999999999"/>
    <n v="11.134"/>
    <n v="480"/>
    <x v="1"/>
    <n v="24.9"/>
    <n v="77.8"/>
    <s v="Heavy"/>
    <n v="53"/>
    <n v="318"/>
    <n v="3"/>
    <s v="Mechanical Failure"/>
    <n v="69.5"/>
    <n v="181"/>
    <x v="0"/>
  </r>
  <r>
    <d v="2024-02-02T03:46:54"/>
    <s v="Truck_3"/>
    <n v="23.293099999999999"/>
    <n v="106.02670000000001"/>
    <n v="368"/>
    <x v="2"/>
    <n v="28"/>
    <n v="53.4"/>
    <s v="Detour"/>
    <n v="42"/>
    <n v="182"/>
    <n v="5"/>
    <s v="None"/>
    <n v="77.5"/>
    <n v="205"/>
    <x v="1"/>
  </r>
  <r>
    <d v="2024-10-02T12:56:46"/>
    <s v="Truck_6"/>
    <n v="-11.311400000000001"/>
    <n v="-139.81100000000001"/>
    <n v="373"/>
    <x v="1"/>
    <n v="25"/>
    <n v="62.4"/>
    <s v="Clear"/>
    <n v="20"/>
    <n v="125"/>
    <n v="1"/>
    <s v="Mechanical Failure"/>
    <n v="91.2"/>
    <n v="160"/>
    <x v="1"/>
  </r>
  <r>
    <d v="2024-09-25T12:20:07"/>
    <s v="Truck_2"/>
    <n v="9.6491000000000007"/>
    <n v="47.349899999999998"/>
    <n v="154"/>
    <x v="2"/>
    <n v="22"/>
    <n v="53.3"/>
    <s v="Heavy"/>
    <n v="50"/>
    <n v="208"/>
    <n v="4"/>
    <s v="None"/>
    <n v="85"/>
    <n v="231"/>
    <x v="0"/>
  </r>
  <r>
    <d v="2024-02-24T08:11:09"/>
    <s v="Truck_3"/>
    <n v="10.9354"/>
    <n v="-27.3551"/>
    <n v="184"/>
    <x v="2"/>
    <n v="19.2"/>
    <n v="55.3"/>
    <s v="Heavy"/>
    <n v="14"/>
    <n v="450"/>
    <n v="3"/>
    <s v="None"/>
    <n v="86.7"/>
    <n v="247"/>
    <x v="0"/>
  </r>
  <r>
    <d v="2024-10-28T10:00:20"/>
    <s v="Truck_9"/>
    <n v="84.9482"/>
    <n v="59.531399999999998"/>
    <n v="204"/>
    <x v="2"/>
    <n v="21.4"/>
    <n v="61.5"/>
    <s v="Clear"/>
    <n v="51"/>
    <n v="490"/>
    <n v="5"/>
    <s v="Mechanical Failure"/>
    <n v="68"/>
    <n v="288"/>
    <x v="1"/>
  </r>
  <r>
    <d v="2024-05-31T23:20:31"/>
    <s v="Truck_2"/>
    <n v="49.721200000000003"/>
    <n v="179.20249999999999"/>
    <n v="227"/>
    <x v="2"/>
    <n v="26.1"/>
    <n v="65.7"/>
    <s v="Detour"/>
    <n v="47"/>
    <n v="247"/>
    <n v="8"/>
    <s v="Traffic"/>
    <n v="77.8"/>
    <n v="135"/>
    <x v="1"/>
  </r>
  <r>
    <d v="2024-01-22T00:34:19"/>
    <s v="Truck_5"/>
    <n v="-28.896799999999999"/>
    <n v="-117.94710000000001"/>
    <n v="405"/>
    <x v="1"/>
    <n v="28"/>
    <n v="67.7"/>
    <s v="Clear"/>
    <n v="48"/>
    <n v="348"/>
    <n v="3"/>
    <s v="Mechanical Failure"/>
    <n v="78.3"/>
    <n v="213"/>
    <x v="1"/>
  </r>
  <r>
    <d v="2024-12-19T11:06:09"/>
    <s v="Truck_7"/>
    <n v="-55.5154"/>
    <n v="-163.6943"/>
    <n v="392"/>
    <x v="2"/>
    <n v="27.4"/>
    <n v="69"/>
    <s v="Detour"/>
    <n v="31"/>
    <n v="347"/>
    <n v="9"/>
    <s v="Weather"/>
    <n v="98"/>
    <n v="133"/>
    <x v="1"/>
  </r>
  <r>
    <d v="2024-01-05T22:46:26"/>
    <s v="Truck_3"/>
    <n v="16.7636"/>
    <n v="29.278300000000002"/>
    <n v="429"/>
    <x v="1"/>
    <n v="27.7"/>
    <n v="75"/>
    <s v="Heavy"/>
    <n v="12"/>
    <n v="446"/>
    <n v="4"/>
    <s v="None"/>
    <n v="65.7"/>
    <n v="203"/>
    <x v="0"/>
  </r>
  <r>
    <d v="2024-06-26T08:09:13"/>
    <s v="Truck_7"/>
    <n v="-76.307000000000002"/>
    <n v="5.0297999999999998"/>
    <n v="488"/>
    <x v="2"/>
    <n v="25.2"/>
    <n v="63.9"/>
    <s v="Heavy"/>
    <n v="19"/>
    <n v="219"/>
    <n v="4"/>
    <s v="Weather"/>
    <n v="100"/>
    <n v="184"/>
    <x v="0"/>
  </r>
  <r>
    <d v="2024-07-31T02:07:09"/>
    <s v="Truck_6"/>
    <n v="-22.4693"/>
    <n v="149.96340000000001"/>
    <n v="444"/>
    <x v="0"/>
    <n v="29.8"/>
    <n v="67.5"/>
    <s v="Clear"/>
    <n v="41"/>
    <n v="125"/>
    <n v="5"/>
    <s v="Weather"/>
    <n v="63.3"/>
    <n v="152"/>
    <x v="0"/>
  </r>
  <r>
    <d v="2024-11-27T04:21:18"/>
    <s v="Truck_1"/>
    <n v="71.885900000000007"/>
    <n v="93.446399999999997"/>
    <n v="420"/>
    <x v="0"/>
    <n v="18.399999999999999"/>
    <n v="68.5"/>
    <s v="Heavy"/>
    <n v="50"/>
    <n v="340"/>
    <n v="10"/>
    <s v="Weather"/>
    <n v="76.8"/>
    <n v="212"/>
    <x v="0"/>
  </r>
  <r>
    <d v="2024-06-06T04:02:08"/>
    <s v="Truck_1"/>
    <n v="-9.7179000000000002"/>
    <n v="-117.0145"/>
    <n v="391"/>
    <x v="1"/>
    <n v="25.5"/>
    <n v="73.7"/>
    <s v="Detour"/>
    <n v="31"/>
    <n v="472"/>
    <n v="10"/>
    <s v="Weather"/>
    <n v="77.2"/>
    <n v="109"/>
    <x v="1"/>
  </r>
  <r>
    <d v="2024-05-16T20:34:06"/>
    <s v="Truck_9"/>
    <n v="-12.2288"/>
    <n v="-74.780100000000004"/>
    <n v="212"/>
    <x v="2"/>
    <n v="20.6"/>
    <n v="50.5"/>
    <s v="Clear"/>
    <n v="41"/>
    <n v="498"/>
    <n v="5"/>
    <s v="Mechanical Failure"/>
    <n v="94.1"/>
    <n v="162"/>
    <x v="1"/>
  </r>
  <r>
    <d v="2024-07-14T21:14:08"/>
    <s v="Truck_4"/>
    <n v="5.4618000000000002"/>
    <n v="-179.8202"/>
    <n v="157"/>
    <x v="2"/>
    <n v="20.9"/>
    <n v="77.099999999999994"/>
    <s v="Clear"/>
    <n v="26"/>
    <n v="499"/>
    <n v="4"/>
    <s v="Traffic"/>
    <n v="91.4"/>
    <n v="214"/>
    <x v="1"/>
  </r>
  <r>
    <d v="2024-11-22T11:31:54"/>
    <s v="Truck_8"/>
    <n v="-54.831699999999998"/>
    <n v="66.470600000000005"/>
    <n v="399"/>
    <x v="2"/>
    <n v="26.3"/>
    <n v="79.400000000000006"/>
    <s v="Detour"/>
    <n v="25"/>
    <n v="476"/>
    <n v="4"/>
    <s v="Mechanical Failure"/>
    <n v="95.6"/>
    <n v="256"/>
    <x v="1"/>
  </r>
  <r>
    <d v="2024-11-01T21:31:14"/>
    <s v="Truck_2"/>
    <n v="-80.052199999999999"/>
    <n v="-102.2508"/>
    <n v="103"/>
    <x v="2"/>
    <n v="27.9"/>
    <n v="53.1"/>
    <s v="Detour"/>
    <n v="52"/>
    <n v="386"/>
    <n v="1"/>
    <s v="None"/>
    <n v="97.7"/>
    <n v="141"/>
    <x v="1"/>
  </r>
  <r>
    <d v="2024-10-27T15:39:37"/>
    <s v="Truck_9"/>
    <n v="-13.0527"/>
    <n v="-122.0924"/>
    <n v="333"/>
    <x v="0"/>
    <n v="22.1"/>
    <n v="65"/>
    <s v="Detour"/>
    <n v="22"/>
    <n v="243"/>
    <n v="5"/>
    <s v="Mechanical Failure"/>
    <n v="83.2"/>
    <n v="176"/>
    <x v="0"/>
  </r>
  <r>
    <d v="2024-02-14T12:20:37"/>
    <s v="Truck_6"/>
    <n v="6.3666"/>
    <n v="136.07939999999999"/>
    <n v="234"/>
    <x v="2"/>
    <n v="27.3"/>
    <n v="70.099999999999994"/>
    <s v="Detour"/>
    <n v="45"/>
    <n v="416"/>
    <n v="8"/>
    <s v="None"/>
    <n v="86.9"/>
    <n v="165"/>
    <x v="1"/>
  </r>
  <r>
    <d v="2024-05-02T11:14:44"/>
    <s v="Truck_9"/>
    <n v="83.124300000000005"/>
    <n v="48.432499999999997"/>
    <n v="146"/>
    <x v="0"/>
    <n v="29"/>
    <n v="55.5"/>
    <s v="Detour"/>
    <n v="52"/>
    <n v="414"/>
    <n v="10"/>
    <s v="Mechanical Failure"/>
    <n v="82.3"/>
    <n v="228"/>
    <x v="0"/>
  </r>
  <r>
    <d v="2024-09-02T05:03:25"/>
    <s v="Truck_7"/>
    <n v="51.189799999999998"/>
    <n v="25.596399999999999"/>
    <n v="109"/>
    <x v="0"/>
    <n v="20.7"/>
    <n v="60.9"/>
    <s v="Heavy"/>
    <n v="39"/>
    <n v="147"/>
    <n v="9"/>
    <s v="Traffic"/>
    <n v="75"/>
    <n v="116"/>
    <x v="0"/>
  </r>
  <r>
    <d v="2024-12-08T04:35:38"/>
    <s v="Truck_8"/>
    <n v="-76.398700000000005"/>
    <n v="-68.1922"/>
    <n v="357"/>
    <x v="0"/>
    <n v="24.6"/>
    <n v="73.5"/>
    <s v="Clear"/>
    <n v="48"/>
    <n v="266"/>
    <n v="10"/>
    <s v="Traffic"/>
    <n v="74.400000000000006"/>
    <n v="226"/>
    <x v="0"/>
  </r>
  <r>
    <d v="2024-01-23T05:35:54"/>
    <s v="Truck_9"/>
    <n v="70.554100000000005"/>
    <n v="-150.1626"/>
    <n v="356"/>
    <x v="2"/>
    <n v="19.5"/>
    <n v="63.1"/>
    <s v="Clear"/>
    <n v="16"/>
    <n v="118"/>
    <n v="3"/>
    <s v="None"/>
    <n v="77.8"/>
    <n v="230"/>
    <x v="1"/>
  </r>
  <r>
    <d v="2024-01-25T11:27:54"/>
    <s v="Truck_2"/>
    <n v="-38.218499999999999"/>
    <n v="104.16670000000001"/>
    <n v="349"/>
    <x v="2"/>
    <n v="19.399999999999999"/>
    <n v="62.7"/>
    <s v="Detour"/>
    <n v="19"/>
    <n v="296"/>
    <n v="3"/>
    <s v="None"/>
    <n v="72.3"/>
    <n v="177"/>
    <x v="1"/>
  </r>
  <r>
    <d v="2024-11-08T13:31:56"/>
    <s v="Truck_1"/>
    <n v="39.141100000000002"/>
    <n v="138.17859999999999"/>
    <n v="159"/>
    <x v="2"/>
    <n v="27.1"/>
    <n v="77.5"/>
    <s v="Heavy"/>
    <n v="33"/>
    <n v="429"/>
    <n v="9"/>
    <s v="None"/>
    <n v="77.900000000000006"/>
    <n v="200"/>
    <x v="0"/>
  </r>
  <r>
    <d v="2024-05-30T01:04:50"/>
    <s v="Truck_4"/>
    <n v="-68.800600000000003"/>
    <n v="159.00399999999999"/>
    <n v="148"/>
    <x v="2"/>
    <n v="25"/>
    <n v="60.7"/>
    <s v="Clear"/>
    <n v="43"/>
    <n v="196"/>
    <n v="4"/>
    <s v="Mechanical Failure"/>
    <n v="64.599999999999994"/>
    <n v="240"/>
    <x v="1"/>
  </r>
  <r>
    <d v="2024-05-30T11:30:34"/>
    <s v="Truck_3"/>
    <n v="51.159799999999997"/>
    <n v="-170.93109999999999"/>
    <n v="354"/>
    <x v="2"/>
    <n v="26.9"/>
    <n v="65.5"/>
    <s v="Heavy"/>
    <n v="14"/>
    <n v="245"/>
    <n v="4"/>
    <s v="None"/>
    <n v="73.400000000000006"/>
    <n v="151"/>
    <x v="0"/>
  </r>
  <r>
    <d v="2024-03-02T23:49:21"/>
    <s v="Truck_8"/>
    <n v="-29.5867"/>
    <n v="41.061199999999999"/>
    <n v="214"/>
    <x v="2"/>
    <n v="21.5"/>
    <n v="69.099999999999994"/>
    <s v="Heavy"/>
    <n v="49"/>
    <n v="417"/>
    <n v="10"/>
    <s v="Traffic"/>
    <n v="76.7"/>
    <n v="249"/>
    <x v="0"/>
  </r>
  <r>
    <d v="2024-08-29T11:52:35"/>
    <s v="Truck_8"/>
    <n v="-51.341200000000001"/>
    <n v="-112.1636"/>
    <n v="307"/>
    <x v="0"/>
    <n v="21"/>
    <n v="52.8"/>
    <s v="Clear"/>
    <n v="21"/>
    <n v="475"/>
    <n v="4"/>
    <s v="None"/>
    <n v="82.8"/>
    <n v="107"/>
    <x v="0"/>
  </r>
  <r>
    <d v="2024-05-26T01:53:03"/>
    <s v="Truck_1"/>
    <n v="-49.505699999999997"/>
    <n v="174.35329999999999"/>
    <n v="385"/>
    <x v="1"/>
    <n v="24.3"/>
    <n v="59.4"/>
    <s v="Clear"/>
    <n v="37"/>
    <n v="239"/>
    <n v="3"/>
    <s v="None"/>
    <n v="88.3"/>
    <n v="148"/>
    <x v="1"/>
  </r>
  <r>
    <d v="2024-07-24T01:20:43"/>
    <s v="Truck_8"/>
    <n v="0.75770000000000004"/>
    <n v="120.0181"/>
    <n v="490"/>
    <x v="0"/>
    <n v="24"/>
    <n v="56.1"/>
    <s v="Heavy"/>
    <n v="29"/>
    <n v="463"/>
    <n v="6"/>
    <s v="Mechanical Failure"/>
    <n v="81.099999999999994"/>
    <n v="134"/>
    <x v="0"/>
  </r>
  <r>
    <d v="2024-12-24T10:20:56"/>
    <s v="Truck_4"/>
    <n v="-2.2911000000000001"/>
    <n v="64.273099999999999"/>
    <n v="133"/>
    <x v="0"/>
    <n v="19.399999999999999"/>
    <n v="76"/>
    <s v="Detour"/>
    <n v="36"/>
    <n v="182"/>
    <n v="3"/>
    <s v="None"/>
    <n v="70.5"/>
    <n v="249"/>
    <x v="0"/>
  </r>
  <r>
    <d v="2024-02-11T14:40:04"/>
    <s v="Truck_2"/>
    <n v="78.432400000000001"/>
    <n v="125.0181"/>
    <n v="472"/>
    <x v="2"/>
    <n v="24.9"/>
    <n v="63.2"/>
    <s v="Detour"/>
    <n v="36"/>
    <n v="485"/>
    <n v="9"/>
    <s v="None"/>
    <n v="78.900000000000006"/>
    <n v="271"/>
    <x v="1"/>
  </r>
  <r>
    <d v="2024-04-24T00:54:49"/>
    <s v="Truck_7"/>
    <n v="-2.8329"/>
    <n v="-29.9102"/>
    <n v="338"/>
    <x v="1"/>
    <n v="28.9"/>
    <n v="55.5"/>
    <s v="Detour"/>
    <n v="39"/>
    <n v="181"/>
    <n v="2"/>
    <s v="Mechanical Failure"/>
    <n v="88.6"/>
    <n v="143"/>
    <x v="1"/>
  </r>
  <r>
    <d v="2024-01-08T10:20:44"/>
    <s v="Truck_2"/>
    <n v="70.010300000000001"/>
    <n v="-164.19139999999999"/>
    <n v="172"/>
    <x v="2"/>
    <n v="25.5"/>
    <n v="55.7"/>
    <s v="Detour"/>
    <n v="25"/>
    <n v="259"/>
    <n v="1"/>
    <s v="Traffic"/>
    <n v="65.2"/>
    <n v="255"/>
    <x v="1"/>
  </r>
  <r>
    <d v="2024-10-25T03:01:44"/>
    <s v="Truck_2"/>
    <n v="11.4885"/>
    <n v="-172.56899999999999"/>
    <n v="187"/>
    <x v="0"/>
    <n v="24.8"/>
    <n v="52"/>
    <s v="Detour"/>
    <n v="31"/>
    <n v="231"/>
    <n v="5"/>
    <s v="Weather"/>
    <n v="91.6"/>
    <n v="234"/>
    <x v="0"/>
  </r>
  <r>
    <d v="2024-12-12T15:03:51"/>
    <s v="Truck_8"/>
    <n v="74.5261"/>
    <n v="123.6828"/>
    <n v="439"/>
    <x v="1"/>
    <n v="23.5"/>
    <n v="55.1"/>
    <s v="Detour"/>
    <n v="47"/>
    <n v="454"/>
    <n v="3"/>
    <s v="Weather"/>
    <n v="75.5"/>
    <n v="196"/>
    <x v="1"/>
  </r>
  <r>
    <d v="2024-11-30T09:16:40"/>
    <s v="Truck_7"/>
    <n v="-12.950900000000001"/>
    <n v="132.49860000000001"/>
    <n v="159"/>
    <x v="1"/>
    <n v="18.100000000000001"/>
    <n v="76"/>
    <s v="Detour"/>
    <n v="18"/>
    <n v="202"/>
    <n v="2"/>
    <s v="Weather"/>
    <n v="94.4"/>
    <n v="197"/>
    <x v="1"/>
  </r>
  <r>
    <d v="2024-05-13T09:05:25"/>
    <s v="Truck_7"/>
    <n v="81.790000000000006"/>
    <n v="-52.751600000000003"/>
    <n v="362"/>
    <x v="2"/>
    <n v="18.3"/>
    <n v="57.6"/>
    <s v="Heavy"/>
    <n v="58"/>
    <n v="437"/>
    <n v="8"/>
    <s v="Mechanical Failure"/>
    <n v="66.8"/>
    <n v="123"/>
    <x v="0"/>
  </r>
  <r>
    <d v="2024-12-16T06:06:57"/>
    <s v="Truck_4"/>
    <n v="47.717500000000001"/>
    <n v="72.531000000000006"/>
    <n v="163"/>
    <x v="2"/>
    <n v="24.6"/>
    <n v="53.2"/>
    <s v="Detour"/>
    <n v="34"/>
    <n v="473"/>
    <n v="9"/>
    <s v="Traffic"/>
    <n v="72.400000000000006"/>
    <n v="263"/>
    <x v="1"/>
  </r>
  <r>
    <d v="2024-02-14T07:54:59"/>
    <s v="Truck_7"/>
    <n v="-21.532900000000001"/>
    <n v="-145.25810000000001"/>
    <n v="258"/>
    <x v="0"/>
    <n v="19.899999999999999"/>
    <n v="51.9"/>
    <s v="Heavy"/>
    <n v="54"/>
    <n v="237"/>
    <n v="10"/>
    <s v="None"/>
    <n v="92.7"/>
    <n v="271"/>
    <x v="0"/>
  </r>
  <r>
    <d v="2024-06-25T12:15:28"/>
    <s v="Truck_9"/>
    <n v="-4.5862999999999996"/>
    <n v="71.733699999999999"/>
    <n v="319"/>
    <x v="0"/>
    <n v="18"/>
    <n v="63.6"/>
    <s v="Detour"/>
    <n v="23"/>
    <n v="473"/>
    <n v="7"/>
    <s v="Weather"/>
    <n v="83"/>
    <n v="187"/>
    <x v="0"/>
  </r>
  <r>
    <d v="2024-08-14T03:59:00"/>
    <s v="Truck_9"/>
    <n v="-26.677499999999998"/>
    <n v="-77.284700000000001"/>
    <n v="247"/>
    <x v="2"/>
    <n v="28.9"/>
    <n v="60.7"/>
    <s v="Clear"/>
    <n v="56"/>
    <n v="115"/>
    <n v="10"/>
    <s v="Mechanical Failure"/>
    <n v="61.6"/>
    <n v="270"/>
    <x v="1"/>
  </r>
  <r>
    <d v="2024-04-08T19:43:53"/>
    <s v="Truck_8"/>
    <n v="-30.695699999999999"/>
    <n v="29.254999999999999"/>
    <n v="134"/>
    <x v="1"/>
    <n v="19.899999999999999"/>
    <n v="67.5"/>
    <s v="Detour"/>
    <n v="42"/>
    <n v="421"/>
    <n v="5"/>
    <s v="Mechanical Failure"/>
    <n v="77.599999999999994"/>
    <n v="183"/>
    <x v="1"/>
  </r>
  <r>
    <d v="2024-11-07T14:21:51"/>
    <s v="Truck_4"/>
    <n v="64.521199999999993"/>
    <n v="-83.263900000000007"/>
    <n v="175"/>
    <x v="1"/>
    <n v="20.9"/>
    <n v="58.7"/>
    <s v="Detour"/>
    <n v="35"/>
    <n v="274"/>
    <n v="9"/>
    <s v="Mechanical Failure"/>
    <n v="61.1"/>
    <n v="240"/>
    <x v="1"/>
  </r>
  <r>
    <d v="2024-01-12T17:01:33"/>
    <s v="Truck_9"/>
    <n v="68.180999999999997"/>
    <n v="-84.905100000000004"/>
    <n v="179"/>
    <x v="0"/>
    <n v="24.2"/>
    <n v="50.2"/>
    <s v="Clear"/>
    <n v="31"/>
    <n v="485"/>
    <n v="10"/>
    <s v="None"/>
    <n v="75.8"/>
    <n v="255"/>
    <x v="0"/>
  </r>
  <r>
    <d v="2024-05-30T08:29:11"/>
    <s v="Truck_10"/>
    <n v="-81.211600000000004"/>
    <n v="13.9727"/>
    <n v="105"/>
    <x v="0"/>
    <n v="27.1"/>
    <n v="59.8"/>
    <s v="Clear"/>
    <n v="36"/>
    <n v="409"/>
    <n v="7"/>
    <s v="Traffic"/>
    <n v="75.7"/>
    <n v="290"/>
    <x v="0"/>
  </r>
  <r>
    <d v="2024-05-16T07:34:11"/>
    <s v="Truck_2"/>
    <n v="-21.308"/>
    <n v="-14.9017"/>
    <n v="277"/>
    <x v="1"/>
    <n v="23.5"/>
    <n v="63.9"/>
    <s v="Heavy"/>
    <n v="11"/>
    <n v="292"/>
    <n v="8"/>
    <s v="Weather"/>
    <n v="67.5"/>
    <n v="234"/>
    <x v="0"/>
  </r>
  <r>
    <d v="2024-12-08T12:26:38"/>
    <s v="Truck_5"/>
    <n v="77.2059"/>
    <n v="-132.04730000000001"/>
    <n v="427"/>
    <x v="0"/>
    <n v="26.7"/>
    <n v="63.8"/>
    <s v="Detour"/>
    <n v="54"/>
    <n v="453"/>
    <n v="6"/>
    <s v="Weather"/>
    <n v="86.7"/>
    <n v="101"/>
    <x v="0"/>
  </r>
  <r>
    <d v="2024-03-28T08:34:01"/>
    <s v="Truck_3"/>
    <n v="21.487200000000001"/>
    <n v="-123.6879"/>
    <n v="348"/>
    <x v="0"/>
    <n v="22.7"/>
    <n v="63.3"/>
    <s v="Detour"/>
    <n v="23"/>
    <n v="134"/>
    <n v="4"/>
    <s v="Mechanical Failure"/>
    <n v="99.6"/>
    <n v="251"/>
    <x v="0"/>
  </r>
  <r>
    <d v="2024-04-16T21:31:53"/>
    <s v="Truck_3"/>
    <n v="47.760300000000001"/>
    <n v="-137.0932"/>
    <n v="300"/>
    <x v="0"/>
    <n v="23.1"/>
    <n v="78.099999999999994"/>
    <s v="Detour"/>
    <n v="53"/>
    <n v="146"/>
    <n v="4"/>
    <s v="Weather"/>
    <n v="73.3"/>
    <n v="280"/>
    <x v="0"/>
  </r>
  <r>
    <d v="2024-11-20T14:44:30"/>
    <s v="Truck_1"/>
    <n v="-4.7971000000000004"/>
    <n v="56.411000000000001"/>
    <n v="457"/>
    <x v="2"/>
    <n v="27.2"/>
    <n v="69.099999999999994"/>
    <s v="Heavy"/>
    <n v="55"/>
    <n v="319"/>
    <n v="2"/>
    <s v="Traffic"/>
    <n v="67.7"/>
    <n v="132"/>
    <x v="0"/>
  </r>
  <r>
    <d v="2024-06-20T08:17:55"/>
    <s v="Truck_1"/>
    <n v="-11.1333"/>
    <n v="-40.045400000000001"/>
    <n v="316"/>
    <x v="0"/>
    <n v="26.8"/>
    <n v="53.5"/>
    <s v="Clear"/>
    <n v="35"/>
    <n v="402"/>
    <n v="10"/>
    <s v="Mechanical Failure"/>
    <n v="93.6"/>
    <n v="206"/>
    <x v="0"/>
  </r>
  <r>
    <d v="2024-08-11T15:40:34"/>
    <s v="Truck_9"/>
    <n v="15.5083"/>
    <n v="115.4388"/>
    <n v="207"/>
    <x v="1"/>
    <n v="19.2"/>
    <n v="59.7"/>
    <s v="Detour"/>
    <n v="56"/>
    <n v="484"/>
    <n v="7"/>
    <s v="Traffic"/>
    <n v="72.599999999999994"/>
    <n v="285"/>
    <x v="1"/>
  </r>
  <r>
    <d v="2024-10-30T12:44:31"/>
    <s v="Truck_10"/>
    <n v="-70.6858"/>
    <n v="54.468299999999999"/>
    <n v="333"/>
    <x v="2"/>
    <n v="27.5"/>
    <n v="55.8"/>
    <s v="Heavy"/>
    <n v="36"/>
    <n v="141"/>
    <n v="2"/>
    <s v="Traffic"/>
    <n v="67"/>
    <n v="264"/>
    <x v="0"/>
  </r>
  <r>
    <d v="2024-03-22T11:00:20"/>
    <s v="Truck_10"/>
    <n v="-18.427800000000001"/>
    <n v="101.4997"/>
    <n v="327"/>
    <x v="0"/>
    <n v="22.6"/>
    <n v="57.4"/>
    <s v="Detour"/>
    <n v="38"/>
    <n v="432"/>
    <n v="4"/>
    <s v="Traffic"/>
    <n v="68.400000000000006"/>
    <n v="171"/>
    <x v="0"/>
  </r>
  <r>
    <d v="2024-05-12T13:40:05"/>
    <s v="Truck_3"/>
    <n v="43.752299999999998"/>
    <n v="149.83340000000001"/>
    <n v="197"/>
    <x v="1"/>
    <n v="20"/>
    <n v="69.599999999999994"/>
    <s v="Detour"/>
    <n v="42"/>
    <n v="314"/>
    <n v="3"/>
    <s v="Traffic"/>
    <n v="87.2"/>
    <n v="201"/>
    <x v="1"/>
  </r>
  <r>
    <d v="2024-11-15T08:08:17"/>
    <s v="Truck_7"/>
    <n v="18.5151"/>
    <n v="24.355899999999998"/>
    <n v="356"/>
    <x v="0"/>
    <n v="23.4"/>
    <n v="72.8"/>
    <s v="Detour"/>
    <n v="39"/>
    <n v="486"/>
    <n v="9"/>
    <s v="Mechanical Failure"/>
    <n v="99.2"/>
    <n v="282"/>
    <x v="0"/>
  </r>
  <r>
    <d v="2024-10-07T06:11:39"/>
    <s v="Truck_9"/>
    <n v="84.677400000000006"/>
    <n v="61.015300000000003"/>
    <n v="359"/>
    <x v="0"/>
    <n v="29.2"/>
    <n v="54.5"/>
    <s v="Detour"/>
    <n v="50"/>
    <n v="268"/>
    <n v="1"/>
    <s v="None"/>
    <n v="67.400000000000006"/>
    <n v="249"/>
    <x v="0"/>
  </r>
  <r>
    <d v="2024-09-09T03:30:12"/>
    <s v="Truck_3"/>
    <n v="49.586399999999998"/>
    <n v="-154.42240000000001"/>
    <n v="377"/>
    <x v="2"/>
    <n v="18.100000000000001"/>
    <n v="55"/>
    <s v="Detour"/>
    <n v="59"/>
    <n v="476"/>
    <n v="6"/>
    <s v="Weather"/>
    <n v="70.2"/>
    <n v="268"/>
    <x v="1"/>
  </r>
  <r>
    <d v="2024-08-21T20:07:08"/>
    <s v="Truck_6"/>
    <n v="-51.319000000000003"/>
    <n v="-46.584099999999999"/>
    <n v="228"/>
    <x v="0"/>
    <n v="24.2"/>
    <n v="59.2"/>
    <s v="Heavy"/>
    <n v="26"/>
    <n v="321"/>
    <n v="5"/>
    <s v="Traffic"/>
    <n v="96.3"/>
    <n v="132"/>
    <x v="0"/>
  </r>
  <r>
    <d v="2024-01-17T03:33:56"/>
    <s v="Truck_10"/>
    <n v="-12.9902"/>
    <n v="176.1206"/>
    <n v="399"/>
    <x v="2"/>
    <n v="23.4"/>
    <n v="71.7"/>
    <s v="Heavy"/>
    <n v="12"/>
    <n v="239"/>
    <n v="1"/>
    <s v="None"/>
    <n v="67.599999999999994"/>
    <n v="156"/>
    <x v="0"/>
  </r>
  <r>
    <d v="2024-12-02T12:07:59"/>
    <s v="Truck_3"/>
    <n v="6.8181000000000003"/>
    <n v="52.368499999999997"/>
    <n v="157"/>
    <x v="1"/>
    <n v="29.8"/>
    <n v="54"/>
    <s v="Clear"/>
    <n v="33"/>
    <n v="151"/>
    <n v="10"/>
    <s v="Weather"/>
    <n v="81.2"/>
    <n v="192"/>
    <x v="1"/>
  </r>
  <r>
    <d v="2024-11-18T07:52:13"/>
    <s v="Truck_10"/>
    <n v="-3.0379999999999998"/>
    <n v="106.5694"/>
    <n v="327"/>
    <x v="1"/>
    <n v="21.2"/>
    <n v="52.6"/>
    <s v="Clear"/>
    <n v="48"/>
    <n v="209"/>
    <n v="8"/>
    <s v="Mechanical Failure"/>
    <n v="98.6"/>
    <n v="104"/>
    <x v="1"/>
  </r>
  <r>
    <d v="2024-04-29T11:54:26"/>
    <s v="Truck_2"/>
    <n v="35.514099999999999"/>
    <n v="90.808700000000002"/>
    <n v="215"/>
    <x v="0"/>
    <n v="21.7"/>
    <n v="73.400000000000006"/>
    <s v="Detour"/>
    <n v="17"/>
    <n v="146"/>
    <n v="9"/>
    <s v="None"/>
    <n v="70.400000000000006"/>
    <n v="296"/>
    <x v="0"/>
  </r>
  <r>
    <d v="2024-05-29T06:49:50"/>
    <s v="Truck_9"/>
    <n v="-40.872399999999999"/>
    <n v="-42.324300000000001"/>
    <n v="213"/>
    <x v="0"/>
    <n v="20.2"/>
    <n v="63.7"/>
    <s v="Clear"/>
    <n v="16"/>
    <n v="248"/>
    <n v="10"/>
    <s v="None"/>
    <n v="68.8"/>
    <n v="136"/>
    <x v="0"/>
  </r>
  <r>
    <d v="2024-11-10T05:49:21"/>
    <s v="Truck_7"/>
    <n v="44.634700000000002"/>
    <n v="-110.63039999999999"/>
    <n v="226"/>
    <x v="1"/>
    <n v="21.4"/>
    <n v="58"/>
    <s v="Detour"/>
    <n v="47"/>
    <n v="348"/>
    <n v="7"/>
    <s v="Mechanical Failure"/>
    <n v="85.7"/>
    <n v="136"/>
    <x v="1"/>
  </r>
  <r>
    <d v="2024-11-03T20:21:38"/>
    <s v="Truck_1"/>
    <n v="76.546800000000005"/>
    <n v="-13.524900000000001"/>
    <n v="334"/>
    <x v="2"/>
    <n v="24.2"/>
    <n v="76.2"/>
    <s v="Clear"/>
    <n v="24"/>
    <n v="402"/>
    <n v="7"/>
    <s v="Traffic"/>
    <n v="71.5"/>
    <n v="105"/>
    <x v="1"/>
  </r>
  <r>
    <d v="2024-09-04T10:45:13"/>
    <s v="Truck_2"/>
    <n v="72.820599999999999"/>
    <n v="90.516900000000007"/>
    <n v="319"/>
    <x v="1"/>
    <n v="25.5"/>
    <n v="51.7"/>
    <s v="Detour"/>
    <n v="32"/>
    <n v="350"/>
    <n v="2"/>
    <s v="None"/>
    <n v="69.7"/>
    <n v="254"/>
    <x v="1"/>
  </r>
  <r>
    <d v="2024-09-25T21:53:09"/>
    <s v="Truck_8"/>
    <n v="81.255399999999995"/>
    <n v="4.8415999999999997"/>
    <n v="411"/>
    <x v="1"/>
    <n v="20.5"/>
    <n v="77.400000000000006"/>
    <s v="Heavy"/>
    <n v="51"/>
    <n v="211"/>
    <n v="5"/>
    <s v="Mechanical Failure"/>
    <n v="76.900000000000006"/>
    <n v="244"/>
    <x v="0"/>
  </r>
  <r>
    <d v="2024-07-24T06:30:18"/>
    <s v="Truck_6"/>
    <n v="74.910700000000006"/>
    <n v="17.8019"/>
    <n v="208"/>
    <x v="0"/>
    <n v="28.8"/>
    <n v="64.900000000000006"/>
    <s v="Clear"/>
    <n v="40"/>
    <n v="437"/>
    <n v="6"/>
    <s v="Weather"/>
    <n v="64.599999999999994"/>
    <n v="185"/>
    <x v="0"/>
  </r>
  <r>
    <d v="2024-04-02T13:43:06"/>
    <s v="Truck_5"/>
    <n v="20.446000000000002"/>
    <n v="149.3776"/>
    <n v="328"/>
    <x v="2"/>
    <n v="22.8"/>
    <n v="73.599999999999994"/>
    <s v="Clear"/>
    <n v="12"/>
    <n v="349"/>
    <n v="9"/>
    <s v="Mechanical Failure"/>
    <n v="93.3"/>
    <n v="162"/>
    <x v="1"/>
  </r>
  <r>
    <d v="2024-03-04T06:43:40"/>
    <s v="Truck_3"/>
    <n v="-60.710099999999997"/>
    <n v="-29.484200000000001"/>
    <n v="219"/>
    <x v="0"/>
    <n v="22.9"/>
    <n v="56.6"/>
    <s v="Heavy"/>
    <n v="49"/>
    <n v="372"/>
    <n v="6"/>
    <s v="Mechanical Failure"/>
    <n v="64.400000000000006"/>
    <n v="300"/>
    <x v="0"/>
  </r>
  <r>
    <d v="2024-12-10T12:39:50"/>
    <s v="Truck_8"/>
    <n v="74.231399999999994"/>
    <n v="-113.7355"/>
    <n v="438"/>
    <x v="1"/>
    <n v="25.7"/>
    <n v="71.2"/>
    <s v="Detour"/>
    <n v="21"/>
    <n v="445"/>
    <n v="5"/>
    <s v="Weather"/>
    <n v="90.4"/>
    <n v="154"/>
    <x v="1"/>
  </r>
  <r>
    <d v="2024-01-05T03:23:06"/>
    <s v="Truck_9"/>
    <n v="16.973700000000001"/>
    <n v="-7.8197999999999999"/>
    <n v="145"/>
    <x v="1"/>
    <n v="23.3"/>
    <n v="70.3"/>
    <s v="Detour"/>
    <n v="44"/>
    <n v="421"/>
    <n v="2"/>
    <s v="None"/>
    <n v="93.9"/>
    <n v="286"/>
    <x v="1"/>
  </r>
  <r>
    <d v="2024-01-18T17:13:48"/>
    <s v="Truck_1"/>
    <n v="35.805500000000002"/>
    <n v="-41.153199999999998"/>
    <n v="299"/>
    <x v="2"/>
    <n v="22.4"/>
    <n v="64.2"/>
    <s v="Clear"/>
    <n v="54"/>
    <n v="303"/>
    <n v="1"/>
    <s v="Traffic"/>
    <n v="88.1"/>
    <n v="125"/>
    <x v="1"/>
  </r>
  <r>
    <d v="2024-05-10T06:01:32"/>
    <s v="Truck_5"/>
    <n v="6.7866999999999997"/>
    <n v="-133.6343"/>
    <n v="356"/>
    <x v="2"/>
    <n v="18.899999999999999"/>
    <n v="71.7"/>
    <s v="Clear"/>
    <n v="25"/>
    <n v="368"/>
    <n v="1"/>
    <s v="Traffic"/>
    <n v="66.099999999999994"/>
    <n v="228"/>
    <x v="1"/>
  </r>
  <r>
    <d v="2024-10-26T05:59:54"/>
    <s v="Truck_3"/>
    <n v="6.1840000000000002"/>
    <n v="36.189799999999998"/>
    <n v="137"/>
    <x v="2"/>
    <n v="22.8"/>
    <n v="50.6"/>
    <s v="Detour"/>
    <n v="24"/>
    <n v="465"/>
    <n v="6"/>
    <s v="Weather"/>
    <n v="61.3"/>
    <n v="226"/>
    <x v="1"/>
  </r>
  <r>
    <d v="2024-04-21T16:13:53"/>
    <s v="Truck_8"/>
    <n v="-75.060500000000005"/>
    <n v="-52.525599999999997"/>
    <n v="231"/>
    <x v="2"/>
    <n v="24.3"/>
    <n v="57.8"/>
    <s v="Clear"/>
    <n v="56"/>
    <n v="368"/>
    <n v="7"/>
    <s v="Weather"/>
    <n v="87.2"/>
    <n v="203"/>
    <x v="1"/>
  </r>
  <r>
    <d v="2024-09-14T01:51:27"/>
    <s v="Truck_2"/>
    <n v="-77.891000000000005"/>
    <n v="-96.7804"/>
    <n v="336"/>
    <x v="2"/>
    <n v="19.7"/>
    <n v="66.7"/>
    <s v="Clear"/>
    <n v="54"/>
    <n v="163"/>
    <n v="7"/>
    <s v="Mechanical Failure"/>
    <n v="71.400000000000006"/>
    <n v="122"/>
    <x v="1"/>
  </r>
  <r>
    <d v="2024-05-12T17:51:01"/>
    <s v="Truck_9"/>
    <n v="-47.154000000000003"/>
    <n v="6.9020999999999999"/>
    <n v="290"/>
    <x v="1"/>
    <n v="27.6"/>
    <n v="71.8"/>
    <s v="Heavy"/>
    <n v="50"/>
    <n v="460"/>
    <n v="7"/>
    <s v="Mechanical Failure"/>
    <n v="95.9"/>
    <n v="118"/>
    <x v="0"/>
  </r>
  <r>
    <d v="2024-09-03T09:06:58"/>
    <s v="Truck_1"/>
    <n v="76.171499999999995"/>
    <n v="-7.1000000000000004E-3"/>
    <n v="427"/>
    <x v="0"/>
    <n v="23.2"/>
    <n v="70.099999999999994"/>
    <s v="Heavy"/>
    <n v="17"/>
    <n v="320"/>
    <n v="4"/>
    <s v="Weather"/>
    <n v="73"/>
    <n v="162"/>
    <x v="0"/>
  </r>
  <r>
    <d v="2024-05-06T09:16:38"/>
    <s v="Truck_9"/>
    <n v="-85.828299999999999"/>
    <n v="163.45750000000001"/>
    <n v="439"/>
    <x v="2"/>
    <n v="26.4"/>
    <n v="71.3"/>
    <s v="Clear"/>
    <n v="41"/>
    <n v="491"/>
    <n v="7"/>
    <s v="Traffic"/>
    <n v="67.400000000000006"/>
    <n v="273"/>
    <x v="1"/>
  </r>
  <r>
    <d v="2024-01-09T08:52:44"/>
    <s v="Truck_7"/>
    <n v="6.0090000000000003"/>
    <n v="-33.838000000000001"/>
    <n v="461"/>
    <x v="2"/>
    <n v="18.600000000000001"/>
    <n v="74.599999999999994"/>
    <s v="Heavy"/>
    <n v="23"/>
    <n v="185"/>
    <n v="4"/>
    <s v="Traffic"/>
    <n v="77.8"/>
    <n v="215"/>
    <x v="0"/>
  </r>
  <r>
    <d v="2024-09-06T03:02:40"/>
    <s v="Truck_9"/>
    <n v="3.8184"/>
    <n v="139.48759999999999"/>
    <n v="414"/>
    <x v="2"/>
    <n v="29"/>
    <n v="70.599999999999994"/>
    <s v="Heavy"/>
    <n v="25"/>
    <n v="291"/>
    <n v="4"/>
    <s v="Traffic"/>
    <n v="92.9"/>
    <n v="154"/>
    <x v="0"/>
  </r>
  <r>
    <d v="2024-08-05T16:44:46"/>
    <s v="Truck_6"/>
    <n v="66.341700000000003"/>
    <n v="-154.12430000000001"/>
    <n v="498"/>
    <x v="0"/>
    <n v="23.8"/>
    <n v="55.9"/>
    <s v="Detour"/>
    <n v="16"/>
    <n v="381"/>
    <n v="7"/>
    <s v="None"/>
    <n v="67.2"/>
    <n v="131"/>
    <x v="0"/>
  </r>
  <r>
    <d v="2024-08-16T10:45:59"/>
    <s v="Truck_4"/>
    <n v="-61.862299999999998"/>
    <n v="113.63039999999999"/>
    <n v="334"/>
    <x v="2"/>
    <n v="22.5"/>
    <n v="57.1"/>
    <s v="Clear"/>
    <n v="43"/>
    <n v="381"/>
    <n v="6"/>
    <s v="None"/>
    <n v="73.8"/>
    <n v="157"/>
    <x v="1"/>
  </r>
  <r>
    <d v="2024-07-12T02:46:57"/>
    <s v="Truck_2"/>
    <n v="44.502000000000002"/>
    <n v="66.581900000000005"/>
    <n v="144"/>
    <x v="0"/>
    <n v="23"/>
    <n v="70.3"/>
    <s v="Heavy"/>
    <n v="54"/>
    <n v="152"/>
    <n v="1"/>
    <s v="Mechanical Failure"/>
    <n v="84.3"/>
    <n v="242"/>
    <x v="0"/>
  </r>
  <r>
    <d v="2024-01-24T08:44:24"/>
    <s v="Truck_3"/>
    <n v="-12.288500000000001"/>
    <n v="38.428699999999999"/>
    <n v="231"/>
    <x v="2"/>
    <n v="28.2"/>
    <n v="67.2"/>
    <s v="Clear"/>
    <n v="50"/>
    <n v="221"/>
    <n v="1"/>
    <s v="None"/>
    <n v="84.8"/>
    <n v="270"/>
    <x v="1"/>
  </r>
  <r>
    <d v="2024-01-13T21:47:31"/>
    <s v="Truck_5"/>
    <n v="-40.827500000000001"/>
    <n v="-46.7423"/>
    <n v="324"/>
    <x v="0"/>
    <n v="25.5"/>
    <n v="65.2"/>
    <s v="Clear"/>
    <n v="51"/>
    <n v="233"/>
    <n v="9"/>
    <s v="Traffic"/>
    <n v="90.2"/>
    <n v="145"/>
    <x v="0"/>
  </r>
  <r>
    <d v="2024-04-16T08:03:32"/>
    <s v="Truck_6"/>
    <n v="-76.575699999999998"/>
    <n v="-52.268999999999998"/>
    <n v="246"/>
    <x v="2"/>
    <n v="19.399999999999999"/>
    <n v="56.3"/>
    <s v="Clear"/>
    <n v="16"/>
    <n v="406"/>
    <n v="9"/>
    <s v="Weather"/>
    <n v="65.7"/>
    <n v="140"/>
    <x v="1"/>
  </r>
  <r>
    <d v="2024-02-12T03:22:04"/>
    <s v="Truck_2"/>
    <n v="-79.278999999999996"/>
    <n v="69.567999999999998"/>
    <n v="283"/>
    <x v="0"/>
    <n v="27.7"/>
    <n v="52.4"/>
    <s v="Heavy"/>
    <n v="16"/>
    <n v="280"/>
    <n v="8"/>
    <s v="Traffic"/>
    <n v="96"/>
    <n v="297"/>
    <x v="0"/>
  </r>
  <r>
    <d v="2024-05-08T03:54:27"/>
    <s v="Truck_10"/>
    <n v="84.345100000000002"/>
    <n v="-106.877"/>
    <n v="453"/>
    <x v="0"/>
    <n v="21.8"/>
    <n v="66.400000000000006"/>
    <s v="Clear"/>
    <n v="48"/>
    <n v="305"/>
    <n v="2"/>
    <s v="Mechanical Failure"/>
    <n v="68.900000000000006"/>
    <n v="212"/>
    <x v="0"/>
  </r>
  <r>
    <d v="2024-12-07T12:50:56"/>
    <s v="Truck_10"/>
    <n v="-19.072099999999999"/>
    <n v="161.72460000000001"/>
    <n v="392"/>
    <x v="2"/>
    <n v="30"/>
    <n v="72.099999999999994"/>
    <s v="Detour"/>
    <n v="52"/>
    <n v="329"/>
    <n v="4"/>
    <s v="Traffic"/>
    <n v="66.599999999999994"/>
    <n v="174"/>
    <x v="1"/>
  </r>
  <r>
    <d v="2024-11-26T00:36:15"/>
    <s v="Truck_6"/>
    <n v="-69.031099999999995"/>
    <n v="-32.957500000000003"/>
    <n v="343"/>
    <x v="1"/>
    <n v="25.2"/>
    <n v="72.599999999999994"/>
    <s v="Clear"/>
    <n v="21"/>
    <n v="400"/>
    <n v="9"/>
    <s v="Weather"/>
    <n v="87.7"/>
    <n v="300"/>
    <x v="1"/>
  </r>
  <r>
    <d v="2024-05-07T08:15:24"/>
    <s v="Truck_4"/>
    <n v="87.779300000000006"/>
    <n v="-108.9268"/>
    <n v="144"/>
    <x v="0"/>
    <n v="25.8"/>
    <n v="65.599999999999994"/>
    <s v="Detour"/>
    <n v="23"/>
    <n v="362"/>
    <n v="10"/>
    <s v="Traffic"/>
    <n v="88.9"/>
    <n v="199"/>
    <x v="0"/>
  </r>
  <r>
    <d v="2024-11-05T21:58:32"/>
    <s v="Truck_9"/>
    <n v="-48.363300000000002"/>
    <n v="-36.293599999999998"/>
    <n v="151"/>
    <x v="0"/>
    <n v="22.1"/>
    <n v="59.7"/>
    <s v="Clear"/>
    <n v="58"/>
    <n v="338"/>
    <n v="1"/>
    <s v="Traffic"/>
    <n v="81.5"/>
    <n v="248"/>
    <x v="0"/>
  </r>
  <r>
    <d v="2024-02-28T11:48:48"/>
    <s v="Truck_7"/>
    <n v="-36.410400000000003"/>
    <n v="-4.335"/>
    <n v="389"/>
    <x v="1"/>
    <n v="27.2"/>
    <n v="59.8"/>
    <s v="Heavy"/>
    <n v="20"/>
    <n v="129"/>
    <n v="8"/>
    <s v="Traffic"/>
    <n v="80.8"/>
    <n v="164"/>
    <x v="0"/>
  </r>
  <r>
    <d v="2024-04-16T23:04:14"/>
    <s v="Truck_2"/>
    <n v="-39.225000000000001"/>
    <n v="-156.4228"/>
    <n v="355"/>
    <x v="0"/>
    <n v="19.2"/>
    <n v="62.2"/>
    <s v="Clear"/>
    <n v="10"/>
    <n v="137"/>
    <n v="2"/>
    <s v="Traffic"/>
    <n v="67"/>
    <n v="269"/>
    <x v="0"/>
  </r>
  <r>
    <d v="2024-11-28T00:36:34"/>
    <s v="Truck_10"/>
    <n v="84.040700000000001"/>
    <n v="-74.709800000000001"/>
    <n v="493"/>
    <x v="0"/>
    <n v="20.7"/>
    <n v="70.900000000000006"/>
    <s v="Clear"/>
    <n v="52"/>
    <n v="478"/>
    <n v="1"/>
    <s v="Traffic"/>
    <n v="62.5"/>
    <n v="103"/>
    <x v="0"/>
  </r>
  <r>
    <d v="2024-02-09T06:40:41"/>
    <s v="Truck_9"/>
    <n v="-68.532399999999996"/>
    <n v="127.5394"/>
    <n v="181"/>
    <x v="2"/>
    <n v="22.9"/>
    <n v="70.3"/>
    <s v="Detour"/>
    <n v="49"/>
    <n v="441"/>
    <n v="7"/>
    <s v="None"/>
    <n v="94.7"/>
    <n v="168"/>
    <x v="1"/>
  </r>
  <r>
    <d v="2024-05-14T13:25:22"/>
    <s v="Truck_6"/>
    <n v="-8.4586000000000006"/>
    <n v="44.477899999999998"/>
    <n v="342"/>
    <x v="1"/>
    <n v="22.6"/>
    <n v="55.5"/>
    <s v="Detour"/>
    <n v="35"/>
    <n v="119"/>
    <n v="3"/>
    <s v="None"/>
    <n v="73.900000000000006"/>
    <n v="199"/>
    <x v="1"/>
  </r>
  <r>
    <d v="2024-08-28T13:33:22"/>
    <s v="Truck_9"/>
    <n v="14.0092"/>
    <n v="-131.97579999999999"/>
    <n v="376"/>
    <x v="0"/>
    <n v="20.5"/>
    <n v="55.5"/>
    <s v="Clear"/>
    <n v="34"/>
    <n v="315"/>
    <n v="9"/>
    <s v="None"/>
    <n v="70.7"/>
    <n v="297"/>
    <x v="0"/>
  </r>
  <r>
    <d v="2024-02-21T02:51:08"/>
    <s v="Truck_4"/>
    <n v="3.6602000000000001"/>
    <n v="107.779"/>
    <n v="464"/>
    <x v="1"/>
    <n v="20.8"/>
    <n v="50.1"/>
    <s v="Heavy"/>
    <n v="16"/>
    <n v="441"/>
    <n v="7"/>
    <s v="None"/>
    <n v="91.1"/>
    <n v="240"/>
    <x v="0"/>
  </r>
  <r>
    <d v="2024-10-25T05:54:37"/>
    <s v="Truck_3"/>
    <n v="29.341999999999999"/>
    <n v="-68.568200000000004"/>
    <n v="452"/>
    <x v="1"/>
    <n v="26.7"/>
    <n v="64.099999999999994"/>
    <s v="Clear"/>
    <n v="36"/>
    <n v="152"/>
    <n v="1"/>
    <s v="None"/>
    <n v="90.1"/>
    <n v="231"/>
    <x v="1"/>
  </r>
  <r>
    <d v="2024-07-18T23:30:52"/>
    <s v="Truck_9"/>
    <n v="-20.6524"/>
    <n v="-102.5762"/>
    <n v="228"/>
    <x v="2"/>
    <n v="28.7"/>
    <n v="65"/>
    <s v="Heavy"/>
    <n v="26"/>
    <n v="271"/>
    <n v="3"/>
    <s v="Traffic"/>
    <n v="66"/>
    <n v="290"/>
    <x v="0"/>
  </r>
  <r>
    <d v="2024-02-28T23:27:53"/>
    <s v="Truck_10"/>
    <n v="-88.695999999999998"/>
    <n v="117.39019999999999"/>
    <n v="288"/>
    <x v="2"/>
    <n v="27.1"/>
    <n v="69.400000000000006"/>
    <s v="Heavy"/>
    <n v="37"/>
    <n v="144"/>
    <n v="2"/>
    <s v="None"/>
    <n v="63.6"/>
    <n v="126"/>
    <x v="0"/>
  </r>
  <r>
    <d v="2024-07-13T15:41:00"/>
    <s v="Truck_10"/>
    <n v="-27.031500000000001"/>
    <n v="40.245100000000001"/>
    <n v="133"/>
    <x v="0"/>
    <n v="18.600000000000001"/>
    <n v="79.400000000000006"/>
    <s v="Clear"/>
    <n v="14"/>
    <n v="314"/>
    <n v="10"/>
    <s v="Mechanical Failure"/>
    <n v="98.8"/>
    <n v="109"/>
    <x v="0"/>
  </r>
  <r>
    <d v="2024-06-21T04:12:55"/>
    <s v="Truck_6"/>
    <n v="25.513500000000001"/>
    <n v="-147.3897"/>
    <n v="117"/>
    <x v="1"/>
    <n v="29.7"/>
    <n v="63.7"/>
    <s v="Clear"/>
    <n v="17"/>
    <n v="159"/>
    <n v="8"/>
    <s v="None"/>
    <n v="77"/>
    <n v="106"/>
    <x v="1"/>
  </r>
  <r>
    <d v="2024-09-29T17:58:30"/>
    <s v="Truck_2"/>
    <n v="68.401399999999995"/>
    <n v="-52.086199999999998"/>
    <n v="428"/>
    <x v="0"/>
    <n v="28.4"/>
    <n v="74.2"/>
    <s v="Clear"/>
    <n v="54"/>
    <n v="492"/>
    <n v="1"/>
    <s v="None"/>
    <n v="86.2"/>
    <n v="286"/>
    <x v="0"/>
  </r>
  <r>
    <d v="2024-06-05T07:32:41"/>
    <s v="Truck_8"/>
    <n v="-7.1543000000000001"/>
    <n v="-132.8372"/>
    <n v="381"/>
    <x v="2"/>
    <n v="18"/>
    <n v="53"/>
    <s v="Clear"/>
    <n v="25"/>
    <n v="398"/>
    <n v="9"/>
    <s v="Weather"/>
    <n v="94.6"/>
    <n v="100"/>
    <x v="1"/>
  </r>
  <r>
    <d v="2024-12-19T21:28:31"/>
    <s v="Truck_9"/>
    <n v="-78.276300000000006"/>
    <n v="151.39429999999999"/>
    <n v="166"/>
    <x v="0"/>
    <n v="22.5"/>
    <n v="53.8"/>
    <s v="Clear"/>
    <n v="57"/>
    <n v="442"/>
    <n v="6"/>
    <s v="Weather"/>
    <n v="72.099999999999994"/>
    <n v="284"/>
    <x v="0"/>
  </r>
  <r>
    <d v="2024-04-23T18:51:26"/>
    <s v="Truck_2"/>
    <n v="33.966500000000003"/>
    <n v="-46.542299999999997"/>
    <n v="225"/>
    <x v="1"/>
    <n v="26.1"/>
    <n v="75.8"/>
    <s v="Heavy"/>
    <n v="41"/>
    <n v="286"/>
    <n v="3"/>
    <s v="Mechanical Failure"/>
    <n v="72.900000000000006"/>
    <n v="224"/>
    <x v="0"/>
  </r>
  <r>
    <d v="2024-02-17T20:09:25"/>
    <s v="Truck_2"/>
    <n v="-59.689900000000002"/>
    <n v="143.0428"/>
    <n v="364"/>
    <x v="0"/>
    <n v="18.8"/>
    <n v="68.2"/>
    <s v="Detour"/>
    <n v="41"/>
    <n v="373"/>
    <n v="1"/>
    <s v="Weather"/>
    <n v="88.7"/>
    <n v="215"/>
    <x v="0"/>
  </r>
  <r>
    <d v="2024-07-21T06:13:04"/>
    <s v="Truck_7"/>
    <n v="25.704699999999999"/>
    <n v="150.6302"/>
    <n v="318"/>
    <x v="1"/>
    <n v="25.3"/>
    <n v="74.599999999999994"/>
    <s v="Clear"/>
    <n v="32"/>
    <n v="486"/>
    <n v="9"/>
    <s v="Weather"/>
    <n v="68.099999999999994"/>
    <n v="277"/>
    <x v="1"/>
  </r>
  <r>
    <d v="2024-04-03T05:24:14"/>
    <s v="Truck_2"/>
    <n v="15.4009"/>
    <n v="52.353700000000003"/>
    <n v="417"/>
    <x v="1"/>
    <n v="20"/>
    <n v="61"/>
    <s v="Heavy"/>
    <n v="54"/>
    <n v="300"/>
    <n v="4"/>
    <s v="Traffic"/>
    <n v="74.5"/>
    <n v="156"/>
    <x v="0"/>
  </r>
  <r>
    <d v="2024-10-22T10:43:44"/>
    <s v="Truck_7"/>
    <n v="-86.779899999999998"/>
    <n v="-102.14960000000001"/>
    <n v="180"/>
    <x v="0"/>
    <n v="18.5"/>
    <n v="52.1"/>
    <s v="Clear"/>
    <n v="10"/>
    <n v="182"/>
    <n v="5"/>
    <s v="Mechanical Failure"/>
    <n v="99"/>
    <n v="279"/>
    <x v="0"/>
  </r>
  <r>
    <d v="2024-04-28T12:38:55"/>
    <s v="Truck_8"/>
    <n v="40.340600000000002"/>
    <n v="159.07230000000001"/>
    <n v="134"/>
    <x v="0"/>
    <n v="24.1"/>
    <n v="68.2"/>
    <s v="Heavy"/>
    <n v="35"/>
    <n v="187"/>
    <n v="6"/>
    <s v="Mechanical Failure"/>
    <n v="99.9"/>
    <n v="102"/>
    <x v="0"/>
  </r>
  <r>
    <d v="2024-09-28T12:11:17"/>
    <s v="Truck_8"/>
    <n v="40.400500000000001"/>
    <n v="-149.15209999999999"/>
    <n v="237"/>
    <x v="1"/>
    <n v="28.1"/>
    <n v="75.5"/>
    <s v="Detour"/>
    <n v="18"/>
    <n v="349"/>
    <n v="2"/>
    <s v="Weather"/>
    <n v="90.5"/>
    <n v="189"/>
    <x v="1"/>
  </r>
  <r>
    <d v="2024-09-09T11:51:15"/>
    <s v="Truck_5"/>
    <n v="-85.135199999999998"/>
    <n v="73.251099999999994"/>
    <n v="259"/>
    <x v="0"/>
    <n v="26.6"/>
    <n v="53"/>
    <s v="Clear"/>
    <n v="28"/>
    <n v="118"/>
    <n v="4"/>
    <s v="Traffic"/>
    <n v="60.2"/>
    <n v="249"/>
    <x v="0"/>
  </r>
  <r>
    <d v="2024-10-02T21:49:15"/>
    <s v="Truck_3"/>
    <n v="-1.28"/>
    <n v="1.0167999999999999"/>
    <n v="463"/>
    <x v="1"/>
    <n v="19.8"/>
    <n v="54.5"/>
    <s v="Heavy"/>
    <n v="12"/>
    <n v="408"/>
    <n v="8"/>
    <s v="Traffic"/>
    <n v="71.2"/>
    <n v="229"/>
    <x v="0"/>
  </r>
  <r>
    <d v="2024-05-05T05:42:10"/>
    <s v="Truck_10"/>
    <n v="45.261699999999998"/>
    <n v="-152.39519999999999"/>
    <n v="290"/>
    <x v="2"/>
    <n v="23.7"/>
    <n v="53.5"/>
    <s v="Detour"/>
    <n v="44"/>
    <n v="237"/>
    <n v="5"/>
    <s v="Mechanical Failure"/>
    <n v="85.8"/>
    <n v="270"/>
    <x v="1"/>
  </r>
  <r>
    <d v="2024-05-21T02:33:29"/>
    <s v="Truck_8"/>
    <n v="-14.7713"/>
    <n v="-117.3565"/>
    <n v="345"/>
    <x v="0"/>
    <n v="21.3"/>
    <n v="53.6"/>
    <s v="Clear"/>
    <n v="35"/>
    <n v="388"/>
    <n v="4"/>
    <s v="Weather"/>
    <n v="83.5"/>
    <n v="159"/>
    <x v="0"/>
  </r>
  <r>
    <d v="2024-03-15T22:19:21"/>
    <s v="Truck_6"/>
    <n v="51.422499999999999"/>
    <n v="112.33620000000001"/>
    <n v="165"/>
    <x v="0"/>
    <n v="25.6"/>
    <n v="61.7"/>
    <s v="Detour"/>
    <n v="50"/>
    <n v="149"/>
    <n v="10"/>
    <s v="Traffic"/>
    <n v="62.6"/>
    <n v="252"/>
    <x v="0"/>
  </r>
  <r>
    <d v="2024-02-07T19:45:50"/>
    <s v="Truck_3"/>
    <n v="-15.299099999999999"/>
    <n v="-95.011200000000002"/>
    <n v="259"/>
    <x v="1"/>
    <n v="27"/>
    <n v="79.7"/>
    <s v="Heavy"/>
    <n v="15"/>
    <n v="167"/>
    <n v="9"/>
    <s v="Traffic"/>
    <n v="88.6"/>
    <n v="147"/>
    <x v="0"/>
  </r>
  <r>
    <d v="2024-05-11T05:18:46"/>
    <s v="Truck_7"/>
    <n v="86.6678"/>
    <n v="-139.69550000000001"/>
    <n v="330"/>
    <x v="2"/>
    <n v="26.9"/>
    <n v="62.9"/>
    <s v="Detour"/>
    <n v="47"/>
    <n v="382"/>
    <n v="6"/>
    <s v="Weather"/>
    <n v="90.3"/>
    <n v="115"/>
    <x v="1"/>
  </r>
  <r>
    <d v="2024-01-31T05:31:37"/>
    <s v="Truck_5"/>
    <n v="44.544199999999996"/>
    <n v="-73.434600000000003"/>
    <n v="467"/>
    <x v="2"/>
    <n v="19.3"/>
    <n v="62.1"/>
    <s v="Detour"/>
    <n v="39"/>
    <n v="180"/>
    <n v="8"/>
    <s v="Mechanical Failure"/>
    <n v="63.8"/>
    <n v="145"/>
    <x v="1"/>
  </r>
  <r>
    <d v="2024-11-01T01:28:08"/>
    <s v="Truck_3"/>
    <n v="-48.450299999999999"/>
    <n v="-99.997799999999998"/>
    <n v="329"/>
    <x v="1"/>
    <n v="26.7"/>
    <n v="56.2"/>
    <s v="Detour"/>
    <n v="16"/>
    <n v="261"/>
    <n v="9"/>
    <s v="Traffic"/>
    <n v="90.7"/>
    <n v="104"/>
    <x v="1"/>
  </r>
  <r>
    <d v="2024-03-03T04:17:01"/>
    <s v="Truck_9"/>
    <n v="-37.3934"/>
    <n v="31.409300000000002"/>
    <n v="122"/>
    <x v="2"/>
    <n v="22.9"/>
    <n v="64"/>
    <s v="Heavy"/>
    <n v="24"/>
    <n v="409"/>
    <n v="5"/>
    <s v="Mechanical Failure"/>
    <n v="99.7"/>
    <n v="184"/>
    <x v="0"/>
  </r>
  <r>
    <d v="2024-03-09T00:10:34"/>
    <s v="Truck_3"/>
    <n v="34.071199999999997"/>
    <n v="123.02370000000001"/>
    <n v="146"/>
    <x v="1"/>
    <n v="24.2"/>
    <n v="69.099999999999994"/>
    <s v="Clear"/>
    <n v="58"/>
    <n v="301"/>
    <n v="2"/>
    <s v="None"/>
    <n v="82"/>
    <n v="238"/>
    <x v="1"/>
  </r>
  <r>
    <d v="2024-04-17T17:28:32"/>
    <s v="Truck_10"/>
    <n v="-21.563300000000002"/>
    <n v="-12.848699999999999"/>
    <n v="419"/>
    <x v="2"/>
    <n v="26.1"/>
    <n v="62"/>
    <s v="Heavy"/>
    <n v="19"/>
    <n v="484"/>
    <n v="8"/>
    <s v="None"/>
    <n v="96.4"/>
    <n v="262"/>
    <x v="0"/>
  </r>
  <r>
    <d v="2024-09-21T10:33:05"/>
    <s v="Truck_7"/>
    <n v="-33.375599999999999"/>
    <n v="7.8261000000000003"/>
    <n v="143"/>
    <x v="1"/>
    <n v="20.100000000000001"/>
    <n v="57"/>
    <s v="Detour"/>
    <n v="41"/>
    <n v="143"/>
    <n v="9"/>
    <s v="None"/>
    <n v="62.1"/>
    <n v="106"/>
    <x v="1"/>
  </r>
  <r>
    <d v="2024-02-11T10:31:50"/>
    <s v="Truck_10"/>
    <n v="-61.848999999999997"/>
    <n v="-123.7835"/>
    <n v="445"/>
    <x v="2"/>
    <n v="19.8"/>
    <n v="54.1"/>
    <s v="Clear"/>
    <n v="39"/>
    <n v="375"/>
    <n v="2"/>
    <s v="Weather"/>
    <n v="88.3"/>
    <n v="247"/>
    <x v="1"/>
  </r>
  <r>
    <d v="2024-06-15T11:59:39"/>
    <s v="Truck_5"/>
    <n v="88.568600000000004"/>
    <n v="-161.73820000000001"/>
    <n v="450"/>
    <x v="0"/>
    <n v="18.7"/>
    <n v="56.4"/>
    <s v="Detour"/>
    <n v="12"/>
    <n v="140"/>
    <n v="8"/>
    <s v="Mechanical Failure"/>
    <n v="61.9"/>
    <n v="160"/>
    <x v="0"/>
  </r>
  <r>
    <d v="2024-08-09T03:00:34"/>
    <s v="Truck_2"/>
    <n v="-69.408000000000001"/>
    <n v="-8.1702999999999992"/>
    <n v="451"/>
    <x v="2"/>
    <n v="22.5"/>
    <n v="51.6"/>
    <s v="Detour"/>
    <n v="28"/>
    <n v="421"/>
    <n v="6"/>
    <s v="None"/>
    <n v="68.8"/>
    <n v="107"/>
    <x v="1"/>
  </r>
  <r>
    <d v="2024-07-22T00:56:20"/>
    <s v="Truck_4"/>
    <n v="-49.1524"/>
    <n v="14.116400000000001"/>
    <n v="425"/>
    <x v="0"/>
    <n v="22.4"/>
    <n v="65.900000000000006"/>
    <s v="Clear"/>
    <n v="30"/>
    <n v="452"/>
    <n v="10"/>
    <s v="Traffic"/>
    <n v="91.4"/>
    <n v="163"/>
    <x v="0"/>
  </r>
  <r>
    <d v="2024-08-17T07:37:02"/>
    <s v="Truck_8"/>
    <n v="27.786999999999999"/>
    <n v="8.2287999999999997"/>
    <n v="235"/>
    <x v="2"/>
    <n v="25.8"/>
    <n v="62.6"/>
    <s v="Heavy"/>
    <n v="51"/>
    <n v="171"/>
    <n v="6"/>
    <s v="Mechanical Failure"/>
    <n v="87.5"/>
    <n v="207"/>
    <x v="0"/>
  </r>
  <r>
    <d v="2024-12-11T23:47:30"/>
    <s v="Truck_7"/>
    <n v="-13.8485"/>
    <n v="119.2071"/>
    <n v="181"/>
    <x v="1"/>
    <n v="29.7"/>
    <n v="51.8"/>
    <s v="Clear"/>
    <n v="38"/>
    <n v="388"/>
    <n v="10"/>
    <s v="None"/>
    <n v="92.4"/>
    <n v="292"/>
    <x v="1"/>
  </r>
  <r>
    <d v="2024-09-12T00:06:39"/>
    <s v="Truck_3"/>
    <n v="25.500299999999999"/>
    <n v="-47.571800000000003"/>
    <n v="370"/>
    <x v="2"/>
    <n v="23.5"/>
    <n v="74.400000000000006"/>
    <s v="Heavy"/>
    <n v="60"/>
    <n v="105"/>
    <n v="1"/>
    <s v="None"/>
    <n v="99.5"/>
    <n v="128"/>
    <x v="0"/>
  </r>
  <r>
    <d v="2024-07-08T14:07:29"/>
    <s v="Truck_3"/>
    <n v="69.410600000000002"/>
    <n v="61.736800000000002"/>
    <n v="102"/>
    <x v="0"/>
    <n v="25.6"/>
    <n v="76"/>
    <s v="Heavy"/>
    <n v="50"/>
    <n v="444"/>
    <n v="9"/>
    <s v="Traffic"/>
    <n v="88.3"/>
    <n v="105"/>
    <x v="0"/>
  </r>
  <r>
    <d v="2024-03-06T13:14:35"/>
    <s v="Truck_3"/>
    <n v="-6.8963999999999999"/>
    <n v="-35.541800000000002"/>
    <n v="200"/>
    <x v="2"/>
    <n v="18.5"/>
    <n v="77.7"/>
    <s v="Detour"/>
    <n v="24"/>
    <n v="158"/>
    <n v="4"/>
    <s v="None"/>
    <n v="82.5"/>
    <n v="234"/>
    <x v="1"/>
  </r>
  <r>
    <d v="2024-10-30T04:55:27"/>
    <s v="Truck_6"/>
    <n v="-0.1148"/>
    <n v="-127.6784"/>
    <n v="292"/>
    <x v="1"/>
    <n v="23.2"/>
    <n v="68.099999999999994"/>
    <s v="Heavy"/>
    <n v="41"/>
    <n v="440"/>
    <n v="10"/>
    <s v="Mechanical Failure"/>
    <n v="88.9"/>
    <n v="160"/>
    <x v="0"/>
  </r>
  <r>
    <d v="2024-10-07T10:54:40"/>
    <s v="Truck_5"/>
    <n v="-41.427900000000001"/>
    <n v="178.86940000000001"/>
    <n v="401"/>
    <x v="1"/>
    <n v="28.2"/>
    <n v="51"/>
    <s v="Clear"/>
    <n v="51"/>
    <n v="327"/>
    <n v="3"/>
    <s v="None"/>
    <n v="85.6"/>
    <n v="138"/>
    <x v="1"/>
  </r>
  <r>
    <d v="2024-06-06T22:52:41"/>
    <s v="Truck_3"/>
    <n v="-0.93330000000000002"/>
    <n v="124.84950000000001"/>
    <n v="305"/>
    <x v="0"/>
    <n v="27.4"/>
    <n v="50.8"/>
    <s v="Clear"/>
    <n v="34"/>
    <n v="474"/>
    <n v="1"/>
    <s v="Mechanical Failure"/>
    <n v="82"/>
    <n v="226"/>
    <x v="0"/>
  </r>
  <r>
    <d v="2024-04-20T00:14:34"/>
    <s v="Truck_3"/>
    <n v="-58.217500000000001"/>
    <n v="7.2698999999999998"/>
    <n v="441"/>
    <x v="1"/>
    <n v="25"/>
    <n v="75.400000000000006"/>
    <s v="Heavy"/>
    <n v="58"/>
    <n v="149"/>
    <n v="10"/>
    <s v="Traffic"/>
    <n v="61.3"/>
    <n v="247"/>
    <x v="0"/>
  </r>
  <r>
    <d v="2024-08-02T00:10:54"/>
    <s v="Truck_2"/>
    <n v="83.328699999999998"/>
    <n v="-84.273799999999994"/>
    <n v="130"/>
    <x v="0"/>
    <n v="18.7"/>
    <n v="67.2"/>
    <s v="Clear"/>
    <n v="47"/>
    <n v="367"/>
    <n v="1"/>
    <s v="Traffic"/>
    <n v="81.7"/>
    <n v="131"/>
    <x v="0"/>
  </r>
  <r>
    <d v="2024-10-03T02:54:03"/>
    <s v="Truck_6"/>
    <n v="-33.2637"/>
    <n v="45.412199999999999"/>
    <n v="265"/>
    <x v="1"/>
    <n v="23.4"/>
    <n v="56.1"/>
    <s v="Detour"/>
    <n v="34"/>
    <n v="406"/>
    <n v="6"/>
    <s v="Mechanical Failure"/>
    <n v="95"/>
    <n v="133"/>
    <x v="1"/>
  </r>
  <r>
    <d v="2024-09-23T22:37:49"/>
    <s v="Truck_1"/>
    <n v="74.335599999999999"/>
    <n v="112.5528"/>
    <n v="426"/>
    <x v="2"/>
    <n v="26.3"/>
    <n v="77.7"/>
    <s v="Detour"/>
    <n v="58"/>
    <n v="373"/>
    <n v="6"/>
    <s v="Traffic"/>
    <n v="93"/>
    <n v="125"/>
    <x v="1"/>
  </r>
  <r>
    <d v="2024-02-17T16:11:22"/>
    <s v="Truck_6"/>
    <n v="-53.301499999999997"/>
    <n v="11.4861"/>
    <n v="432"/>
    <x v="1"/>
    <n v="28"/>
    <n v="65.2"/>
    <s v="Heavy"/>
    <n v="35"/>
    <n v="499"/>
    <n v="8"/>
    <s v="Weather"/>
    <n v="97.4"/>
    <n v="110"/>
    <x v="0"/>
  </r>
  <r>
    <d v="2024-11-23T04:40:26"/>
    <s v="Truck_2"/>
    <n v="-22.5519"/>
    <n v="60.710999999999999"/>
    <n v="406"/>
    <x v="0"/>
    <n v="20.9"/>
    <n v="76.400000000000006"/>
    <s v="Detour"/>
    <n v="57"/>
    <n v="160"/>
    <n v="9"/>
    <s v="None"/>
    <n v="73.3"/>
    <n v="120"/>
    <x v="0"/>
  </r>
  <r>
    <d v="2024-01-11T20:19:14"/>
    <s v="Truck_10"/>
    <n v="61.697000000000003"/>
    <n v="164.54929999999999"/>
    <n v="410"/>
    <x v="1"/>
    <n v="24.5"/>
    <n v="62.4"/>
    <s v="Clear"/>
    <n v="40"/>
    <n v="172"/>
    <n v="5"/>
    <s v="None"/>
    <n v="86.2"/>
    <n v="225"/>
    <x v="1"/>
  </r>
  <r>
    <d v="2024-10-28T02:17:22"/>
    <s v="Truck_5"/>
    <n v="-75.286699999999996"/>
    <n v="-163.4"/>
    <n v="155"/>
    <x v="1"/>
    <n v="22.6"/>
    <n v="77.099999999999994"/>
    <s v="Detour"/>
    <n v="13"/>
    <n v="196"/>
    <n v="7"/>
    <s v="None"/>
    <n v="83.2"/>
    <n v="168"/>
    <x v="1"/>
  </r>
  <r>
    <d v="2024-12-26T05:05:12"/>
    <s v="Truck_3"/>
    <n v="87.138599999999997"/>
    <n v="-114.968"/>
    <n v="397"/>
    <x v="2"/>
    <n v="23.7"/>
    <n v="73.5"/>
    <s v="Detour"/>
    <n v="31"/>
    <n v="266"/>
    <n v="1"/>
    <s v="Mechanical Failure"/>
    <n v="92.8"/>
    <n v="265"/>
    <x v="1"/>
  </r>
  <r>
    <d v="2024-03-28T10:24:32"/>
    <s v="Truck_5"/>
    <n v="51.248600000000003"/>
    <n v="-41.488199999999999"/>
    <n v="305"/>
    <x v="2"/>
    <n v="28"/>
    <n v="67.8"/>
    <s v="Detour"/>
    <n v="13"/>
    <n v="455"/>
    <n v="2"/>
    <s v="Weather"/>
    <n v="80.8"/>
    <n v="147"/>
    <x v="1"/>
  </r>
  <r>
    <d v="2024-04-16T02:44:43"/>
    <s v="Truck_2"/>
    <n v="-19.8201"/>
    <n v="2.4373999999999998"/>
    <n v="343"/>
    <x v="0"/>
    <n v="26.2"/>
    <n v="62.4"/>
    <s v="Detour"/>
    <n v="18"/>
    <n v="166"/>
    <n v="7"/>
    <s v="Weather"/>
    <n v="62.3"/>
    <n v="168"/>
    <x v="0"/>
  </r>
  <r>
    <d v="2024-12-08T06:15:28"/>
    <s v="Truck_6"/>
    <n v="-13.561"/>
    <n v="-52.546900000000001"/>
    <n v="342"/>
    <x v="1"/>
    <n v="27.6"/>
    <n v="71.900000000000006"/>
    <s v="Detour"/>
    <n v="24"/>
    <n v="216"/>
    <n v="2"/>
    <s v="Traffic"/>
    <n v="67.5"/>
    <n v="225"/>
    <x v="1"/>
  </r>
  <r>
    <d v="2024-09-05T17:43:56"/>
    <s v="Truck_3"/>
    <n v="51.488300000000002"/>
    <n v="105.7445"/>
    <n v="347"/>
    <x v="1"/>
    <n v="29.1"/>
    <n v="80"/>
    <s v="Heavy"/>
    <n v="25"/>
    <n v="256"/>
    <n v="3"/>
    <s v="Mechanical Failure"/>
    <n v="69.599999999999994"/>
    <n v="274"/>
    <x v="0"/>
  </r>
  <r>
    <d v="2024-02-02T22:24:18"/>
    <s v="Truck_3"/>
    <n v="21.573799999999999"/>
    <n v="-95.150099999999995"/>
    <n v="403"/>
    <x v="2"/>
    <n v="29.5"/>
    <n v="76.599999999999994"/>
    <s v="Heavy"/>
    <n v="36"/>
    <n v="379"/>
    <n v="2"/>
    <s v="Mechanical Failure"/>
    <n v="66.7"/>
    <n v="242"/>
    <x v="0"/>
  </r>
  <r>
    <d v="2024-04-30T18:44:12"/>
    <s v="Truck_9"/>
    <n v="-31.817399999999999"/>
    <n v="59.571599999999997"/>
    <n v="482"/>
    <x v="0"/>
    <n v="18.100000000000001"/>
    <n v="76.099999999999994"/>
    <s v="Heavy"/>
    <n v="54"/>
    <n v="203"/>
    <n v="10"/>
    <s v="Traffic"/>
    <n v="74.099999999999994"/>
    <n v="112"/>
    <x v="0"/>
  </r>
  <r>
    <d v="2024-05-01T03:13:17"/>
    <s v="Truck_3"/>
    <n v="-76.0304"/>
    <n v="112.9276"/>
    <n v="130"/>
    <x v="2"/>
    <n v="21.6"/>
    <n v="60.9"/>
    <s v="Clear"/>
    <n v="48"/>
    <n v="479"/>
    <n v="8"/>
    <s v="Traffic"/>
    <n v="83.3"/>
    <n v="173"/>
    <x v="1"/>
  </r>
  <r>
    <d v="2024-01-10T20:02:28"/>
    <s v="Truck_1"/>
    <n v="47.548099999999998"/>
    <n v="-97.483099999999993"/>
    <n v="465"/>
    <x v="0"/>
    <n v="24"/>
    <n v="72.400000000000006"/>
    <s v="Heavy"/>
    <n v="48"/>
    <n v="112"/>
    <n v="8"/>
    <s v="None"/>
    <n v="97.1"/>
    <n v="212"/>
    <x v="0"/>
  </r>
  <r>
    <d v="2024-10-21T11:15:32"/>
    <s v="Truck_2"/>
    <n v="77.875100000000003"/>
    <n v="144.04"/>
    <n v="322"/>
    <x v="0"/>
    <n v="26.1"/>
    <n v="71.900000000000006"/>
    <s v="Detour"/>
    <n v="45"/>
    <n v="339"/>
    <n v="8"/>
    <s v="Weather"/>
    <n v="97.6"/>
    <n v="145"/>
    <x v="0"/>
  </r>
  <r>
    <d v="2024-11-25T02:58:57"/>
    <s v="Truck_1"/>
    <n v="-56.667400000000001"/>
    <n v="-50.0426"/>
    <n v="126"/>
    <x v="2"/>
    <n v="20.3"/>
    <n v="51.2"/>
    <s v="Detour"/>
    <n v="53"/>
    <n v="486"/>
    <n v="7"/>
    <s v="Mechanical Failure"/>
    <n v="97.5"/>
    <n v="129"/>
    <x v="1"/>
  </r>
  <r>
    <d v="2024-12-20T08:01:23"/>
    <s v="Truck_3"/>
    <n v="62.099899999999998"/>
    <n v="-9.5972000000000008"/>
    <n v="142"/>
    <x v="1"/>
    <n v="22.7"/>
    <n v="66.099999999999994"/>
    <s v="Detour"/>
    <n v="59"/>
    <n v="343"/>
    <n v="6"/>
    <s v="Mechanical Failure"/>
    <n v="86.7"/>
    <n v="256"/>
    <x v="1"/>
  </r>
  <r>
    <d v="2024-06-29T19:07:17"/>
    <s v="Truck_9"/>
    <n v="57.9908"/>
    <n v="-117.5288"/>
    <n v="444"/>
    <x v="2"/>
    <n v="21.6"/>
    <n v="53.2"/>
    <s v="Detour"/>
    <n v="16"/>
    <n v="113"/>
    <n v="2"/>
    <s v="Traffic"/>
    <n v="96.1"/>
    <n v="181"/>
    <x v="1"/>
  </r>
  <r>
    <d v="2024-12-13T18:57:55"/>
    <s v="Truck_2"/>
    <n v="73.127399999999994"/>
    <n v="-63.939900000000002"/>
    <n v="100"/>
    <x v="2"/>
    <n v="22.4"/>
    <n v="71.599999999999994"/>
    <s v="Detour"/>
    <n v="22"/>
    <n v="389"/>
    <n v="4"/>
    <s v="Traffic"/>
    <n v="73.400000000000006"/>
    <n v="159"/>
    <x v="1"/>
  </r>
  <r>
    <d v="2024-11-20T05:25:19"/>
    <s v="Truck_3"/>
    <n v="-28.694900000000001"/>
    <n v="-110.51609999999999"/>
    <n v="227"/>
    <x v="1"/>
    <n v="22.6"/>
    <n v="58.5"/>
    <s v="Detour"/>
    <n v="24"/>
    <n v="477"/>
    <n v="10"/>
    <s v="Weather"/>
    <n v="89"/>
    <n v="139"/>
    <x v="1"/>
  </r>
  <r>
    <d v="2024-06-29T09:51:14"/>
    <s v="Truck_3"/>
    <n v="-28.915199999999999"/>
    <n v="114.375"/>
    <n v="416"/>
    <x v="2"/>
    <n v="20.7"/>
    <n v="69.099999999999994"/>
    <s v="Detour"/>
    <n v="32"/>
    <n v="139"/>
    <n v="6"/>
    <s v="Mechanical Failure"/>
    <n v="91.7"/>
    <n v="221"/>
    <x v="1"/>
  </r>
  <r>
    <d v="2024-12-22T23:33:57"/>
    <s v="Truck_3"/>
    <n v="83.948800000000006"/>
    <n v="131.11969999999999"/>
    <n v="499"/>
    <x v="0"/>
    <n v="25.8"/>
    <n v="64"/>
    <s v="Detour"/>
    <n v="46"/>
    <n v="295"/>
    <n v="6"/>
    <s v="Traffic"/>
    <n v="87.6"/>
    <n v="160"/>
    <x v="0"/>
  </r>
  <r>
    <d v="2024-06-23T22:08:31"/>
    <s v="Truck_6"/>
    <n v="52.163499999999999"/>
    <n v="10.829599999999999"/>
    <n v="328"/>
    <x v="2"/>
    <n v="29.8"/>
    <n v="53.5"/>
    <s v="Clear"/>
    <n v="54"/>
    <n v="144"/>
    <n v="6"/>
    <s v="Weather"/>
    <n v="78"/>
    <n v="158"/>
    <x v="1"/>
  </r>
  <r>
    <d v="2024-03-29T05:14:26"/>
    <s v="Truck_1"/>
    <n v="36.518500000000003"/>
    <n v="-71.971800000000002"/>
    <n v="324"/>
    <x v="2"/>
    <n v="28.2"/>
    <n v="56.8"/>
    <s v="Heavy"/>
    <n v="10"/>
    <n v="249"/>
    <n v="7"/>
    <s v="None"/>
    <n v="76.7"/>
    <n v="298"/>
    <x v="0"/>
  </r>
  <r>
    <d v="2024-04-03T14:11:16"/>
    <s v="Truck_5"/>
    <n v="-10.8232"/>
    <n v="144.09819999999999"/>
    <n v="401"/>
    <x v="1"/>
    <n v="26.3"/>
    <n v="59.4"/>
    <s v="Heavy"/>
    <n v="30"/>
    <n v="268"/>
    <n v="7"/>
    <s v="None"/>
    <n v="67.599999999999994"/>
    <n v="225"/>
    <x v="0"/>
  </r>
  <r>
    <d v="2024-12-15T14:02:28"/>
    <s v="Truck_1"/>
    <n v="-37.919499999999999"/>
    <n v="-99.376800000000003"/>
    <n v="182"/>
    <x v="0"/>
    <n v="22.9"/>
    <n v="54.4"/>
    <s v="Detour"/>
    <n v="50"/>
    <n v="135"/>
    <n v="3"/>
    <s v="None"/>
    <n v="98.4"/>
    <n v="268"/>
    <x v="0"/>
  </r>
  <r>
    <d v="2024-08-06T13:23:18"/>
    <s v="Truck_6"/>
    <n v="-7.2984"/>
    <n v="-44.591799999999999"/>
    <n v="264"/>
    <x v="2"/>
    <n v="29.5"/>
    <n v="67.3"/>
    <s v="Heavy"/>
    <n v="32"/>
    <n v="314"/>
    <n v="8"/>
    <s v="Traffic"/>
    <n v="65.900000000000006"/>
    <n v="202"/>
    <x v="0"/>
  </r>
  <r>
    <d v="2024-03-14T02:35:33"/>
    <s v="Truck_8"/>
    <n v="13.6845"/>
    <n v="-126.4199"/>
    <n v="293"/>
    <x v="2"/>
    <n v="23.8"/>
    <n v="62.8"/>
    <s v="Detour"/>
    <n v="19"/>
    <n v="135"/>
    <n v="1"/>
    <s v="Mechanical Failure"/>
    <n v="98.8"/>
    <n v="291"/>
    <x v="1"/>
  </r>
  <r>
    <d v="2024-08-27T00:34:46"/>
    <s v="Truck_10"/>
    <n v="-70.642799999999994"/>
    <n v="166.3723"/>
    <n v="343"/>
    <x v="1"/>
    <n v="29.5"/>
    <n v="59.8"/>
    <s v="Detour"/>
    <n v="35"/>
    <n v="294"/>
    <n v="8"/>
    <s v="None"/>
    <n v="73.7"/>
    <n v="256"/>
    <x v="1"/>
  </r>
  <r>
    <d v="2024-04-24T20:50:47"/>
    <s v="Truck_4"/>
    <n v="-19.392900000000001"/>
    <n v="-10.2537"/>
    <n v="103"/>
    <x v="1"/>
    <n v="24.8"/>
    <n v="79.3"/>
    <s v="Heavy"/>
    <n v="22"/>
    <n v="393"/>
    <n v="9"/>
    <s v="Weather"/>
    <n v="88.6"/>
    <n v="108"/>
    <x v="0"/>
  </r>
  <r>
    <d v="2024-09-09T21:41:33"/>
    <s v="Truck_9"/>
    <n v="-32.514099999999999"/>
    <n v="-170.95660000000001"/>
    <n v="295"/>
    <x v="2"/>
    <n v="23.6"/>
    <n v="72.8"/>
    <s v="Detour"/>
    <n v="18"/>
    <n v="327"/>
    <n v="5"/>
    <s v="None"/>
    <n v="92.1"/>
    <n v="283"/>
    <x v="1"/>
  </r>
  <r>
    <d v="2024-06-20T13:57:57"/>
    <s v="Truck_10"/>
    <n v="59.378300000000003"/>
    <n v="74.962800000000001"/>
    <n v="300"/>
    <x v="2"/>
    <n v="27.4"/>
    <n v="52.8"/>
    <s v="Detour"/>
    <n v="35"/>
    <n v="431"/>
    <n v="10"/>
    <s v="None"/>
    <n v="81.2"/>
    <n v="120"/>
    <x v="1"/>
  </r>
  <r>
    <d v="2024-06-02T10:54:33"/>
    <s v="Truck_7"/>
    <n v="-36.2517"/>
    <n v="72.472800000000007"/>
    <n v="108"/>
    <x v="2"/>
    <n v="27.9"/>
    <n v="65.599999999999994"/>
    <s v="Heavy"/>
    <n v="46"/>
    <n v="138"/>
    <n v="4"/>
    <s v="Traffic"/>
    <n v="82.7"/>
    <n v="173"/>
    <x v="0"/>
  </r>
  <r>
    <d v="2024-07-09T23:21:47"/>
    <s v="Truck_8"/>
    <n v="-55.985399999999998"/>
    <n v="-149.89580000000001"/>
    <n v="153"/>
    <x v="0"/>
    <n v="27.5"/>
    <n v="69.900000000000006"/>
    <s v="Detour"/>
    <n v="24"/>
    <n v="118"/>
    <n v="7"/>
    <s v="Weather"/>
    <n v="62.5"/>
    <n v="237"/>
    <x v="0"/>
  </r>
  <r>
    <d v="2024-07-03T09:52:55"/>
    <s v="Truck_8"/>
    <n v="27.325900000000001"/>
    <n v="-116.20659999999999"/>
    <n v="336"/>
    <x v="1"/>
    <n v="22.5"/>
    <n v="51.6"/>
    <s v="Detour"/>
    <n v="11"/>
    <n v="446"/>
    <n v="6"/>
    <s v="None"/>
    <n v="70.2"/>
    <n v="275"/>
    <x v="1"/>
  </r>
  <r>
    <d v="2024-12-09T20:35:02"/>
    <s v="Truck_9"/>
    <n v="27.735700000000001"/>
    <n v="-170.57660000000001"/>
    <n v="211"/>
    <x v="0"/>
    <n v="21.7"/>
    <n v="52.3"/>
    <s v="Detour"/>
    <n v="11"/>
    <n v="401"/>
    <n v="9"/>
    <s v="None"/>
    <n v="66.2"/>
    <n v="241"/>
    <x v="0"/>
  </r>
  <r>
    <d v="2024-03-14T00:55:34"/>
    <s v="Truck_4"/>
    <n v="23.202300000000001"/>
    <n v="92.276300000000006"/>
    <n v="144"/>
    <x v="2"/>
    <n v="21.1"/>
    <n v="58.8"/>
    <s v="Clear"/>
    <n v="35"/>
    <n v="443"/>
    <n v="10"/>
    <s v="Mechanical Failure"/>
    <n v="89"/>
    <n v="141"/>
    <x v="1"/>
  </r>
  <r>
    <d v="2024-05-28T06:29:51"/>
    <s v="Truck_10"/>
    <n v="87.512900000000002"/>
    <n v="-65.092200000000005"/>
    <n v="224"/>
    <x v="0"/>
    <n v="21.7"/>
    <n v="78.5"/>
    <s v="Clear"/>
    <n v="20"/>
    <n v="428"/>
    <n v="7"/>
    <s v="None"/>
    <n v="72.400000000000006"/>
    <n v="287"/>
    <x v="0"/>
  </r>
  <r>
    <d v="2024-11-22T23:49:18"/>
    <s v="Truck_9"/>
    <n v="81.197500000000005"/>
    <n v="137.0497"/>
    <n v="185"/>
    <x v="1"/>
    <n v="19.899999999999999"/>
    <n v="66.3"/>
    <s v="Detour"/>
    <n v="59"/>
    <n v="264"/>
    <n v="4"/>
    <s v="None"/>
    <n v="65.2"/>
    <n v="177"/>
    <x v="1"/>
  </r>
  <r>
    <d v="2024-04-21T03:47:52"/>
    <s v="Truck_4"/>
    <n v="55.918999999999997"/>
    <n v="-39.578000000000003"/>
    <n v="220"/>
    <x v="1"/>
    <n v="28.2"/>
    <n v="55.4"/>
    <s v="Clear"/>
    <n v="10"/>
    <n v="203"/>
    <n v="8"/>
    <s v="Weather"/>
    <n v="81.099999999999994"/>
    <n v="281"/>
    <x v="1"/>
  </r>
  <r>
    <d v="2024-03-15T07:02:10"/>
    <s v="Truck_5"/>
    <n v="-15.3314"/>
    <n v="22.396999999999998"/>
    <n v="236"/>
    <x v="1"/>
    <n v="18.3"/>
    <n v="69"/>
    <s v="Clear"/>
    <n v="34"/>
    <n v="303"/>
    <n v="2"/>
    <s v="Mechanical Failure"/>
    <n v="62.6"/>
    <n v="270"/>
    <x v="1"/>
  </r>
  <r>
    <d v="2024-03-22T14:12:36"/>
    <s v="Truck_10"/>
    <n v="-55.360300000000002"/>
    <n v="79.127600000000001"/>
    <n v="159"/>
    <x v="0"/>
    <n v="29.7"/>
    <n v="69.599999999999994"/>
    <s v="Clear"/>
    <n v="49"/>
    <n v="227"/>
    <n v="1"/>
    <s v="None"/>
    <n v="62"/>
    <n v="232"/>
    <x v="0"/>
  </r>
  <r>
    <d v="2024-09-18T16:35:57"/>
    <s v="Truck_6"/>
    <n v="8.3933999999999997"/>
    <n v="-165.20679999999999"/>
    <n v="433"/>
    <x v="0"/>
    <n v="26.4"/>
    <n v="69.3"/>
    <s v="Detour"/>
    <n v="25"/>
    <n v="127"/>
    <n v="8"/>
    <s v="None"/>
    <n v="84.5"/>
    <n v="125"/>
    <x v="0"/>
  </r>
  <r>
    <d v="2024-11-20T19:12:02"/>
    <s v="Truck_7"/>
    <n v="27.498999999999999"/>
    <n v="-98.069699999999997"/>
    <n v="109"/>
    <x v="1"/>
    <n v="25.1"/>
    <n v="76.5"/>
    <s v="Heavy"/>
    <n v="16"/>
    <n v="356"/>
    <n v="5"/>
    <s v="None"/>
    <n v="64.900000000000006"/>
    <n v="127"/>
    <x v="0"/>
  </r>
  <r>
    <d v="2024-04-08T18:13:51"/>
    <s v="Truck_6"/>
    <n v="14.686999999999999"/>
    <n v="-33.9771"/>
    <n v="453"/>
    <x v="1"/>
    <n v="25.8"/>
    <n v="78.599999999999994"/>
    <s v="Detour"/>
    <n v="21"/>
    <n v="142"/>
    <n v="10"/>
    <s v="Mechanical Failure"/>
    <n v="85.7"/>
    <n v="180"/>
    <x v="1"/>
  </r>
  <r>
    <d v="2024-01-13T16:35:47"/>
    <s v="Truck_9"/>
    <n v="19.3645"/>
    <n v="-149.45230000000001"/>
    <n v="169"/>
    <x v="1"/>
    <n v="28.6"/>
    <n v="78.8"/>
    <s v="Heavy"/>
    <n v="27"/>
    <n v="482"/>
    <n v="4"/>
    <s v="Traffic"/>
    <n v="80.5"/>
    <n v="122"/>
    <x v="0"/>
  </r>
  <r>
    <d v="2024-11-11T04:35:37"/>
    <s v="Truck_7"/>
    <n v="38.085799999999999"/>
    <n v="-149.297"/>
    <n v="105"/>
    <x v="0"/>
    <n v="23.6"/>
    <n v="54.4"/>
    <s v="Detour"/>
    <n v="18"/>
    <n v="364"/>
    <n v="10"/>
    <s v="Traffic"/>
    <n v="76"/>
    <n v="158"/>
    <x v="0"/>
  </r>
  <r>
    <d v="2024-10-04T16:05:37"/>
    <s v="Truck_9"/>
    <n v="4.3789999999999996"/>
    <n v="97.635400000000004"/>
    <n v="256"/>
    <x v="2"/>
    <n v="29.6"/>
    <n v="73.7"/>
    <s v="Heavy"/>
    <n v="20"/>
    <n v="309"/>
    <n v="8"/>
    <s v="Weather"/>
    <n v="83.4"/>
    <n v="142"/>
    <x v="0"/>
  </r>
  <r>
    <d v="2024-05-12T21:29:39"/>
    <s v="Truck_8"/>
    <n v="-28.854199999999999"/>
    <n v="119.50190000000001"/>
    <n v="309"/>
    <x v="2"/>
    <n v="22.8"/>
    <n v="52.8"/>
    <s v="Clear"/>
    <n v="19"/>
    <n v="101"/>
    <n v="2"/>
    <s v="Mechanical Failure"/>
    <n v="85.5"/>
    <n v="242"/>
    <x v="1"/>
  </r>
  <r>
    <d v="2024-12-23T04:59:36"/>
    <s v="Truck_9"/>
    <n v="-17.584299999999999"/>
    <n v="-151.1609"/>
    <n v="346"/>
    <x v="2"/>
    <n v="26.9"/>
    <n v="70.599999999999994"/>
    <s v="Detour"/>
    <n v="44"/>
    <n v="192"/>
    <n v="9"/>
    <s v="Traffic"/>
    <n v="76.2"/>
    <n v="239"/>
    <x v="1"/>
  </r>
  <r>
    <d v="2024-06-15T00:46:44"/>
    <s v="Truck_4"/>
    <n v="15.5281"/>
    <n v="-170.39410000000001"/>
    <n v="302"/>
    <x v="0"/>
    <n v="24.6"/>
    <n v="60.6"/>
    <s v="Heavy"/>
    <n v="30"/>
    <n v="431"/>
    <n v="3"/>
    <s v="None"/>
    <n v="76"/>
    <n v="127"/>
    <x v="0"/>
  </r>
  <r>
    <d v="2024-07-18T17:29:17"/>
    <s v="Truck_4"/>
    <n v="-83.898300000000006"/>
    <n v="-128.16419999999999"/>
    <n v="181"/>
    <x v="1"/>
    <n v="24.7"/>
    <n v="63.4"/>
    <s v="Heavy"/>
    <n v="25"/>
    <n v="107"/>
    <n v="8"/>
    <s v="None"/>
    <n v="71.3"/>
    <n v="265"/>
    <x v="0"/>
  </r>
  <r>
    <d v="2024-02-10T08:40:55"/>
    <s v="Truck_9"/>
    <n v="-25.482299999999999"/>
    <n v="169.19210000000001"/>
    <n v="282"/>
    <x v="0"/>
    <n v="21.8"/>
    <n v="63.6"/>
    <s v="Clear"/>
    <n v="43"/>
    <n v="370"/>
    <n v="7"/>
    <s v="Traffic"/>
    <n v="69.400000000000006"/>
    <n v="251"/>
    <x v="0"/>
  </r>
  <r>
    <d v="2024-09-09T10:46:47"/>
    <s v="Truck_10"/>
    <n v="-69.492999999999995"/>
    <n v="-118.9742"/>
    <n v="398"/>
    <x v="2"/>
    <n v="26.5"/>
    <n v="64.8"/>
    <s v="Heavy"/>
    <n v="44"/>
    <n v="387"/>
    <n v="1"/>
    <s v="None"/>
    <n v="90.6"/>
    <n v="122"/>
    <x v="0"/>
  </r>
  <r>
    <d v="2024-04-19T08:18:04"/>
    <s v="Truck_1"/>
    <n v="-8.0714000000000006"/>
    <n v="-158.03039999999999"/>
    <n v="210"/>
    <x v="1"/>
    <n v="24.7"/>
    <n v="65"/>
    <s v="Heavy"/>
    <n v="50"/>
    <n v="185"/>
    <n v="10"/>
    <s v="Mechanical Failure"/>
    <n v="84.1"/>
    <n v="140"/>
    <x v="0"/>
  </r>
  <r>
    <d v="2024-08-05T18:45:24"/>
    <s v="Truck_9"/>
    <n v="-59.991900000000001"/>
    <n v="-162.9143"/>
    <n v="188"/>
    <x v="0"/>
    <n v="22.4"/>
    <n v="78"/>
    <s v="Heavy"/>
    <n v="40"/>
    <n v="372"/>
    <n v="6"/>
    <s v="Weather"/>
    <n v="98"/>
    <n v="237"/>
    <x v="0"/>
  </r>
  <r>
    <d v="2024-06-14T18:40:07"/>
    <s v="Truck_3"/>
    <n v="-47.523899999999998"/>
    <n v="58.4771"/>
    <n v="298"/>
    <x v="0"/>
    <n v="19.600000000000001"/>
    <n v="76.099999999999994"/>
    <s v="Heavy"/>
    <n v="22"/>
    <n v="396"/>
    <n v="7"/>
    <s v="None"/>
    <n v="65"/>
    <n v="230"/>
    <x v="0"/>
  </r>
  <r>
    <d v="2024-10-18T23:50:28"/>
    <s v="Truck_10"/>
    <n v="-39.805199999999999"/>
    <n v="-126.40730000000001"/>
    <n v="298"/>
    <x v="0"/>
    <n v="24"/>
    <n v="63.5"/>
    <s v="Detour"/>
    <n v="25"/>
    <n v="456"/>
    <n v="2"/>
    <s v="None"/>
    <n v="78.900000000000006"/>
    <n v="147"/>
    <x v="0"/>
  </r>
  <r>
    <d v="2024-04-28T01:31:58"/>
    <s v="Truck_3"/>
    <n v="54.053699999999999"/>
    <n v="-145.9922"/>
    <n v="326"/>
    <x v="0"/>
    <n v="20"/>
    <n v="56.6"/>
    <s v="Detour"/>
    <n v="17"/>
    <n v="260"/>
    <n v="6"/>
    <s v="Weather"/>
    <n v="67.5"/>
    <n v="162"/>
    <x v="0"/>
  </r>
  <r>
    <d v="2024-11-11T08:44:54"/>
    <s v="Truck_6"/>
    <n v="7.0590999999999999"/>
    <n v="46.718800000000002"/>
    <n v="354"/>
    <x v="0"/>
    <n v="18.399999999999999"/>
    <n v="77.5"/>
    <s v="Heavy"/>
    <n v="40"/>
    <n v="262"/>
    <n v="7"/>
    <s v="Traffic"/>
    <n v="68.5"/>
    <n v="282"/>
    <x v="0"/>
  </r>
  <r>
    <d v="2024-09-13T10:52:43"/>
    <s v="Truck_4"/>
    <n v="-50.363300000000002"/>
    <n v="99.583399999999997"/>
    <n v="269"/>
    <x v="1"/>
    <n v="22.4"/>
    <n v="63.6"/>
    <s v="Detour"/>
    <n v="54"/>
    <n v="481"/>
    <n v="7"/>
    <s v="Traffic"/>
    <n v="82.5"/>
    <n v="183"/>
    <x v="1"/>
  </r>
  <r>
    <d v="2024-06-14T17:14:20"/>
    <s v="Truck_4"/>
    <n v="51.932699999999997"/>
    <n v="-102.43089999999999"/>
    <n v="475"/>
    <x v="2"/>
    <n v="29.3"/>
    <n v="62.8"/>
    <s v="Clear"/>
    <n v="29"/>
    <n v="359"/>
    <n v="9"/>
    <s v="Mechanical Failure"/>
    <n v="95.1"/>
    <n v="122"/>
    <x v="1"/>
  </r>
  <r>
    <d v="2024-01-02T15:30:44"/>
    <s v="Truck_4"/>
    <n v="-36.487000000000002"/>
    <n v="14.5024"/>
    <n v="372"/>
    <x v="0"/>
    <n v="20.399999999999999"/>
    <n v="57.2"/>
    <s v="Clear"/>
    <n v="29"/>
    <n v="153"/>
    <n v="1"/>
    <s v="Weather"/>
    <n v="78.2"/>
    <n v="221"/>
    <x v="0"/>
  </r>
  <r>
    <d v="2024-10-06T04:58:42"/>
    <s v="Truck_5"/>
    <n v="27.2654"/>
    <n v="-34.104199999999999"/>
    <n v="201"/>
    <x v="1"/>
    <n v="26"/>
    <n v="51.5"/>
    <s v="Clear"/>
    <n v="40"/>
    <n v="429"/>
    <n v="4"/>
    <s v="Weather"/>
    <n v="87"/>
    <n v="107"/>
    <x v="1"/>
  </r>
  <r>
    <d v="2024-06-04T16:47:14"/>
    <s v="Truck_7"/>
    <n v="15.2159"/>
    <n v="-55.681399999999996"/>
    <n v="441"/>
    <x v="1"/>
    <n v="25.3"/>
    <n v="72.900000000000006"/>
    <s v="Clear"/>
    <n v="47"/>
    <n v="152"/>
    <n v="4"/>
    <s v="Weather"/>
    <n v="67.400000000000006"/>
    <n v="256"/>
    <x v="1"/>
  </r>
  <r>
    <d v="2024-02-02T12:17:02"/>
    <s v="Truck_6"/>
    <n v="27.4437"/>
    <n v="43.322400000000002"/>
    <n v="246"/>
    <x v="0"/>
    <n v="25.3"/>
    <n v="57.4"/>
    <s v="Clear"/>
    <n v="33"/>
    <n v="298"/>
    <n v="8"/>
    <s v="Traffic"/>
    <n v="70.400000000000006"/>
    <n v="110"/>
    <x v="0"/>
  </r>
  <r>
    <d v="2024-06-22T07:42:17"/>
    <s v="Truck_10"/>
    <n v="-58.692799999999998"/>
    <n v="165.86670000000001"/>
    <n v="180"/>
    <x v="0"/>
    <n v="25.4"/>
    <n v="50.4"/>
    <s v="Heavy"/>
    <n v="32"/>
    <n v="246"/>
    <n v="2"/>
    <s v="Mechanical Failure"/>
    <n v="65.400000000000006"/>
    <n v="203"/>
    <x v="0"/>
  </r>
  <r>
    <d v="2024-03-01T14:48:13"/>
    <s v="Truck_9"/>
    <n v="-38.073700000000002"/>
    <n v="56.072299999999998"/>
    <n v="127"/>
    <x v="0"/>
    <n v="21"/>
    <n v="54.6"/>
    <s v="Detour"/>
    <n v="13"/>
    <n v="452"/>
    <n v="9"/>
    <s v="Mechanical Failure"/>
    <n v="79"/>
    <n v="299"/>
    <x v="0"/>
  </r>
  <r>
    <d v="2024-08-19T01:36:00"/>
    <s v="Truck_3"/>
    <n v="-50.677799999999998"/>
    <n v="-102.041"/>
    <n v="246"/>
    <x v="0"/>
    <n v="20.8"/>
    <n v="79.2"/>
    <s v="Heavy"/>
    <n v="55"/>
    <n v="325"/>
    <n v="2"/>
    <s v="None"/>
    <n v="80.5"/>
    <n v="271"/>
    <x v="0"/>
  </r>
  <r>
    <d v="2024-11-17T02:22:02"/>
    <s v="Truck_2"/>
    <n v="-88.775999999999996"/>
    <n v="-125.1628"/>
    <n v="470"/>
    <x v="2"/>
    <n v="21.5"/>
    <n v="51"/>
    <s v="Heavy"/>
    <n v="59"/>
    <n v="293"/>
    <n v="7"/>
    <s v="Mechanical Failure"/>
    <n v="86.6"/>
    <n v="113"/>
    <x v="0"/>
  </r>
  <r>
    <d v="2024-07-29T00:17:00"/>
    <s v="Truck_8"/>
    <n v="69.691000000000003"/>
    <n v="148.6549"/>
    <n v="386"/>
    <x v="0"/>
    <n v="25.9"/>
    <n v="71.599999999999994"/>
    <s v="Clear"/>
    <n v="36"/>
    <n v="193"/>
    <n v="10"/>
    <s v="Weather"/>
    <n v="72"/>
    <n v="299"/>
    <x v="0"/>
  </r>
  <r>
    <d v="2024-05-17T21:00:51"/>
    <s v="Truck_8"/>
    <n v="-82.261600000000001"/>
    <n v="-141.82499999999999"/>
    <n v="325"/>
    <x v="1"/>
    <n v="26.2"/>
    <n v="64.3"/>
    <s v="Clear"/>
    <n v="31"/>
    <n v="491"/>
    <n v="7"/>
    <s v="Mechanical Failure"/>
    <n v="60.7"/>
    <n v="290"/>
    <x v="1"/>
  </r>
  <r>
    <d v="2024-03-11T20:09:54"/>
    <s v="Truck_1"/>
    <n v="2.7286000000000001"/>
    <n v="-99.544200000000004"/>
    <n v="432"/>
    <x v="1"/>
    <n v="25.9"/>
    <n v="65.8"/>
    <s v="Clear"/>
    <n v="42"/>
    <n v="265"/>
    <n v="8"/>
    <s v="None"/>
    <n v="86.8"/>
    <n v="140"/>
    <x v="1"/>
  </r>
  <r>
    <d v="2024-07-18T05:42:03"/>
    <s v="Truck_7"/>
    <n v="84.249799999999993"/>
    <n v="-60.886099999999999"/>
    <n v="273"/>
    <x v="0"/>
    <n v="20.2"/>
    <n v="72.2"/>
    <s v="Clear"/>
    <n v="19"/>
    <n v="115"/>
    <n v="5"/>
    <s v="None"/>
    <n v="68.8"/>
    <n v="238"/>
    <x v="0"/>
  </r>
  <r>
    <d v="2024-11-13T11:31:44"/>
    <s v="Truck_4"/>
    <n v="8.7621000000000002"/>
    <n v="-2.9218000000000002"/>
    <n v="492"/>
    <x v="2"/>
    <n v="21.6"/>
    <n v="78.3"/>
    <s v="Clear"/>
    <n v="58"/>
    <n v="122"/>
    <n v="9"/>
    <s v="None"/>
    <n v="61.2"/>
    <n v="202"/>
    <x v="1"/>
  </r>
  <r>
    <d v="2024-01-01T11:37:57"/>
    <s v="Truck_4"/>
    <n v="-59.075299999999999"/>
    <n v="68.488600000000005"/>
    <n v="303"/>
    <x v="1"/>
    <n v="24.6"/>
    <n v="68.599999999999994"/>
    <s v="Detour"/>
    <n v="50"/>
    <n v="213"/>
    <n v="6"/>
    <s v="Mechanical Failure"/>
    <n v="97.1"/>
    <n v="297"/>
    <x v="1"/>
  </r>
  <r>
    <d v="2024-10-07T18:21:07"/>
    <s v="Truck_6"/>
    <n v="5.7218"/>
    <n v="-96.580600000000004"/>
    <n v="270"/>
    <x v="1"/>
    <n v="28.1"/>
    <n v="73.599999999999994"/>
    <s v="Clear"/>
    <n v="57"/>
    <n v="283"/>
    <n v="2"/>
    <s v="Mechanical Failure"/>
    <n v="92.3"/>
    <n v="122"/>
    <x v="1"/>
  </r>
  <r>
    <d v="2024-07-16T16:39:04"/>
    <s v="Truck_4"/>
    <n v="-38.315800000000003"/>
    <n v="-38.325699999999998"/>
    <n v="382"/>
    <x v="2"/>
    <n v="21.6"/>
    <n v="50.5"/>
    <s v="Detour"/>
    <n v="31"/>
    <n v="160"/>
    <n v="8"/>
    <s v="Weather"/>
    <n v="94.8"/>
    <n v="261"/>
    <x v="1"/>
  </r>
  <r>
    <d v="2024-04-13T17:33:52"/>
    <s v="Truck_4"/>
    <n v="-87.404200000000003"/>
    <n v="-127.32689999999999"/>
    <n v="197"/>
    <x v="2"/>
    <n v="23.3"/>
    <n v="53.5"/>
    <s v="Heavy"/>
    <n v="41"/>
    <n v="259"/>
    <n v="9"/>
    <s v="Weather"/>
    <n v="91.3"/>
    <n v="211"/>
    <x v="0"/>
  </r>
  <r>
    <d v="2024-08-11T02:18:19"/>
    <s v="Truck_9"/>
    <n v="-77.364800000000002"/>
    <n v="30.974399999999999"/>
    <n v="368"/>
    <x v="1"/>
    <n v="25"/>
    <n v="60.7"/>
    <s v="Clear"/>
    <n v="37"/>
    <n v="382"/>
    <n v="5"/>
    <s v="Weather"/>
    <n v="82.8"/>
    <n v="225"/>
    <x v="1"/>
  </r>
  <r>
    <d v="2024-01-19T00:15:26"/>
    <s v="Truck_7"/>
    <n v="-73.047700000000006"/>
    <n v="124.79689999999999"/>
    <n v="223"/>
    <x v="1"/>
    <n v="19.5"/>
    <n v="55.6"/>
    <s v="Clear"/>
    <n v="23"/>
    <n v="154"/>
    <n v="4"/>
    <s v="Weather"/>
    <n v="62.9"/>
    <n v="217"/>
    <x v="1"/>
  </r>
  <r>
    <d v="2024-12-26T03:50:18"/>
    <s v="Truck_7"/>
    <n v="-27.576000000000001"/>
    <n v="-111.3158"/>
    <n v="340"/>
    <x v="0"/>
    <n v="25.9"/>
    <n v="75.3"/>
    <s v="Detour"/>
    <n v="18"/>
    <n v="424"/>
    <n v="7"/>
    <s v="Weather"/>
    <n v="67.3"/>
    <n v="287"/>
    <x v="0"/>
  </r>
  <r>
    <d v="2024-01-10T12:44:17"/>
    <s v="Truck_10"/>
    <n v="49.9465"/>
    <n v="-30.023599999999998"/>
    <n v="355"/>
    <x v="2"/>
    <n v="20.2"/>
    <n v="51.3"/>
    <s v="Clear"/>
    <n v="49"/>
    <n v="323"/>
    <n v="4"/>
    <s v="Mechanical Failure"/>
    <n v="72.599999999999994"/>
    <n v="100"/>
    <x v="1"/>
  </r>
  <r>
    <d v="2024-10-23T13:13:06"/>
    <s v="Truck_2"/>
    <n v="-50.685600000000001"/>
    <n v="-9.6235999999999997"/>
    <n v="158"/>
    <x v="1"/>
    <n v="26.6"/>
    <n v="63.8"/>
    <s v="Heavy"/>
    <n v="51"/>
    <n v="199"/>
    <n v="4"/>
    <s v="None"/>
    <n v="84.8"/>
    <n v="114"/>
    <x v="0"/>
  </r>
  <r>
    <d v="2024-07-31T19:53:22"/>
    <s v="Truck_10"/>
    <n v="84.112200000000001"/>
    <n v="-87.899000000000001"/>
    <n v="126"/>
    <x v="0"/>
    <n v="25.1"/>
    <n v="58"/>
    <s v="Detour"/>
    <n v="47"/>
    <n v="291"/>
    <n v="7"/>
    <s v="Traffic"/>
    <n v="92.3"/>
    <n v="123"/>
    <x v="0"/>
  </r>
  <r>
    <d v="2024-08-05T22:26:07"/>
    <s v="Truck_8"/>
    <n v="49.919699999999999"/>
    <n v="79.465299999999999"/>
    <n v="309"/>
    <x v="1"/>
    <n v="20.6"/>
    <n v="77.3"/>
    <s v="Clear"/>
    <n v="60"/>
    <n v="177"/>
    <n v="5"/>
    <s v="Weather"/>
    <n v="69.2"/>
    <n v="271"/>
    <x v="1"/>
  </r>
  <r>
    <d v="2024-02-14T00:45:03"/>
    <s v="Truck_10"/>
    <n v="-44.625399999999999"/>
    <n v="44.087600000000002"/>
    <n v="171"/>
    <x v="0"/>
    <n v="22.6"/>
    <n v="69.900000000000006"/>
    <s v="Detour"/>
    <n v="26"/>
    <n v="104"/>
    <n v="2"/>
    <s v="Weather"/>
    <n v="88.1"/>
    <n v="132"/>
    <x v="0"/>
  </r>
  <r>
    <d v="2024-12-14T00:45:10"/>
    <s v="Truck_6"/>
    <n v="-57.3005"/>
    <n v="-23.688800000000001"/>
    <n v="403"/>
    <x v="1"/>
    <n v="29.6"/>
    <n v="63"/>
    <s v="Clear"/>
    <n v="12"/>
    <n v="197"/>
    <n v="4"/>
    <s v="None"/>
    <n v="83.8"/>
    <n v="228"/>
    <x v="1"/>
  </r>
  <r>
    <d v="2024-07-16T08:12:29"/>
    <s v="Truck_6"/>
    <n v="-47.569800000000001"/>
    <n v="-81.314300000000003"/>
    <n v="181"/>
    <x v="2"/>
    <n v="25.9"/>
    <n v="69.099999999999994"/>
    <s v="Heavy"/>
    <n v="44"/>
    <n v="264"/>
    <n v="9"/>
    <s v="Mechanical Failure"/>
    <n v="69.900000000000006"/>
    <n v="223"/>
    <x v="0"/>
  </r>
  <r>
    <d v="2024-12-08T09:52:23"/>
    <s v="Truck_7"/>
    <n v="-80.267499999999998"/>
    <n v="-80.572599999999994"/>
    <n v="472"/>
    <x v="0"/>
    <n v="23"/>
    <n v="68"/>
    <s v="Heavy"/>
    <n v="34"/>
    <n v="365"/>
    <n v="3"/>
    <s v="Traffic"/>
    <n v="87.8"/>
    <n v="294"/>
    <x v="0"/>
  </r>
  <r>
    <d v="2024-05-08T01:51:55"/>
    <s v="Truck_8"/>
    <n v="-70.321299999999994"/>
    <n v="-61.917900000000003"/>
    <n v="171"/>
    <x v="2"/>
    <n v="25.5"/>
    <n v="51.1"/>
    <s v="Detour"/>
    <n v="43"/>
    <n v="114"/>
    <n v="1"/>
    <s v="Weather"/>
    <n v="92.5"/>
    <n v="149"/>
    <x v="1"/>
  </r>
  <r>
    <d v="2024-07-20T13:33:43"/>
    <s v="Truck_6"/>
    <n v="48.251199999999997"/>
    <n v="-106.6383"/>
    <n v="204"/>
    <x v="0"/>
    <n v="19.2"/>
    <n v="58"/>
    <s v="Heavy"/>
    <n v="50"/>
    <n v="465"/>
    <n v="8"/>
    <s v="Weather"/>
    <n v="85.2"/>
    <n v="133"/>
    <x v="0"/>
  </r>
  <r>
    <d v="2024-10-24T14:59:52"/>
    <s v="Truck_4"/>
    <n v="-74.674899999999994"/>
    <n v="-159.71639999999999"/>
    <n v="254"/>
    <x v="1"/>
    <n v="26.7"/>
    <n v="51.3"/>
    <s v="Detour"/>
    <n v="11"/>
    <n v="378"/>
    <n v="8"/>
    <s v="None"/>
    <n v="90.6"/>
    <n v="208"/>
    <x v="1"/>
  </r>
  <r>
    <d v="2024-11-23T10:56:55"/>
    <s v="Truck_4"/>
    <n v="-46.013199999999998"/>
    <n v="-8.5335000000000001"/>
    <n v="100"/>
    <x v="0"/>
    <n v="21"/>
    <n v="71.2"/>
    <s v="Clear"/>
    <n v="19"/>
    <n v="315"/>
    <n v="9"/>
    <s v="Weather"/>
    <n v="82.2"/>
    <n v="100"/>
    <x v="0"/>
  </r>
  <r>
    <d v="2024-04-18T08:51:00"/>
    <s v="Truck_1"/>
    <n v="9.3293999999999997"/>
    <n v="-71.529899999999998"/>
    <n v="211"/>
    <x v="2"/>
    <n v="23.7"/>
    <n v="66.7"/>
    <s v="Heavy"/>
    <n v="36"/>
    <n v="149"/>
    <n v="1"/>
    <s v="Mechanical Failure"/>
    <n v="60.7"/>
    <n v="256"/>
    <x v="0"/>
  </r>
  <r>
    <d v="2024-08-11T04:43:30"/>
    <s v="Truck_9"/>
    <n v="5.0095000000000001"/>
    <n v="-113.8279"/>
    <n v="145"/>
    <x v="0"/>
    <n v="18.2"/>
    <n v="62.2"/>
    <s v="Heavy"/>
    <n v="56"/>
    <n v="430"/>
    <n v="5"/>
    <s v="Traffic"/>
    <n v="86.7"/>
    <n v="260"/>
    <x v="0"/>
  </r>
  <r>
    <d v="2024-10-09T13:29:04"/>
    <s v="Truck_6"/>
    <n v="-70.809399999999997"/>
    <n v="75.109399999999994"/>
    <n v="244"/>
    <x v="2"/>
    <n v="21.3"/>
    <n v="79.400000000000006"/>
    <s v="Heavy"/>
    <n v="22"/>
    <n v="312"/>
    <n v="9"/>
    <s v="None"/>
    <n v="63.5"/>
    <n v="171"/>
    <x v="0"/>
  </r>
  <r>
    <d v="2024-12-21T15:26:10"/>
    <s v="Truck_1"/>
    <n v="-43.247199999999999"/>
    <n v="163.38210000000001"/>
    <n v="104"/>
    <x v="2"/>
    <n v="29.4"/>
    <n v="59.1"/>
    <s v="Detour"/>
    <n v="58"/>
    <n v="229"/>
    <n v="3"/>
    <s v="Weather"/>
    <n v="82.9"/>
    <n v="283"/>
    <x v="1"/>
  </r>
  <r>
    <d v="2024-01-21T23:13:40"/>
    <s v="Truck_5"/>
    <n v="28.101600000000001"/>
    <n v="167.19820000000001"/>
    <n v="356"/>
    <x v="1"/>
    <n v="18.399999999999999"/>
    <n v="75.2"/>
    <s v="Clear"/>
    <n v="32"/>
    <n v="291"/>
    <n v="6"/>
    <s v="None"/>
    <n v="90.7"/>
    <n v="206"/>
    <x v="1"/>
  </r>
  <r>
    <d v="2024-03-28T07:50:45"/>
    <s v="Truck_4"/>
    <n v="-56.218699999999998"/>
    <n v="27.6037"/>
    <n v="114"/>
    <x v="1"/>
    <n v="26.8"/>
    <n v="62.1"/>
    <s v="Heavy"/>
    <n v="55"/>
    <n v="334"/>
    <n v="6"/>
    <s v="None"/>
    <n v="85.2"/>
    <n v="202"/>
    <x v="0"/>
  </r>
  <r>
    <d v="2024-12-02T10:52:06"/>
    <s v="Truck_6"/>
    <n v="65.053799999999995"/>
    <n v="-146.3887"/>
    <n v="404"/>
    <x v="2"/>
    <n v="19"/>
    <n v="76.2"/>
    <s v="Heavy"/>
    <n v="54"/>
    <n v="230"/>
    <n v="4"/>
    <s v="None"/>
    <n v="83.7"/>
    <n v="171"/>
    <x v="0"/>
  </r>
  <r>
    <d v="2024-12-30T20:21:58"/>
    <s v="Truck_5"/>
    <n v="-30.298999999999999"/>
    <n v="153.4529"/>
    <n v="500"/>
    <x v="2"/>
    <n v="21.7"/>
    <n v="56.2"/>
    <s v="Detour"/>
    <n v="20"/>
    <n v="381"/>
    <n v="10"/>
    <s v="Mechanical Failure"/>
    <n v="90.7"/>
    <n v="222"/>
    <x v="1"/>
  </r>
  <r>
    <d v="2024-09-12T11:42:11"/>
    <s v="Truck_5"/>
    <n v="72.762600000000006"/>
    <n v="105.821"/>
    <n v="375"/>
    <x v="0"/>
    <n v="23"/>
    <n v="76.3"/>
    <s v="Detour"/>
    <n v="49"/>
    <n v="131"/>
    <n v="4"/>
    <s v="None"/>
    <n v="87.8"/>
    <n v="137"/>
    <x v="0"/>
  </r>
  <r>
    <d v="2024-10-24T23:03:49"/>
    <s v="Truck_8"/>
    <n v="61.8446"/>
    <n v="115.5236"/>
    <n v="361"/>
    <x v="1"/>
    <n v="22.3"/>
    <n v="66.8"/>
    <s v="Heavy"/>
    <n v="60"/>
    <n v="157"/>
    <n v="4"/>
    <s v="Traffic"/>
    <n v="79.8"/>
    <n v="247"/>
    <x v="0"/>
  </r>
  <r>
    <d v="2024-03-07T21:52:21"/>
    <s v="Truck_3"/>
    <n v="-31.179200000000002"/>
    <n v="-46.048000000000002"/>
    <n v="239"/>
    <x v="0"/>
    <n v="26.6"/>
    <n v="51.6"/>
    <s v="Detour"/>
    <n v="33"/>
    <n v="333"/>
    <n v="2"/>
    <s v="Traffic"/>
    <n v="95.1"/>
    <n v="277"/>
    <x v="0"/>
  </r>
  <r>
    <d v="2024-01-03T13:08:23"/>
    <s v="Truck_10"/>
    <n v="-43.200400000000002"/>
    <n v="134.85720000000001"/>
    <n v="191"/>
    <x v="1"/>
    <n v="24"/>
    <n v="59.7"/>
    <s v="Clear"/>
    <n v="51"/>
    <n v="268"/>
    <n v="8"/>
    <s v="None"/>
    <n v="97"/>
    <n v="111"/>
    <x v="1"/>
  </r>
  <r>
    <d v="2024-12-08T00:24:42"/>
    <s v="Truck_2"/>
    <n v="-79.637200000000007"/>
    <n v="-111.7492"/>
    <n v="171"/>
    <x v="0"/>
    <n v="21.3"/>
    <n v="58.7"/>
    <s v="Detour"/>
    <n v="10"/>
    <n v="292"/>
    <n v="4"/>
    <s v="Traffic"/>
    <n v="65"/>
    <n v="184"/>
    <x v="0"/>
  </r>
  <r>
    <d v="2024-09-13T08:58:09"/>
    <s v="Truck_5"/>
    <n v="66.837999999999994"/>
    <n v="-175.16810000000001"/>
    <n v="113"/>
    <x v="0"/>
    <n v="28.9"/>
    <n v="56.3"/>
    <s v="Heavy"/>
    <n v="22"/>
    <n v="417"/>
    <n v="6"/>
    <s v="Weather"/>
    <n v="60.8"/>
    <n v="142"/>
    <x v="0"/>
  </r>
  <r>
    <d v="2024-07-31T22:16:07"/>
    <s v="Truck_4"/>
    <n v="13.7736"/>
    <n v="12.991099999999999"/>
    <n v="298"/>
    <x v="1"/>
    <n v="18.8"/>
    <n v="79.5"/>
    <s v="Detour"/>
    <n v="51"/>
    <n v="393"/>
    <n v="4"/>
    <s v="Traffic"/>
    <n v="74.599999999999994"/>
    <n v="110"/>
    <x v="1"/>
  </r>
  <r>
    <d v="2024-11-25T22:59:58"/>
    <s v="Truck_8"/>
    <n v="-66.269599999999997"/>
    <n v="-82.057900000000004"/>
    <n v="184"/>
    <x v="2"/>
    <n v="26"/>
    <n v="59.6"/>
    <s v="Heavy"/>
    <n v="34"/>
    <n v="235"/>
    <n v="6"/>
    <s v="Mechanical Failure"/>
    <n v="66.7"/>
    <n v="299"/>
    <x v="0"/>
  </r>
  <r>
    <d v="2024-05-30T15:40:45"/>
    <s v="Truck_4"/>
    <n v="5.1238000000000001"/>
    <n v="-67.8583"/>
    <n v="298"/>
    <x v="2"/>
    <n v="18.899999999999999"/>
    <n v="65.900000000000006"/>
    <s v="Detour"/>
    <n v="41"/>
    <n v="269"/>
    <n v="2"/>
    <s v="None"/>
    <n v="64.8"/>
    <n v="234"/>
    <x v="1"/>
  </r>
  <r>
    <d v="2024-03-05T20:59:12"/>
    <s v="Truck_3"/>
    <n v="-85.871499999999997"/>
    <n v="-162.7167"/>
    <n v="439"/>
    <x v="0"/>
    <n v="25.1"/>
    <n v="66.099999999999994"/>
    <s v="Clear"/>
    <n v="46"/>
    <n v="151"/>
    <n v="4"/>
    <s v="None"/>
    <n v="79.2"/>
    <n v="209"/>
    <x v="0"/>
  </r>
  <r>
    <d v="2024-08-20T15:30:04"/>
    <s v="Truck_3"/>
    <n v="86.267899999999997"/>
    <n v="-50.789499999999997"/>
    <n v="142"/>
    <x v="0"/>
    <n v="28"/>
    <n v="67.2"/>
    <s v="Heavy"/>
    <n v="49"/>
    <n v="458"/>
    <n v="8"/>
    <s v="Traffic"/>
    <n v="92.5"/>
    <n v="224"/>
    <x v="0"/>
  </r>
  <r>
    <d v="2024-09-19T12:19:09"/>
    <s v="Truck_6"/>
    <n v="21.310400000000001"/>
    <n v="-80.529200000000003"/>
    <n v="202"/>
    <x v="2"/>
    <n v="18.5"/>
    <n v="69.5"/>
    <s v="Heavy"/>
    <n v="54"/>
    <n v="261"/>
    <n v="3"/>
    <s v="None"/>
    <n v="62.5"/>
    <n v="213"/>
    <x v="0"/>
  </r>
  <r>
    <d v="2024-03-02T15:37:45"/>
    <s v="Truck_3"/>
    <n v="-2.2841"/>
    <n v="23.415199999999999"/>
    <n v="418"/>
    <x v="0"/>
    <n v="29.6"/>
    <n v="67.400000000000006"/>
    <s v="Heavy"/>
    <n v="54"/>
    <n v="199"/>
    <n v="9"/>
    <s v="Traffic"/>
    <n v="99.9"/>
    <n v="215"/>
    <x v="0"/>
  </r>
  <r>
    <d v="2024-02-24T23:02:05"/>
    <s v="Truck_4"/>
    <n v="-23.4709"/>
    <n v="54.526499999999999"/>
    <n v="458"/>
    <x v="0"/>
    <n v="23.3"/>
    <n v="58.6"/>
    <s v="Heavy"/>
    <n v="43"/>
    <n v="372"/>
    <n v="10"/>
    <s v="Mechanical Failure"/>
    <n v="92.9"/>
    <n v="262"/>
    <x v="0"/>
  </r>
  <r>
    <d v="2024-03-05T11:20:37"/>
    <s v="Truck_8"/>
    <n v="44.505200000000002"/>
    <n v="-178.72810000000001"/>
    <n v="313"/>
    <x v="1"/>
    <n v="18.7"/>
    <n v="74.7"/>
    <s v="Heavy"/>
    <n v="16"/>
    <n v="284"/>
    <n v="3"/>
    <s v="Mechanical Failure"/>
    <n v="69"/>
    <n v="105"/>
    <x v="0"/>
  </r>
  <r>
    <d v="2024-03-04T23:34:51"/>
    <s v="Truck_9"/>
    <n v="-8.1412999999999993"/>
    <n v="92.868099999999998"/>
    <n v="457"/>
    <x v="0"/>
    <n v="18.2"/>
    <n v="62.6"/>
    <s v="Detour"/>
    <n v="18"/>
    <n v="217"/>
    <n v="9"/>
    <s v="None"/>
    <n v="97.8"/>
    <n v="199"/>
    <x v="0"/>
  </r>
  <r>
    <d v="2024-06-30T04:33:59"/>
    <s v="Truck_2"/>
    <n v="0.71179999999999999"/>
    <n v="108.5142"/>
    <n v="298"/>
    <x v="2"/>
    <n v="27.8"/>
    <n v="76.900000000000006"/>
    <s v="Heavy"/>
    <n v="18"/>
    <n v="414"/>
    <n v="5"/>
    <s v="None"/>
    <n v="72.2"/>
    <n v="164"/>
    <x v="0"/>
  </r>
  <r>
    <d v="2024-12-02T10:19:46"/>
    <s v="Truck_4"/>
    <n v="43.225499999999997"/>
    <n v="-143.04150000000001"/>
    <n v="106"/>
    <x v="0"/>
    <n v="23.7"/>
    <n v="74.7"/>
    <s v="Heavy"/>
    <n v="14"/>
    <n v="442"/>
    <n v="4"/>
    <s v="Mechanical Failure"/>
    <n v="83.6"/>
    <n v="276"/>
    <x v="0"/>
  </r>
  <r>
    <d v="2024-08-14T11:03:17"/>
    <s v="Truck_6"/>
    <n v="61.804699999999997"/>
    <n v="-72.121899999999997"/>
    <n v="293"/>
    <x v="2"/>
    <n v="28.5"/>
    <n v="59.3"/>
    <s v="Clear"/>
    <n v="50"/>
    <n v="168"/>
    <n v="4"/>
    <s v="Weather"/>
    <n v="67.2"/>
    <n v="199"/>
    <x v="1"/>
  </r>
  <r>
    <d v="2024-09-13T03:11:29"/>
    <s v="Truck_9"/>
    <n v="-42.692900000000002"/>
    <n v="46.252499999999998"/>
    <n v="301"/>
    <x v="0"/>
    <n v="19.2"/>
    <n v="57.6"/>
    <s v="Heavy"/>
    <n v="16"/>
    <n v="256"/>
    <n v="6"/>
    <s v="None"/>
    <n v="65.400000000000006"/>
    <n v="148"/>
    <x v="0"/>
  </r>
  <r>
    <d v="2024-12-29T18:21:59"/>
    <s v="Truck_1"/>
    <n v="-78.075500000000005"/>
    <n v="-11.8927"/>
    <n v="287"/>
    <x v="1"/>
    <n v="25.2"/>
    <n v="51.8"/>
    <s v="Detour"/>
    <n v="34"/>
    <n v="399"/>
    <n v="2"/>
    <s v="Mechanical Failure"/>
    <n v="85"/>
    <n v="124"/>
    <x v="1"/>
  </r>
  <r>
    <d v="2024-11-19T13:53:15"/>
    <s v="Truck_5"/>
    <n v="65.554699999999997"/>
    <n v="-128.3673"/>
    <n v="237"/>
    <x v="1"/>
    <n v="23.4"/>
    <n v="53.3"/>
    <s v="Detour"/>
    <n v="38"/>
    <n v="109"/>
    <n v="2"/>
    <s v="Mechanical Failure"/>
    <n v="87.9"/>
    <n v="157"/>
    <x v="1"/>
  </r>
  <r>
    <d v="2024-05-27T07:26:13"/>
    <s v="Truck_1"/>
    <n v="-19.557400000000001"/>
    <n v="-65.549300000000002"/>
    <n v="258"/>
    <x v="1"/>
    <n v="25.2"/>
    <n v="67.599999999999994"/>
    <s v="Clear"/>
    <n v="32"/>
    <n v="484"/>
    <n v="7"/>
    <s v="Traffic"/>
    <n v="98.8"/>
    <n v="191"/>
    <x v="1"/>
  </r>
  <r>
    <d v="2024-11-19T20:03:10"/>
    <s v="Truck_3"/>
    <n v="17.708300000000001"/>
    <n v="-162.0043"/>
    <n v="480"/>
    <x v="1"/>
    <n v="27.1"/>
    <n v="76.3"/>
    <s v="Heavy"/>
    <n v="22"/>
    <n v="497"/>
    <n v="9"/>
    <s v="Traffic"/>
    <n v="74.900000000000006"/>
    <n v="183"/>
    <x v="0"/>
  </r>
  <r>
    <d v="2024-09-18T23:04:24"/>
    <s v="Truck_8"/>
    <n v="-52.168599999999998"/>
    <n v="-175.62690000000001"/>
    <n v="441"/>
    <x v="1"/>
    <n v="22.6"/>
    <n v="53.3"/>
    <s v="Clear"/>
    <n v="29"/>
    <n v="343"/>
    <n v="3"/>
    <s v="Mechanical Failure"/>
    <n v="86.5"/>
    <n v="172"/>
    <x v="1"/>
  </r>
  <r>
    <d v="2024-12-16T02:17:00"/>
    <s v="Truck_6"/>
    <n v="-84.237499999999997"/>
    <n v="76.933899999999994"/>
    <n v="346"/>
    <x v="1"/>
    <n v="21.6"/>
    <n v="65.2"/>
    <s v="Clear"/>
    <n v="43"/>
    <n v="402"/>
    <n v="8"/>
    <s v="Traffic"/>
    <n v="96.4"/>
    <n v="157"/>
    <x v="1"/>
  </r>
  <r>
    <d v="2024-09-29T19:01:01"/>
    <s v="Truck_2"/>
    <n v="-7.5990000000000002"/>
    <n v="-78.748900000000006"/>
    <n v="205"/>
    <x v="1"/>
    <n v="23.6"/>
    <n v="76.2"/>
    <s v="Heavy"/>
    <n v="41"/>
    <n v="324"/>
    <n v="2"/>
    <s v="None"/>
    <n v="73.8"/>
    <n v="153"/>
    <x v="0"/>
  </r>
  <r>
    <d v="2024-03-29T01:23:19"/>
    <s v="Truck_2"/>
    <n v="36.621000000000002"/>
    <n v="97.219399999999993"/>
    <n v="477"/>
    <x v="0"/>
    <n v="25.1"/>
    <n v="50.3"/>
    <s v="Detour"/>
    <n v="32"/>
    <n v="297"/>
    <n v="7"/>
    <s v="Traffic"/>
    <n v="96.4"/>
    <n v="212"/>
    <x v="0"/>
  </r>
  <r>
    <d v="2024-07-26T10:09:34"/>
    <s v="Truck_9"/>
    <n v="-7.9898999999999996"/>
    <n v="-23.572299999999998"/>
    <n v="355"/>
    <x v="0"/>
    <n v="19.8"/>
    <n v="60.9"/>
    <s v="Clear"/>
    <n v="24"/>
    <n v="226"/>
    <n v="9"/>
    <s v="Weather"/>
    <n v="62.8"/>
    <n v="243"/>
    <x v="0"/>
  </r>
  <r>
    <d v="2024-12-19T10:36:22"/>
    <s v="Truck_4"/>
    <n v="-68.5749"/>
    <n v="106.21120000000001"/>
    <n v="148"/>
    <x v="2"/>
    <n v="23.3"/>
    <n v="59.1"/>
    <s v="Detour"/>
    <n v="53"/>
    <n v="161"/>
    <n v="10"/>
    <s v="Weather"/>
    <n v="65.7"/>
    <n v="189"/>
    <x v="1"/>
  </r>
  <r>
    <d v="2024-06-14T10:30:32"/>
    <s v="Truck_6"/>
    <n v="-86.647199999999998"/>
    <n v="76.164100000000005"/>
    <n v="190"/>
    <x v="0"/>
    <n v="27.8"/>
    <n v="62.2"/>
    <s v="Detour"/>
    <n v="41"/>
    <n v="238"/>
    <n v="2"/>
    <s v="None"/>
    <n v="90.2"/>
    <n v="122"/>
    <x v="0"/>
  </r>
  <r>
    <d v="2024-01-06T05:22:59"/>
    <s v="Truck_10"/>
    <n v="-20.073"/>
    <n v="169.58629999999999"/>
    <n v="356"/>
    <x v="0"/>
    <n v="24.8"/>
    <n v="70"/>
    <s v="Detour"/>
    <n v="37"/>
    <n v="345"/>
    <n v="3"/>
    <s v="Traffic"/>
    <n v="84"/>
    <n v="245"/>
    <x v="0"/>
  </r>
  <r>
    <d v="2024-09-17T17:56:29"/>
    <s v="Truck_2"/>
    <n v="8.0303000000000004"/>
    <n v="137.60730000000001"/>
    <n v="228"/>
    <x v="2"/>
    <n v="18.3"/>
    <n v="52.3"/>
    <s v="Clear"/>
    <n v="57"/>
    <n v="350"/>
    <n v="3"/>
    <s v="Traffic"/>
    <n v="76.5"/>
    <n v="285"/>
    <x v="1"/>
  </r>
  <r>
    <d v="2024-12-29T17:13:45"/>
    <s v="Truck_6"/>
    <n v="-58.6706"/>
    <n v="162.76990000000001"/>
    <n v="437"/>
    <x v="1"/>
    <n v="20.9"/>
    <n v="55.2"/>
    <s v="Clear"/>
    <n v="44"/>
    <n v="336"/>
    <n v="7"/>
    <s v="Weather"/>
    <n v="88.6"/>
    <n v="118"/>
    <x v="1"/>
  </r>
  <r>
    <d v="2024-11-30T16:53:31"/>
    <s v="Truck_10"/>
    <n v="63.609200000000001"/>
    <n v="-40.485199999999999"/>
    <n v="295"/>
    <x v="0"/>
    <n v="20.3"/>
    <n v="68.599999999999994"/>
    <s v="Detour"/>
    <n v="29"/>
    <n v="249"/>
    <n v="6"/>
    <s v="None"/>
    <n v="63.2"/>
    <n v="295"/>
    <x v="0"/>
  </r>
  <r>
    <d v="2024-10-20T11:54:15"/>
    <s v="Truck_3"/>
    <n v="69.9178"/>
    <n v="-25.7593"/>
    <n v="365"/>
    <x v="1"/>
    <n v="30"/>
    <n v="60"/>
    <s v="Clear"/>
    <n v="18"/>
    <n v="215"/>
    <n v="5"/>
    <s v="Traffic"/>
    <n v="95.8"/>
    <n v="201"/>
    <x v="1"/>
  </r>
  <r>
    <d v="2024-06-08T16:49:23"/>
    <s v="Truck_10"/>
    <n v="27.388400000000001"/>
    <n v="-85.693799999999996"/>
    <n v="117"/>
    <x v="0"/>
    <n v="23.9"/>
    <n v="64.3"/>
    <s v="Clear"/>
    <n v="16"/>
    <n v="175"/>
    <n v="8"/>
    <s v="Mechanical Failure"/>
    <n v="73.900000000000006"/>
    <n v="270"/>
    <x v="0"/>
  </r>
  <r>
    <d v="2024-09-11T09:02:01"/>
    <s v="Truck_6"/>
    <n v="5.5362999999999998"/>
    <n v="-6.3697999999999997"/>
    <n v="202"/>
    <x v="0"/>
    <n v="25.9"/>
    <n v="62.3"/>
    <s v="Heavy"/>
    <n v="11"/>
    <n v="249"/>
    <n v="4"/>
    <s v="None"/>
    <n v="98"/>
    <n v="131"/>
    <x v="0"/>
  </r>
  <r>
    <d v="2024-11-08T14:19:44"/>
    <s v="Truck_10"/>
    <n v="-47.917400000000001"/>
    <n v="-44.467300000000002"/>
    <n v="408"/>
    <x v="0"/>
    <n v="29.9"/>
    <n v="58.9"/>
    <s v="Heavy"/>
    <n v="25"/>
    <n v="390"/>
    <n v="8"/>
    <s v="None"/>
    <n v="61.5"/>
    <n v="117"/>
    <x v="0"/>
  </r>
  <r>
    <d v="2024-06-15T14:24:59"/>
    <s v="Truck_2"/>
    <n v="-58.288400000000003"/>
    <n v="-53.9833"/>
    <n v="277"/>
    <x v="1"/>
    <n v="18.2"/>
    <n v="75.099999999999994"/>
    <s v="Clear"/>
    <n v="60"/>
    <n v="122"/>
    <n v="10"/>
    <s v="None"/>
    <n v="65"/>
    <n v="147"/>
    <x v="1"/>
  </r>
  <r>
    <d v="2024-05-16T01:51:29"/>
    <s v="Truck_10"/>
    <n v="44.471499999999999"/>
    <n v="61.1203"/>
    <n v="430"/>
    <x v="0"/>
    <n v="25"/>
    <n v="53.4"/>
    <s v="Detour"/>
    <n v="30"/>
    <n v="251"/>
    <n v="4"/>
    <s v="Mechanical Failure"/>
    <n v="77.599999999999994"/>
    <n v="119"/>
    <x v="0"/>
  </r>
  <r>
    <d v="2024-03-26T14:40:33"/>
    <s v="Truck_7"/>
    <n v="-73.573499999999996"/>
    <n v="153.529"/>
    <n v="451"/>
    <x v="0"/>
    <n v="21.3"/>
    <n v="67.2"/>
    <s v="Detour"/>
    <n v="24"/>
    <n v="187"/>
    <n v="8"/>
    <s v="None"/>
    <n v="69.3"/>
    <n v="221"/>
    <x v="0"/>
  </r>
  <r>
    <d v="2024-04-05T15:36:59"/>
    <s v="Truck_8"/>
    <n v="-39.396700000000003"/>
    <n v="15.645200000000001"/>
    <n v="421"/>
    <x v="2"/>
    <n v="26"/>
    <n v="78.099999999999994"/>
    <s v="Heavy"/>
    <n v="29"/>
    <n v="379"/>
    <n v="5"/>
    <s v="Traffic"/>
    <n v="81"/>
    <n v="118"/>
    <x v="0"/>
  </r>
  <r>
    <d v="2024-11-13T03:59:13"/>
    <s v="Truck_9"/>
    <n v="-46.818300000000001"/>
    <n v="81.914199999999994"/>
    <n v="175"/>
    <x v="1"/>
    <n v="29.6"/>
    <n v="66"/>
    <s v="Clear"/>
    <n v="34"/>
    <n v="467"/>
    <n v="9"/>
    <s v="Weather"/>
    <n v="98.3"/>
    <n v="220"/>
    <x v="1"/>
  </r>
  <r>
    <d v="2024-06-13T01:08:32"/>
    <s v="Truck_2"/>
    <n v="57.329900000000002"/>
    <n v="-54.796199999999999"/>
    <n v="357"/>
    <x v="1"/>
    <n v="27.4"/>
    <n v="55.5"/>
    <s v="Detour"/>
    <n v="43"/>
    <n v="207"/>
    <n v="2"/>
    <s v="Weather"/>
    <n v="60.5"/>
    <n v="111"/>
    <x v="1"/>
  </r>
  <r>
    <d v="2024-01-21T09:04:01"/>
    <s v="Truck_9"/>
    <n v="86.1935"/>
    <n v="59.498699999999999"/>
    <n v="419"/>
    <x v="2"/>
    <n v="26.5"/>
    <n v="56.2"/>
    <s v="Detour"/>
    <n v="15"/>
    <n v="277"/>
    <n v="2"/>
    <s v="Weather"/>
    <n v="68.3"/>
    <n v="280"/>
    <x v="1"/>
  </r>
  <r>
    <d v="2024-10-05T14:23:31"/>
    <s v="Truck_7"/>
    <n v="59.854300000000002"/>
    <n v="-132.38650000000001"/>
    <n v="455"/>
    <x v="2"/>
    <n v="19.8"/>
    <n v="67.599999999999994"/>
    <s v="Clear"/>
    <n v="22"/>
    <n v="301"/>
    <n v="3"/>
    <s v="Traffic"/>
    <n v="68.2"/>
    <n v="254"/>
    <x v="1"/>
  </r>
  <r>
    <d v="2024-04-21T07:25:56"/>
    <s v="Truck_2"/>
    <n v="-41.790799999999997"/>
    <n v="84.200100000000006"/>
    <n v="438"/>
    <x v="0"/>
    <n v="24.3"/>
    <n v="78.8"/>
    <s v="Detour"/>
    <n v="33"/>
    <n v="322"/>
    <n v="7"/>
    <s v="Weather"/>
    <n v="79"/>
    <n v="206"/>
    <x v="0"/>
  </r>
  <r>
    <d v="2024-04-24T22:27:28"/>
    <s v="Truck_6"/>
    <n v="-3.7401"/>
    <n v="43.269300000000001"/>
    <n v="497"/>
    <x v="1"/>
    <n v="28.2"/>
    <n v="68.2"/>
    <s v="Detour"/>
    <n v="47"/>
    <n v="184"/>
    <n v="6"/>
    <s v="Traffic"/>
    <n v="63.8"/>
    <n v="251"/>
    <x v="1"/>
  </r>
  <r>
    <d v="2024-02-10T07:01:26"/>
    <s v="Truck_8"/>
    <n v="-27.019600000000001"/>
    <n v="-24.081"/>
    <n v="410"/>
    <x v="1"/>
    <n v="29.8"/>
    <n v="76.2"/>
    <s v="Detour"/>
    <n v="52"/>
    <n v="152"/>
    <n v="2"/>
    <s v="Mechanical Failure"/>
    <n v="76.599999999999994"/>
    <n v="149"/>
    <x v="1"/>
  </r>
  <r>
    <d v="2024-09-26T16:59:08"/>
    <s v="Truck_7"/>
    <n v="-53.710700000000003"/>
    <n v="-60.595100000000002"/>
    <n v="306"/>
    <x v="2"/>
    <n v="21.5"/>
    <n v="78.5"/>
    <s v="Clear"/>
    <n v="48"/>
    <n v="317"/>
    <n v="7"/>
    <s v="Weather"/>
    <n v="92.8"/>
    <n v="231"/>
    <x v="1"/>
  </r>
  <r>
    <d v="2024-08-09T14:23:12"/>
    <s v="Truck_3"/>
    <n v="65.986599999999996"/>
    <n v="135.5421"/>
    <n v="209"/>
    <x v="0"/>
    <n v="18.600000000000001"/>
    <n v="69.599999999999994"/>
    <s v="Heavy"/>
    <n v="50"/>
    <n v="357"/>
    <n v="10"/>
    <s v="Traffic"/>
    <n v="92.9"/>
    <n v="125"/>
    <x v="0"/>
  </r>
  <r>
    <d v="2024-01-05T21:06:52"/>
    <s v="Truck_4"/>
    <n v="-77.813299999999998"/>
    <n v="-89.117900000000006"/>
    <n v="155"/>
    <x v="0"/>
    <n v="30"/>
    <n v="64.5"/>
    <s v="Detour"/>
    <n v="33"/>
    <n v="342"/>
    <n v="6"/>
    <s v="Weather"/>
    <n v="88.2"/>
    <n v="179"/>
    <x v="0"/>
  </r>
  <r>
    <d v="2024-11-30T06:40:13"/>
    <s v="Truck_3"/>
    <n v="22.303599999999999"/>
    <n v="59.468899999999998"/>
    <n v="318"/>
    <x v="0"/>
    <n v="25.8"/>
    <n v="79.5"/>
    <s v="Detour"/>
    <n v="11"/>
    <n v="161"/>
    <n v="10"/>
    <s v="None"/>
    <n v="90"/>
    <n v="191"/>
    <x v="0"/>
  </r>
  <r>
    <d v="2024-09-11T08:19:18"/>
    <s v="Truck_9"/>
    <n v="-10.202299999999999"/>
    <n v="76.794600000000003"/>
    <n v="422"/>
    <x v="2"/>
    <n v="23.8"/>
    <n v="62.4"/>
    <s v="Clear"/>
    <n v="10"/>
    <n v="158"/>
    <n v="4"/>
    <s v="Traffic"/>
    <n v="84.7"/>
    <n v="294"/>
    <x v="1"/>
  </r>
  <r>
    <d v="2024-10-05T23:57:35"/>
    <s v="Truck_2"/>
    <n v="-9.1011000000000006"/>
    <n v="102.9819"/>
    <n v="450"/>
    <x v="1"/>
    <n v="22.8"/>
    <n v="58.7"/>
    <s v="Detour"/>
    <n v="45"/>
    <n v="421"/>
    <n v="9"/>
    <s v="None"/>
    <n v="90"/>
    <n v="240"/>
    <x v="1"/>
  </r>
  <r>
    <d v="2024-10-15T14:03:52"/>
    <s v="Truck_4"/>
    <n v="-85.297300000000007"/>
    <n v="149.08590000000001"/>
    <n v="221"/>
    <x v="2"/>
    <n v="21.6"/>
    <n v="67.7"/>
    <s v="Heavy"/>
    <n v="39"/>
    <n v="430"/>
    <n v="6"/>
    <s v="Traffic"/>
    <n v="71.900000000000006"/>
    <n v="286"/>
    <x v="0"/>
  </r>
  <r>
    <d v="2024-07-04T09:22:46"/>
    <s v="Truck_7"/>
    <n v="-13.197699999999999"/>
    <n v="107.4226"/>
    <n v="271"/>
    <x v="2"/>
    <n v="18.7"/>
    <n v="75.400000000000006"/>
    <s v="Clear"/>
    <n v="37"/>
    <n v="210"/>
    <n v="10"/>
    <s v="Traffic"/>
    <n v="72"/>
    <n v="120"/>
    <x v="1"/>
  </r>
  <r>
    <d v="2024-08-21T17:20:39"/>
    <s v="Truck_4"/>
    <n v="-77.326999999999998"/>
    <n v="-33.600099999999998"/>
    <n v="402"/>
    <x v="0"/>
    <n v="18.7"/>
    <n v="59.6"/>
    <s v="Detour"/>
    <n v="16"/>
    <n v="454"/>
    <n v="1"/>
    <s v="Traffic"/>
    <n v="62.9"/>
    <n v="274"/>
    <x v="0"/>
  </r>
  <r>
    <d v="2024-07-03T06:32:35"/>
    <s v="Truck_1"/>
    <n v="-36.338799999999999"/>
    <n v="69.5488"/>
    <n v="119"/>
    <x v="1"/>
    <n v="24.4"/>
    <n v="68.2"/>
    <s v="Heavy"/>
    <n v="60"/>
    <n v="125"/>
    <n v="3"/>
    <s v="None"/>
    <n v="81.599999999999994"/>
    <n v="106"/>
    <x v="0"/>
  </r>
  <r>
    <d v="2024-02-20T17:37:42"/>
    <s v="Truck_6"/>
    <n v="-35.495100000000001"/>
    <n v="105.3877"/>
    <n v="385"/>
    <x v="2"/>
    <n v="26.1"/>
    <n v="68.3"/>
    <s v="Clear"/>
    <n v="38"/>
    <n v="114"/>
    <n v="6"/>
    <s v="Weather"/>
    <n v="64.599999999999994"/>
    <n v="190"/>
    <x v="1"/>
  </r>
  <r>
    <d v="2024-05-25T03:48:33"/>
    <s v="Truck_4"/>
    <n v="-50.725499999999997"/>
    <n v="49.299300000000002"/>
    <n v="443"/>
    <x v="2"/>
    <n v="23.6"/>
    <n v="66.599999999999994"/>
    <s v="Detour"/>
    <n v="42"/>
    <n v="333"/>
    <n v="9"/>
    <s v="Traffic"/>
    <n v="93.1"/>
    <n v="143"/>
    <x v="1"/>
  </r>
  <r>
    <d v="2024-05-28T16:24:39"/>
    <s v="Truck_4"/>
    <n v="-85.600499999999997"/>
    <n v="35.888300000000001"/>
    <n v="271"/>
    <x v="1"/>
    <n v="23.6"/>
    <n v="74.2"/>
    <s v="Clear"/>
    <n v="30"/>
    <n v="214"/>
    <n v="5"/>
    <s v="Traffic"/>
    <n v="72.099999999999994"/>
    <n v="132"/>
    <x v="1"/>
  </r>
  <r>
    <d v="2024-09-07T10:37:29"/>
    <s v="Truck_3"/>
    <n v="-15.3475"/>
    <n v="13.351599999999999"/>
    <n v="133"/>
    <x v="0"/>
    <n v="29.4"/>
    <n v="51.6"/>
    <s v="Clear"/>
    <n v="31"/>
    <n v="485"/>
    <n v="3"/>
    <s v="Weather"/>
    <n v="90.1"/>
    <n v="172"/>
    <x v="0"/>
  </r>
  <r>
    <d v="2024-08-20T15:07:20"/>
    <s v="Truck_4"/>
    <n v="36.457299999999996"/>
    <n v="-60.825499999999998"/>
    <n v="388"/>
    <x v="0"/>
    <n v="23.1"/>
    <n v="64.8"/>
    <s v="Detour"/>
    <n v="23"/>
    <n v="329"/>
    <n v="1"/>
    <s v="Mechanical Failure"/>
    <n v="89.2"/>
    <n v="296"/>
    <x v="0"/>
  </r>
  <r>
    <d v="2024-11-11T19:15:19"/>
    <s v="Truck_1"/>
    <n v="40.9268"/>
    <n v="-145.29900000000001"/>
    <n v="429"/>
    <x v="1"/>
    <n v="20.9"/>
    <n v="68"/>
    <s v="Heavy"/>
    <n v="50"/>
    <n v="196"/>
    <n v="10"/>
    <s v="Mechanical Failure"/>
    <n v="72.900000000000006"/>
    <n v="123"/>
    <x v="0"/>
  </r>
  <r>
    <d v="2024-05-27T08:38:06"/>
    <s v="Truck_6"/>
    <n v="-66.072400000000002"/>
    <n v="48.259700000000002"/>
    <n v="145"/>
    <x v="2"/>
    <n v="18.8"/>
    <n v="62.6"/>
    <s v="Detour"/>
    <n v="14"/>
    <n v="408"/>
    <n v="9"/>
    <s v="Weather"/>
    <n v="81.3"/>
    <n v="138"/>
    <x v="1"/>
  </r>
  <r>
    <d v="2024-04-05T18:56:43"/>
    <s v="Truck_1"/>
    <n v="24.197099999999999"/>
    <n v="18.693000000000001"/>
    <n v="135"/>
    <x v="2"/>
    <n v="20.100000000000001"/>
    <n v="53.8"/>
    <s v="Detour"/>
    <n v="21"/>
    <n v="108"/>
    <n v="10"/>
    <s v="Traffic"/>
    <n v="92"/>
    <n v="243"/>
    <x v="1"/>
  </r>
  <r>
    <d v="2024-07-23T15:08:30"/>
    <s v="Truck_5"/>
    <n v="46.860900000000001"/>
    <n v="37.823500000000003"/>
    <n v="442"/>
    <x v="0"/>
    <n v="22.2"/>
    <n v="65.400000000000006"/>
    <s v="Detour"/>
    <n v="33"/>
    <n v="492"/>
    <n v="5"/>
    <s v="Weather"/>
    <n v="86.4"/>
    <n v="145"/>
    <x v="0"/>
  </r>
  <r>
    <d v="2024-03-04T09:24:45"/>
    <s v="Truck_10"/>
    <n v="-56.785400000000003"/>
    <n v="25.8691"/>
    <n v="342"/>
    <x v="2"/>
    <n v="27.2"/>
    <n v="55.1"/>
    <s v="Heavy"/>
    <n v="22"/>
    <n v="326"/>
    <n v="2"/>
    <s v="None"/>
    <n v="64.400000000000006"/>
    <n v="300"/>
    <x v="0"/>
  </r>
  <r>
    <d v="2024-01-03T12:49:48"/>
    <s v="Truck_10"/>
    <n v="-35.432899999999997"/>
    <n v="9.9153000000000002"/>
    <n v="308"/>
    <x v="0"/>
    <n v="25.2"/>
    <n v="52.5"/>
    <s v="Heavy"/>
    <n v="19"/>
    <n v="475"/>
    <n v="8"/>
    <s v="Mechanical Failure"/>
    <n v="95"/>
    <n v="206"/>
    <x v="0"/>
  </r>
  <r>
    <d v="2024-04-05T20:20:25"/>
    <s v="Truck_7"/>
    <n v="63.6965"/>
    <n v="-131.15190000000001"/>
    <n v="358"/>
    <x v="0"/>
    <n v="21.6"/>
    <n v="61.7"/>
    <s v="Clear"/>
    <n v="23"/>
    <n v="127"/>
    <n v="6"/>
    <s v="None"/>
    <n v="85.7"/>
    <n v="199"/>
    <x v="0"/>
  </r>
  <r>
    <d v="2024-05-08T10:09:06"/>
    <s v="Truck_6"/>
    <n v="-43.417099999999998"/>
    <n v="160.84229999999999"/>
    <n v="128"/>
    <x v="0"/>
    <n v="23"/>
    <n v="69.7"/>
    <s v="Clear"/>
    <n v="30"/>
    <n v="462"/>
    <n v="8"/>
    <s v="None"/>
    <n v="76.7"/>
    <n v="105"/>
    <x v="0"/>
  </r>
  <r>
    <d v="2024-07-07T19:49:15"/>
    <s v="Truck_2"/>
    <n v="-82.705799999999996"/>
    <n v="-62.704000000000001"/>
    <n v="426"/>
    <x v="0"/>
    <n v="24.2"/>
    <n v="75.7"/>
    <s v="Clear"/>
    <n v="51"/>
    <n v="303"/>
    <n v="10"/>
    <s v="Mechanical Failure"/>
    <n v="94.1"/>
    <n v="160"/>
    <x v="0"/>
  </r>
  <r>
    <d v="2024-11-26T22:45:24"/>
    <s v="Truck_6"/>
    <n v="-75.321100000000001"/>
    <n v="-58.774900000000002"/>
    <n v="349"/>
    <x v="2"/>
    <n v="21.1"/>
    <n v="54.1"/>
    <s v="Detour"/>
    <n v="47"/>
    <n v="290"/>
    <n v="5"/>
    <s v="None"/>
    <n v="70.400000000000006"/>
    <n v="233"/>
    <x v="1"/>
  </r>
  <r>
    <d v="2024-01-04T03:12:31"/>
    <s v="Truck_4"/>
    <n v="-50.708500000000001"/>
    <n v="-85.451499999999996"/>
    <n v="173"/>
    <x v="1"/>
    <n v="23.1"/>
    <n v="56"/>
    <s v="Heavy"/>
    <n v="50"/>
    <n v="440"/>
    <n v="3"/>
    <s v="Mechanical Failure"/>
    <n v="73.400000000000006"/>
    <n v="289"/>
    <x v="0"/>
  </r>
  <r>
    <d v="2024-07-31T14:59:23"/>
    <s v="Truck_10"/>
    <n v="70.710099999999997"/>
    <n v="-175.98650000000001"/>
    <n v="184"/>
    <x v="0"/>
    <n v="24.5"/>
    <n v="54.9"/>
    <s v="Detour"/>
    <n v="23"/>
    <n v="159"/>
    <n v="7"/>
    <s v="Traffic"/>
    <n v="60.2"/>
    <n v="120"/>
    <x v="0"/>
  </r>
  <r>
    <d v="2024-05-23T23:23:37"/>
    <s v="Truck_5"/>
    <n v="-71.100399999999993"/>
    <n v="-147.75700000000001"/>
    <n v="318"/>
    <x v="0"/>
    <n v="25.5"/>
    <n v="64.3"/>
    <s v="Heavy"/>
    <n v="15"/>
    <n v="215"/>
    <n v="8"/>
    <s v="Traffic"/>
    <n v="69.099999999999994"/>
    <n v="158"/>
    <x v="0"/>
  </r>
  <r>
    <d v="2024-07-04T00:05:02"/>
    <s v="Truck_3"/>
    <n v="-76.897199999999998"/>
    <n v="-3.6358000000000001"/>
    <n v="288"/>
    <x v="2"/>
    <n v="24.7"/>
    <n v="67.400000000000006"/>
    <s v="Detour"/>
    <n v="37"/>
    <n v="230"/>
    <n v="7"/>
    <s v="Mechanical Failure"/>
    <n v="65"/>
    <n v="259"/>
    <x v="1"/>
  </r>
  <r>
    <d v="2024-08-18T23:25:47"/>
    <s v="Truck_6"/>
    <n v="39.799799999999998"/>
    <n v="58.746099999999998"/>
    <n v="317"/>
    <x v="2"/>
    <n v="18.5"/>
    <n v="66"/>
    <s v="Heavy"/>
    <n v="36"/>
    <n v="465"/>
    <n v="1"/>
    <s v="Mechanical Failure"/>
    <n v="68"/>
    <n v="180"/>
    <x v="0"/>
  </r>
  <r>
    <d v="2024-10-23T15:20:16"/>
    <s v="Truck_7"/>
    <n v="78.595399999999998"/>
    <n v="-173.0016"/>
    <n v="122"/>
    <x v="1"/>
    <n v="26.7"/>
    <n v="73.2"/>
    <s v="Clear"/>
    <n v="37"/>
    <n v="128"/>
    <n v="9"/>
    <s v="None"/>
    <n v="81.400000000000006"/>
    <n v="174"/>
    <x v="1"/>
  </r>
  <r>
    <d v="2024-07-02T16:40:43"/>
    <s v="Truck_4"/>
    <n v="-53.526400000000002"/>
    <n v="13.001899999999999"/>
    <n v="291"/>
    <x v="2"/>
    <n v="24.2"/>
    <n v="67"/>
    <s v="Heavy"/>
    <n v="29"/>
    <n v="431"/>
    <n v="9"/>
    <s v="Traffic"/>
    <n v="90.1"/>
    <n v="172"/>
    <x v="0"/>
  </r>
  <r>
    <d v="2024-01-10T16:52:14"/>
    <s v="Truck_1"/>
    <n v="49.304900000000004"/>
    <n v="-55.649299999999997"/>
    <n v="199"/>
    <x v="2"/>
    <n v="23.4"/>
    <n v="64.400000000000006"/>
    <s v="Heavy"/>
    <n v="59"/>
    <n v="476"/>
    <n v="10"/>
    <s v="Traffic"/>
    <n v="81.3"/>
    <n v="123"/>
    <x v="0"/>
  </r>
  <r>
    <d v="2024-10-25T16:02:14"/>
    <s v="Truck_8"/>
    <n v="72.998099999999994"/>
    <n v="12.402900000000001"/>
    <n v="488"/>
    <x v="2"/>
    <n v="21.9"/>
    <n v="75.8"/>
    <s v="Detour"/>
    <n v="30"/>
    <n v="147"/>
    <n v="3"/>
    <s v="Mechanical Failure"/>
    <n v="81.599999999999994"/>
    <n v="252"/>
    <x v="1"/>
  </r>
  <r>
    <d v="2024-02-27T21:46:02"/>
    <s v="Truck_1"/>
    <n v="80.417699999999996"/>
    <n v="-39.963200000000001"/>
    <n v="445"/>
    <x v="0"/>
    <n v="20.6"/>
    <n v="68.2"/>
    <s v="Clear"/>
    <n v="41"/>
    <n v="418"/>
    <n v="9"/>
    <s v="None"/>
    <n v="93.6"/>
    <n v="184"/>
    <x v="0"/>
  </r>
  <r>
    <d v="2024-08-06T04:29:22"/>
    <s v="Truck_2"/>
    <n v="-51.024700000000003"/>
    <n v="1.8063"/>
    <n v="247"/>
    <x v="0"/>
    <n v="19.3"/>
    <n v="62.9"/>
    <s v="Clear"/>
    <n v="55"/>
    <n v="466"/>
    <n v="2"/>
    <s v="Weather"/>
    <n v="78"/>
    <n v="183"/>
    <x v="0"/>
  </r>
  <r>
    <d v="2024-09-09T18:54:20"/>
    <s v="Truck_4"/>
    <n v="5.2922000000000002"/>
    <n v="172.63759999999999"/>
    <n v="351"/>
    <x v="1"/>
    <n v="29.7"/>
    <n v="52.1"/>
    <s v="Clear"/>
    <n v="41"/>
    <n v="330"/>
    <n v="8"/>
    <s v="Weather"/>
    <n v="94.5"/>
    <n v="108"/>
    <x v="1"/>
  </r>
  <r>
    <d v="2024-01-21T12:56:09"/>
    <s v="Truck_1"/>
    <n v="54.309899999999999"/>
    <n v="-98.941000000000003"/>
    <n v="311"/>
    <x v="0"/>
    <n v="28.9"/>
    <n v="77.8"/>
    <s v="Heavy"/>
    <n v="43"/>
    <n v="415"/>
    <n v="1"/>
    <s v="Mechanical Failure"/>
    <n v="76.400000000000006"/>
    <n v="210"/>
    <x v="0"/>
  </r>
  <r>
    <d v="2024-10-23T21:11:00"/>
    <s v="Truck_5"/>
    <n v="-3.8161"/>
    <n v="-159.72569999999999"/>
    <n v="495"/>
    <x v="2"/>
    <n v="29.5"/>
    <n v="50.6"/>
    <s v="Detour"/>
    <n v="58"/>
    <n v="179"/>
    <n v="3"/>
    <s v="Mechanical Failure"/>
    <n v="72.3"/>
    <n v="245"/>
    <x v="1"/>
  </r>
  <r>
    <d v="2024-03-22T03:06:23"/>
    <s v="Truck_3"/>
    <n v="-69.843100000000007"/>
    <n v="-171.5361"/>
    <n v="237"/>
    <x v="1"/>
    <n v="23.6"/>
    <n v="62.7"/>
    <s v="Detour"/>
    <n v="35"/>
    <n v="323"/>
    <n v="9"/>
    <s v="Weather"/>
    <n v="66.8"/>
    <n v="267"/>
    <x v="1"/>
  </r>
  <r>
    <d v="2024-09-07T01:58:48"/>
    <s v="Truck_2"/>
    <n v="9.3528000000000002"/>
    <n v="120.00109999999999"/>
    <n v="290"/>
    <x v="2"/>
    <n v="28.7"/>
    <n v="72.599999999999994"/>
    <s v="Clear"/>
    <n v="45"/>
    <n v="151"/>
    <n v="8"/>
    <s v="Traffic"/>
    <n v="81.7"/>
    <n v="280"/>
    <x v="1"/>
  </r>
  <r>
    <d v="2024-02-13T05:24:13"/>
    <s v="Truck_2"/>
    <n v="-74.339600000000004"/>
    <n v="-150.63390000000001"/>
    <n v="111"/>
    <x v="0"/>
    <n v="22.7"/>
    <n v="75.599999999999994"/>
    <s v="Clear"/>
    <n v="47"/>
    <n v="207"/>
    <n v="4"/>
    <s v="None"/>
    <n v="60.4"/>
    <n v="131"/>
    <x v="0"/>
  </r>
  <r>
    <d v="2024-01-30T15:36:36"/>
    <s v="Truck_2"/>
    <n v="-62.0623"/>
    <n v="133.88720000000001"/>
    <n v="373"/>
    <x v="0"/>
    <n v="27.6"/>
    <n v="65.8"/>
    <s v="Heavy"/>
    <n v="23"/>
    <n v="396"/>
    <n v="1"/>
    <s v="Traffic"/>
    <n v="79.3"/>
    <n v="126"/>
    <x v="0"/>
  </r>
  <r>
    <d v="2024-03-06T06:10:28"/>
    <s v="Truck_10"/>
    <n v="-53.135399999999997"/>
    <n v="-164.488"/>
    <n v="458"/>
    <x v="1"/>
    <n v="25.5"/>
    <n v="52.1"/>
    <s v="Detour"/>
    <n v="32"/>
    <n v="183"/>
    <n v="6"/>
    <s v="Weather"/>
    <n v="93.5"/>
    <n v="154"/>
    <x v="1"/>
  </r>
  <r>
    <d v="2024-10-31T07:46:12"/>
    <s v="Truck_4"/>
    <n v="85.038899999999998"/>
    <n v="-138.32480000000001"/>
    <n v="354"/>
    <x v="1"/>
    <n v="24.7"/>
    <n v="64.099999999999994"/>
    <s v="Detour"/>
    <n v="15"/>
    <n v="298"/>
    <n v="4"/>
    <s v="Mechanical Failure"/>
    <n v="71.900000000000006"/>
    <n v="162"/>
    <x v="1"/>
  </r>
  <r>
    <d v="2024-06-21T10:02:05"/>
    <s v="Truck_3"/>
    <n v="48.959800000000001"/>
    <n v="-160.9134"/>
    <n v="165"/>
    <x v="0"/>
    <n v="28.8"/>
    <n v="51.6"/>
    <s v="Heavy"/>
    <n v="49"/>
    <n v="410"/>
    <n v="8"/>
    <s v="Mechanical Failure"/>
    <n v="88.4"/>
    <n v="291"/>
    <x v="0"/>
  </r>
  <r>
    <d v="2024-07-25T17:59:38"/>
    <s v="Truck_8"/>
    <n v="44.363900000000001"/>
    <n v="134.39670000000001"/>
    <n v="471"/>
    <x v="0"/>
    <n v="19.8"/>
    <n v="55.2"/>
    <s v="Clear"/>
    <n v="36"/>
    <n v="369"/>
    <n v="6"/>
    <s v="Mechanical Failure"/>
    <n v="94.7"/>
    <n v="183"/>
    <x v="0"/>
  </r>
  <r>
    <d v="2024-02-21T22:00:35"/>
    <s v="Truck_8"/>
    <n v="-33.162799999999997"/>
    <n v="143.55699999999999"/>
    <n v="410"/>
    <x v="2"/>
    <n v="27.5"/>
    <n v="58.5"/>
    <s v="Detour"/>
    <n v="21"/>
    <n v="439"/>
    <n v="9"/>
    <s v="Mechanical Failure"/>
    <n v="72.400000000000006"/>
    <n v="182"/>
    <x v="1"/>
  </r>
  <r>
    <d v="2024-06-22T06:59:47"/>
    <s v="Truck_8"/>
    <n v="-61.151800000000001"/>
    <n v="140.8152"/>
    <n v="407"/>
    <x v="1"/>
    <n v="19.899999999999999"/>
    <n v="50.7"/>
    <s v="Heavy"/>
    <n v="55"/>
    <n v="421"/>
    <n v="1"/>
    <s v="Mechanical Failure"/>
    <n v="87.2"/>
    <n v="237"/>
    <x v="0"/>
  </r>
  <r>
    <d v="2024-02-09T21:00:56"/>
    <s v="Truck_10"/>
    <n v="-87.811499999999995"/>
    <n v="97.049199999999999"/>
    <n v="134"/>
    <x v="2"/>
    <n v="19.5"/>
    <n v="75.3"/>
    <s v="Clear"/>
    <n v="45"/>
    <n v="424"/>
    <n v="6"/>
    <s v="Weather"/>
    <n v="80.900000000000006"/>
    <n v="175"/>
    <x v="1"/>
  </r>
  <r>
    <d v="2024-12-16T00:30:52"/>
    <s v="Truck_10"/>
    <n v="-48.357500000000002"/>
    <n v="115.8351"/>
    <n v="394"/>
    <x v="0"/>
    <n v="26.9"/>
    <n v="62.1"/>
    <s v="Detour"/>
    <n v="29"/>
    <n v="419"/>
    <n v="10"/>
    <s v="None"/>
    <n v="90.7"/>
    <n v="139"/>
    <x v="0"/>
  </r>
  <r>
    <d v="2024-03-22T23:53:31"/>
    <s v="Truck_10"/>
    <n v="-59.567399999999999"/>
    <n v="11.3653"/>
    <n v="480"/>
    <x v="0"/>
    <n v="23.9"/>
    <n v="57.9"/>
    <s v="Heavy"/>
    <n v="57"/>
    <n v="204"/>
    <n v="6"/>
    <s v="None"/>
    <n v="62.3"/>
    <n v="146"/>
    <x v="0"/>
  </r>
  <r>
    <d v="2024-07-26T08:02:20"/>
    <s v="Truck_7"/>
    <n v="-37.205500000000001"/>
    <n v="79.448499999999996"/>
    <n v="159"/>
    <x v="1"/>
    <n v="25.6"/>
    <n v="76.599999999999994"/>
    <s v="Clear"/>
    <n v="25"/>
    <n v="213"/>
    <n v="5"/>
    <s v="Weather"/>
    <n v="82.2"/>
    <n v="144"/>
    <x v="1"/>
  </r>
  <r>
    <d v="2024-04-11T04:50:12"/>
    <s v="Truck_8"/>
    <n v="38.109499999999997"/>
    <n v="164.7654"/>
    <n v="131"/>
    <x v="0"/>
    <n v="19.100000000000001"/>
    <n v="73.3"/>
    <s v="Heavy"/>
    <n v="10"/>
    <n v="353"/>
    <n v="3"/>
    <s v="Weather"/>
    <n v="89.4"/>
    <n v="149"/>
    <x v="0"/>
  </r>
  <r>
    <d v="2024-05-31T15:07:16"/>
    <s v="Truck_1"/>
    <n v="-20.0991"/>
    <n v="20.182500000000001"/>
    <n v="224"/>
    <x v="0"/>
    <n v="20.2"/>
    <n v="58.9"/>
    <s v="Heavy"/>
    <n v="34"/>
    <n v="166"/>
    <n v="6"/>
    <s v="Mechanical Failure"/>
    <n v="84.6"/>
    <n v="105"/>
    <x v="0"/>
  </r>
  <r>
    <d v="2024-04-12T15:44:47"/>
    <s v="Truck_10"/>
    <n v="89.389799999999994"/>
    <n v="-93.103399999999993"/>
    <n v="120"/>
    <x v="2"/>
    <n v="22.6"/>
    <n v="56.4"/>
    <s v="Clear"/>
    <n v="60"/>
    <n v="151"/>
    <n v="9"/>
    <s v="Weather"/>
    <n v="69.900000000000006"/>
    <n v="194"/>
    <x v="1"/>
  </r>
  <r>
    <d v="2024-03-14T18:05:27"/>
    <s v="Truck_4"/>
    <n v="85.839299999999994"/>
    <n v="74.4208"/>
    <n v="321"/>
    <x v="0"/>
    <n v="30"/>
    <n v="75.400000000000006"/>
    <s v="Heavy"/>
    <n v="14"/>
    <n v="391"/>
    <n v="1"/>
    <s v="None"/>
    <n v="67.3"/>
    <n v="138"/>
    <x v="0"/>
  </r>
  <r>
    <d v="2024-08-09T21:10:15"/>
    <s v="Truck_1"/>
    <n v="29.563700000000001"/>
    <n v="-162.339"/>
    <n v="238"/>
    <x v="2"/>
    <n v="26.6"/>
    <n v="50.9"/>
    <s v="Heavy"/>
    <n v="59"/>
    <n v="160"/>
    <n v="1"/>
    <s v="Mechanical Failure"/>
    <n v="76.8"/>
    <n v="233"/>
    <x v="0"/>
  </r>
  <r>
    <d v="2024-09-18T10:59:43"/>
    <s v="Truck_1"/>
    <n v="13.5274"/>
    <n v="-108.9153"/>
    <n v="297"/>
    <x v="1"/>
    <n v="18.100000000000001"/>
    <n v="77.3"/>
    <s v="Clear"/>
    <n v="22"/>
    <n v="376"/>
    <n v="10"/>
    <s v="None"/>
    <n v="80.2"/>
    <n v="168"/>
    <x v="1"/>
  </r>
  <r>
    <d v="2024-03-13T21:43:28"/>
    <s v="Truck_2"/>
    <n v="49.889600000000002"/>
    <n v="46.776499999999999"/>
    <n v="219"/>
    <x v="2"/>
    <n v="22.3"/>
    <n v="56.9"/>
    <s v="Heavy"/>
    <n v="44"/>
    <n v="144"/>
    <n v="8"/>
    <s v="None"/>
    <n v="62.2"/>
    <n v="188"/>
    <x v="0"/>
  </r>
  <r>
    <d v="2024-08-17T04:39:18"/>
    <s v="Truck_3"/>
    <n v="61.995100000000001"/>
    <n v="28.0639"/>
    <n v="204"/>
    <x v="1"/>
    <n v="29.8"/>
    <n v="58.9"/>
    <s v="Heavy"/>
    <n v="10"/>
    <n v="484"/>
    <n v="3"/>
    <s v="Weather"/>
    <n v="93"/>
    <n v="238"/>
    <x v="0"/>
  </r>
  <r>
    <d v="2024-01-31T00:01:35"/>
    <s v="Truck_1"/>
    <n v="88.354500000000002"/>
    <n v="123.8561"/>
    <n v="469"/>
    <x v="1"/>
    <n v="21.5"/>
    <n v="52.2"/>
    <s v="Heavy"/>
    <n v="56"/>
    <n v="405"/>
    <n v="10"/>
    <s v="Weather"/>
    <n v="95.5"/>
    <n v="135"/>
    <x v="0"/>
  </r>
  <r>
    <d v="2024-02-27T17:30:37"/>
    <s v="Truck_9"/>
    <n v="-1.4258"/>
    <n v="112.81740000000001"/>
    <n v="146"/>
    <x v="0"/>
    <n v="24.2"/>
    <n v="72.400000000000006"/>
    <s v="Clear"/>
    <n v="22"/>
    <n v="321"/>
    <n v="9"/>
    <s v="Mechanical Failure"/>
    <n v="88.2"/>
    <n v="190"/>
    <x v="0"/>
  </r>
  <r>
    <d v="2024-09-22T00:34:04"/>
    <s v="Truck_3"/>
    <n v="-18.380099999999999"/>
    <n v="-175.0496"/>
    <n v="215"/>
    <x v="2"/>
    <n v="18.899999999999999"/>
    <n v="63.4"/>
    <s v="Heavy"/>
    <n v="57"/>
    <n v="382"/>
    <n v="4"/>
    <s v="Weather"/>
    <n v="71.2"/>
    <n v="274"/>
    <x v="0"/>
  </r>
  <r>
    <d v="2024-10-03T07:58:45"/>
    <s v="Truck_3"/>
    <n v="72.620599999999996"/>
    <n v="46.139299999999999"/>
    <n v="454"/>
    <x v="1"/>
    <n v="22.8"/>
    <n v="73.3"/>
    <s v="Heavy"/>
    <n v="45"/>
    <n v="276"/>
    <n v="5"/>
    <s v="Weather"/>
    <n v="87.4"/>
    <n v="261"/>
    <x v="0"/>
  </r>
  <r>
    <d v="2024-08-14T19:26:01"/>
    <s v="Truck_4"/>
    <n v="-10.0844"/>
    <n v="-0.60419999999999996"/>
    <n v="145"/>
    <x v="2"/>
    <n v="29.2"/>
    <n v="67.3"/>
    <s v="Clear"/>
    <n v="36"/>
    <n v="230"/>
    <n v="4"/>
    <s v="Traffic"/>
    <n v="85.3"/>
    <n v="269"/>
    <x v="1"/>
  </r>
  <r>
    <d v="2024-12-24T21:30:03"/>
    <s v="Truck_10"/>
    <n v="73.622500000000002"/>
    <n v="125.9589"/>
    <n v="410"/>
    <x v="2"/>
    <n v="18.8"/>
    <n v="78"/>
    <s v="Heavy"/>
    <n v="35"/>
    <n v="228"/>
    <n v="2"/>
    <s v="Mechanical Failure"/>
    <n v="92.1"/>
    <n v="111"/>
    <x v="0"/>
  </r>
  <r>
    <d v="2024-07-16T21:14:02"/>
    <s v="Truck_4"/>
    <n v="-67.510900000000007"/>
    <n v="-162.05369999999999"/>
    <n v="350"/>
    <x v="0"/>
    <n v="21.8"/>
    <n v="60.4"/>
    <s v="Clear"/>
    <n v="15"/>
    <n v="238"/>
    <n v="3"/>
    <s v="Weather"/>
    <n v="81.099999999999994"/>
    <n v="300"/>
    <x v="0"/>
  </r>
  <r>
    <d v="2024-12-01T17:38:54"/>
    <s v="Truck_1"/>
    <n v="-4.42"/>
    <n v="-44.161900000000003"/>
    <n v="474"/>
    <x v="0"/>
    <n v="29.5"/>
    <n v="51.1"/>
    <s v="Detour"/>
    <n v="34"/>
    <n v="136"/>
    <n v="8"/>
    <s v="None"/>
    <n v="67.8"/>
    <n v="268"/>
    <x v="0"/>
  </r>
  <r>
    <d v="2024-10-08T12:36:02"/>
    <s v="Truck_1"/>
    <n v="-31.9299"/>
    <n v="48.953600000000002"/>
    <n v="357"/>
    <x v="2"/>
    <n v="20.9"/>
    <n v="50.9"/>
    <s v="Detour"/>
    <n v="30"/>
    <n v="495"/>
    <n v="1"/>
    <s v="Weather"/>
    <n v="65.599999999999994"/>
    <n v="288"/>
    <x v="1"/>
  </r>
  <r>
    <d v="2024-05-27T19:21:26"/>
    <s v="Truck_1"/>
    <n v="-84.586100000000002"/>
    <n v="-56.904400000000003"/>
    <n v="171"/>
    <x v="1"/>
    <n v="28.8"/>
    <n v="59.3"/>
    <s v="Clear"/>
    <n v="56"/>
    <n v="437"/>
    <n v="10"/>
    <s v="None"/>
    <n v="99.6"/>
    <n v="235"/>
    <x v="1"/>
  </r>
  <r>
    <d v="2024-03-21T22:22:44"/>
    <s v="Truck_3"/>
    <n v="-20.657699999999998"/>
    <n v="-86.801299999999998"/>
    <n v="137"/>
    <x v="2"/>
    <n v="24"/>
    <n v="78"/>
    <s v="Heavy"/>
    <n v="29"/>
    <n v="425"/>
    <n v="7"/>
    <s v="Weather"/>
    <n v="69.400000000000006"/>
    <n v="270"/>
    <x v="0"/>
  </r>
  <r>
    <d v="2024-05-04T10:52:10"/>
    <s v="Truck_3"/>
    <n v="-56.5959"/>
    <n v="153.5316"/>
    <n v="147"/>
    <x v="2"/>
    <n v="24.9"/>
    <n v="67.599999999999994"/>
    <s v="Heavy"/>
    <n v="57"/>
    <n v="157"/>
    <n v="4"/>
    <s v="Traffic"/>
    <n v="62.1"/>
    <n v="261"/>
    <x v="0"/>
  </r>
  <r>
    <d v="2024-05-11T12:13:27"/>
    <s v="Truck_5"/>
    <n v="20.654599999999999"/>
    <n v="79.9499"/>
    <n v="194"/>
    <x v="1"/>
    <n v="22.9"/>
    <n v="69.7"/>
    <s v="Clear"/>
    <n v="11"/>
    <n v="140"/>
    <n v="4"/>
    <s v="Weather"/>
    <n v="84.7"/>
    <n v="293"/>
    <x v="1"/>
  </r>
  <r>
    <d v="2024-12-28T20:25:19"/>
    <s v="Truck_5"/>
    <n v="-19.755299999999998"/>
    <n v="54.2697"/>
    <n v="291"/>
    <x v="0"/>
    <n v="24.1"/>
    <n v="70.8"/>
    <s v="Heavy"/>
    <n v="25"/>
    <n v="414"/>
    <n v="8"/>
    <s v="None"/>
    <n v="99.4"/>
    <n v="225"/>
    <x v="0"/>
  </r>
  <r>
    <d v="2024-04-06T01:48:36"/>
    <s v="Truck_3"/>
    <n v="68.0702"/>
    <n v="98.599500000000006"/>
    <n v="176"/>
    <x v="2"/>
    <n v="29.5"/>
    <n v="61.9"/>
    <s v="Clear"/>
    <n v="31"/>
    <n v="306"/>
    <n v="6"/>
    <s v="Weather"/>
    <n v="73.5"/>
    <n v="217"/>
    <x v="1"/>
  </r>
  <r>
    <d v="2024-08-12T10:11:42"/>
    <s v="Truck_4"/>
    <n v="25.963999999999999"/>
    <n v="-133.3578"/>
    <n v="240"/>
    <x v="1"/>
    <n v="27.4"/>
    <n v="72.900000000000006"/>
    <s v="Detour"/>
    <n v="29"/>
    <n v="272"/>
    <n v="8"/>
    <s v="Mechanical Failure"/>
    <n v="72.3"/>
    <n v="106"/>
    <x v="1"/>
  </r>
  <r>
    <d v="2024-02-08T10:12:13"/>
    <s v="Truck_1"/>
    <n v="-86.700999999999993"/>
    <n v="-140.03389999999999"/>
    <n v="412"/>
    <x v="0"/>
    <n v="23.8"/>
    <n v="71.599999999999994"/>
    <s v="Heavy"/>
    <n v="54"/>
    <n v="301"/>
    <n v="6"/>
    <s v="Weather"/>
    <n v="76.8"/>
    <n v="183"/>
    <x v="0"/>
  </r>
  <r>
    <d v="2024-10-02T18:31:19"/>
    <s v="Truck_2"/>
    <n v="-35.944099999999999"/>
    <n v="-133.41829999999999"/>
    <n v="359"/>
    <x v="2"/>
    <n v="22.6"/>
    <n v="72.900000000000006"/>
    <s v="Clear"/>
    <n v="60"/>
    <n v="142"/>
    <n v="4"/>
    <s v="Traffic"/>
    <n v="78.5"/>
    <n v="255"/>
    <x v="1"/>
  </r>
  <r>
    <d v="2024-11-25T18:46:06"/>
    <s v="Truck_8"/>
    <n v="62.9176"/>
    <n v="116.017"/>
    <n v="491"/>
    <x v="1"/>
    <n v="20.6"/>
    <n v="74.7"/>
    <s v="Detour"/>
    <n v="16"/>
    <n v="183"/>
    <n v="7"/>
    <s v="Weather"/>
    <n v="60.3"/>
    <n v="273"/>
    <x v="1"/>
  </r>
  <r>
    <d v="2024-03-28T14:33:39"/>
    <s v="Truck_3"/>
    <n v="69.754900000000006"/>
    <n v="-126.81229999999999"/>
    <n v="130"/>
    <x v="0"/>
    <n v="29.9"/>
    <n v="65"/>
    <s v="Detour"/>
    <n v="50"/>
    <n v="385"/>
    <n v="10"/>
    <s v="Traffic"/>
    <n v="72.599999999999994"/>
    <n v="106"/>
    <x v="0"/>
  </r>
  <r>
    <d v="2024-12-14T12:42:18"/>
    <s v="Truck_8"/>
    <n v="-0.53549999999999998"/>
    <n v="120.97929999999999"/>
    <n v="336"/>
    <x v="1"/>
    <n v="22.1"/>
    <n v="75.2"/>
    <s v="Detour"/>
    <n v="33"/>
    <n v="443"/>
    <n v="5"/>
    <s v="Mechanical Failure"/>
    <n v="73.2"/>
    <n v="186"/>
    <x v="1"/>
  </r>
  <r>
    <d v="2024-03-13T18:47:10"/>
    <s v="Truck_9"/>
    <n v="57.927700000000002"/>
    <n v="-106.3278"/>
    <n v="330"/>
    <x v="1"/>
    <n v="29.5"/>
    <n v="68.5"/>
    <s v="Clear"/>
    <n v="14"/>
    <n v="358"/>
    <n v="1"/>
    <s v="Mechanical Failure"/>
    <n v="70"/>
    <n v="283"/>
    <x v="1"/>
  </r>
  <r>
    <d v="2024-02-28T00:53:35"/>
    <s v="Truck_6"/>
    <n v="-86.177000000000007"/>
    <n v="112.10680000000001"/>
    <n v="118"/>
    <x v="1"/>
    <n v="25.1"/>
    <n v="59.5"/>
    <s v="Clear"/>
    <n v="36"/>
    <n v="200"/>
    <n v="1"/>
    <s v="None"/>
    <n v="80.599999999999994"/>
    <n v="239"/>
    <x v="1"/>
  </r>
  <r>
    <d v="2024-10-18T21:26:27"/>
    <s v="Truck_2"/>
    <n v="-9.2728000000000002"/>
    <n v="-173.06989999999999"/>
    <n v="147"/>
    <x v="1"/>
    <n v="21.6"/>
    <n v="52"/>
    <s v="Clear"/>
    <n v="24"/>
    <n v="187"/>
    <n v="7"/>
    <s v="Traffic"/>
    <n v="71"/>
    <n v="173"/>
    <x v="1"/>
  </r>
  <r>
    <d v="2024-01-11T03:09:35"/>
    <s v="Truck_3"/>
    <n v="-84.322400000000002"/>
    <n v="76.116299999999995"/>
    <n v="258"/>
    <x v="2"/>
    <n v="23.3"/>
    <n v="71.8"/>
    <s v="Heavy"/>
    <n v="20"/>
    <n v="466"/>
    <n v="7"/>
    <s v="Traffic"/>
    <n v="80.599999999999994"/>
    <n v="277"/>
    <x v="0"/>
  </r>
  <r>
    <d v="2024-09-25T09:44:50"/>
    <s v="Truck_7"/>
    <n v="-27.880600000000001"/>
    <n v="-32.477800000000002"/>
    <n v="315"/>
    <x v="0"/>
    <n v="21.7"/>
    <n v="54.9"/>
    <s v="Heavy"/>
    <n v="51"/>
    <n v="479"/>
    <n v="7"/>
    <s v="Traffic"/>
    <n v="83.7"/>
    <n v="293"/>
    <x v="0"/>
  </r>
  <r>
    <d v="2024-06-26T20:47:39"/>
    <s v="Truck_8"/>
    <n v="-48.840899999999998"/>
    <n v="171.33199999999999"/>
    <n v="233"/>
    <x v="0"/>
    <n v="25.3"/>
    <n v="52.8"/>
    <s v="Detour"/>
    <n v="19"/>
    <n v="123"/>
    <n v="7"/>
    <s v="Weather"/>
    <n v="92.3"/>
    <n v="192"/>
    <x v="0"/>
  </r>
  <r>
    <d v="2024-02-24T07:23:53"/>
    <s v="Truck_4"/>
    <n v="28.626999999999999"/>
    <n v="162.88570000000001"/>
    <n v="282"/>
    <x v="2"/>
    <n v="18.399999999999999"/>
    <n v="68.8"/>
    <s v="Heavy"/>
    <n v="16"/>
    <n v="281"/>
    <n v="4"/>
    <s v="Mechanical Failure"/>
    <n v="78.8"/>
    <n v="285"/>
    <x v="0"/>
  </r>
  <r>
    <d v="2024-02-04T20:41:18"/>
    <s v="Truck_2"/>
    <n v="-7.2601000000000004"/>
    <n v="52.512"/>
    <n v="117"/>
    <x v="0"/>
    <n v="28"/>
    <n v="73.900000000000006"/>
    <s v="Heavy"/>
    <n v="55"/>
    <n v="156"/>
    <n v="10"/>
    <s v="Weather"/>
    <n v="63.7"/>
    <n v="277"/>
    <x v="0"/>
  </r>
  <r>
    <d v="2024-02-28T18:13:16"/>
    <s v="Truck_1"/>
    <n v="-16.857600000000001"/>
    <n v="-8.0032999999999994"/>
    <n v="242"/>
    <x v="1"/>
    <n v="23.7"/>
    <n v="56"/>
    <s v="Detour"/>
    <n v="41"/>
    <n v="190"/>
    <n v="5"/>
    <s v="Traffic"/>
    <n v="61.8"/>
    <n v="265"/>
    <x v="1"/>
  </r>
  <r>
    <d v="2024-04-27T15:33:04"/>
    <s v="Truck_8"/>
    <n v="-42.165199999999999"/>
    <n v="-40.9587"/>
    <n v="497"/>
    <x v="2"/>
    <n v="24.1"/>
    <n v="77.5"/>
    <s v="Clear"/>
    <n v="39"/>
    <n v="319"/>
    <n v="10"/>
    <s v="Traffic"/>
    <n v="60"/>
    <n v="224"/>
    <x v="1"/>
  </r>
  <r>
    <d v="2024-10-27T00:36:59"/>
    <s v="Truck_10"/>
    <n v="4.2073"/>
    <n v="-152.13200000000001"/>
    <n v="384"/>
    <x v="0"/>
    <n v="25.6"/>
    <n v="78.8"/>
    <s v="Detour"/>
    <n v="52"/>
    <n v="161"/>
    <n v="10"/>
    <s v="Mechanical Failure"/>
    <n v="83.6"/>
    <n v="161"/>
    <x v="0"/>
  </r>
  <r>
    <d v="2024-01-08T09:23:32"/>
    <s v="Truck_9"/>
    <n v="7.8030999999999997"/>
    <n v="43.4739"/>
    <n v="258"/>
    <x v="2"/>
    <n v="26.8"/>
    <n v="60.5"/>
    <s v="Clear"/>
    <n v="12"/>
    <n v="413"/>
    <n v="8"/>
    <s v="Weather"/>
    <n v="86.9"/>
    <n v="207"/>
    <x v="1"/>
  </r>
  <r>
    <d v="2024-04-01T18:35:37"/>
    <s v="Truck_4"/>
    <n v="-6.8792"/>
    <n v="165.0017"/>
    <n v="258"/>
    <x v="2"/>
    <n v="29.4"/>
    <n v="66.099999999999994"/>
    <s v="Heavy"/>
    <n v="54"/>
    <n v="395"/>
    <n v="2"/>
    <s v="Mechanical Failure"/>
    <n v="71.400000000000006"/>
    <n v="256"/>
    <x v="0"/>
  </r>
  <r>
    <d v="2024-03-05T12:35:28"/>
    <s v="Truck_7"/>
    <n v="60.607300000000002"/>
    <n v="74.362499999999997"/>
    <n v="291"/>
    <x v="1"/>
    <n v="26.9"/>
    <n v="52.3"/>
    <s v="Heavy"/>
    <n v="34"/>
    <n v="253"/>
    <n v="2"/>
    <s v="Traffic"/>
    <n v="94.9"/>
    <n v="228"/>
    <x v="0"/>
  </r>
  <r>
    <d v="2024-08-22T06:38:15"/>
    <s v="Truck_9"/>
    <n v="-87.231700000000004"/>
    <n v="143.00059999999999"/>
    <n v="135"/>
    <x v="0"/>
    <n v="29"/>
    <n v="62.2"/>
    <s v="Heavy"/>
    <n v="24"/>
    <n v="155"/>
    <n v="3"/>
    <s v="Mechanical Failure"/>
    <n v="69.400000000000006"/>
    <n v="196"/>
    <x v="0"/>
  </r>
  <r>
    <d v="2024-01-20T14:38:55"/>
    <s v="Truck_10"/>
    <n v="38.825000000000003"/>
    <n v="-51.845100000000002"/>
    <n v="437"/>
    <x v="0"/>
    <n v="23.3"/>
    <n v="61.6"/>
    <s v="Heavy"/>
    <n v="45"/>
    <n v="177"/>
    <n v="5"/>
    <s v="Mechanical Failure"/>
    <n v="93.3"/>
    <n v="106"/>
    <x v="0"/>
  </r>
  <r>
    <d v="2024-07-06T18:05:23"/>
    <s v="Truck_9"/>
    <n v="-53.525500000000001"/>
    <n v="-1.9486000000000001"/>
    <n v="441"/>
    <x v="0"/>
    <n v="23.1"/>
    <n v="57.1"/>
    <s v="Clear"/>
    <n v="55"/>
    <n v="490"/>
    <n v="10"/>
    <s v="Weather"/>
    <n v="65.099999999999994"/>
    <n v="289"/>
    <x v="0"/>
  </r>
  <r>
    <d v="2024-05-12T20:36:13"/>
    <s v="Truck_6"/>
    <n v="71.118200000000002"/>
    <n v="-120.1134"/>
    <n v="268"/>
    <x v="0"/>
    <n v="20.3"/>
    <n v="78.099999999999994"/>
    <s v="Detour"/>
    <n v="30"/>
    <n v="102"/>
    <n v="6"/>
    <s v="Weather"/>
    <n v="91.7"/>
    <n v="132"/>
    <x v="0"/>
  </r>
  <r>
    <d v="2024-11-20T15:27:33"/>
    <s v="Truck_2"/>
    <n v="-78.490200000000002"/>
    <n v="-101.32550000000001"/>
    <n v="142"/>
    <x v="0"/>
    <n v="24"/>
    <n v="51.6"/>
    <s v="Clear"/>
    <n v="40"/>
    <n v="160"/>
    <n v="7"/>
    <s v="None"/>
    <n v="70"/>
    <n v="276"/>
    <x v="0"/>
  </r>
  <r>
    <d v="2024-08-14T18:56:46"/>
    <s v="Truck_9"/>
    <n v="35.093299999999999"/>
    <n v="-170.9221"/>
    <n v="264"/>
    <x v="1"/>
    <n v="25.3"/>
    <n v="55.2"/>
    <s v="Clear"/>
    <n v="51"/>
    <n v="213"/>
    <n v="10"/>
    <s v="Mechanical Failure"/>
    <n v="85.5"/>
    <n v="173"/>
    <x v="1"/>
  </r>
  <r>
    <d v="2024-10-02T10:12:30"/>
    <s v="Truck_3"/>
    <n v="67.029600000000002"/>
    <n v="-18.707799999999999"/>
    <n v="426"/>
    <x v="0"/>
    <n v="25.3"/>
    <n v="56.8"/>
    <s v="Clear"/>
    <n v="15"/>
    <n v="241"/>
    <n v="5"/>
    <s v="Traffic"/>
    <n v="83.5"/>
    <n v="224"/>
    <x v="0"/>
  </r>
  <r>
    <d v="2024-04-04T17:32:05"/>
    <s v="Truck_8"/>
    <n v="-29.657299999999999"/>
    <n v="-37.602899999999998"/>
    <n v="214"/>
    <x v="0"/>
    <n v="24.3"/>
    <n v="56.9"/>
    <s v="Clear"/>
    <n v="35"/>
    <n v="497"/>
    <n v="6"/>
    <s v="Weather"/>
    <n v="70.2"/>
    <n v="111"/>
    <x v="0"/>
  </r>
  <r>
    <d v="2024-01-08T21:16:45"/>
    <s v="Truck_5"/>
    <n v="-9.1109000000000009"/>
    <n v="76.762"/>
    <n v="123"/>
    <x v="2"/>
    <n v="19.3"/>
    <n v="63.4"/>
    <s v="Detour"/>
    <n v="35"/>
    <n v="303"/>
    <n v="3"/>
    <s v="None"/>
    <n v="64.900000000000006"/>
    <n v="240"/>
    <x v="1"/>
  </r>
  <r>
    <d v="2024-04-02T22:44:27"/>
    <s v="Truck_7"/>
    <n v="50.707599999999999"/>
    <n v="-21.7653"/>
    <n v="295"/>
    <x v="1"/>
    <n v="22.2"/>
    <n v="64.900000000000006"/>
    <s v="Heavy"/>
    <n v="19"/>
    <n v="385"/>
    <n v="9"/>
    <s v="Weather"/>
    <n v="77.099999999999994"/>
    <n v="235"/>
    <x v="0"/>
  </r>
  <r>
    <d v="2024-04-09T22:12:14"/>
    <s v="Truck_5"/>
    <n v="48.351999999999997"/>
    <n v="-54.56"/>
    <n v="378"/>
    <x v="1"/>
    <n v="23.3"/>
    <n v="78.7"/>
    <s v="Clear"/>
    <n v="17"/>
    <n v="364"/>
    <n v="8"/>
    <s v="Mechanical Failure"/>
    <n v="96.1"/>
    <n v="230"/>
    <x v="1"/>
  </r>
  <r>
    <d v="2024-07-08T11:01:23"/>
    <s v="Truck_4"/>
    <n v="-39.786700000000003"/>
    <n v="81.563599999999994"/>
    <n v="209"/>
    <x v="0"/>
    <n v="19.3"/>
    <n v="51"/>
    <s v="Detour"/>
    <n v="18"/>
    <n v="443"/>
    <n v="2"/>
    <s v="Mechanical Failure"/>
    <n v="91.5"/>
    <n v="213"/>
    <x v="0"/>
  </r>
  <r>
    <d v="2024-03-21T10:50:41"/>
    <s v="Truck_6"/>
    <n v="36.543599999999998"/>
    <n v="71.759699999999995"/>
    <n v="325"/>
    <x v="0"/>
    <n v="28.8"/>
    <n v="55"/>
    <s v="Clear"/>
    <n v="56"/>
    <n v="316"/>
    <n v="4"/>
    <s v="Weather"/>
    <n v="77.8"/>
    <n v="300"/>
    <x v="0"/>
  </r>
  <r>
    <d v="2024-11-22T22:18:41"/>
    <s v="Truck_6"/>
    <n v="32.866300000000003"/>
    <n v="-79.992000000000004"/>
    <n v="362"/>
    <x v="0"/>
    <n v="21.7"/>
    <n v="54.6"/>
    <s v="Heavy"/>
    <n v="22"/>
    <n v="441"/>
    <n v="3"/>
    <s v="None"/>
    <n v="74.599999999999994"/>
    <n v="194"/>
    <x v="0"/>
  </r>
  <r>
    <d v="2024-04-24T00:08:50"/>
    <s v="Truck_4"/>
    <n v="-0.1019"/>
    <n v="99.806899999999999"/>
    <n v="451"/>
    <x v="2"/>
    <n v="27.5"/>
    <n v="56.7"/>
    <s v="Clear"/>
    <n v="23"/>
    <n v="446"/>
    <n v="6"/>
    <s v="Traffic"/>
    <n v="62.1"/>
    <n v="203"/>
    <x v="1"/>
  </r>
  <r>
    <d v="2024-06-05T08:51:03"/>
    <s v="Truck_9"/>
    <n v="-56.823099999999997"/>
    <n v="71.584100000000007"/>
    <n v="201"/>
    <x v="1"/>
    <n v="27.5"/>
    <n v="53.1"/>
    <s v="Clear"/>
    <n v="10"/>
    <n v="169"/>
    <n v="3"/>
    <s v="None"/>
    <n v="65.099999999999994"/>
    <n v="242"/>
    <x v="1"/>
  </r>
  <r>
    <d v="2024-03-01T10:10:16"/>
    <s v="Truck_3"/>
    <n v="-61.966799999999999"/>
    <n v="113.8899"/>
    <n v="442"/>
    <x v="0"/>
    <n v="23.6"/>
    <n v="58.1"/>
    <s v="Clear"/>
    <n v="47"/>
    <n v="165"/>
    <n v="1"/>
    <s v="Traffic"/>
    <n v="93.3"/>
    <n v="191"/>
    <x v="0"/>
  </r>
  <r>
    <d v="2024-07-06T21:09:27"/>
    <s v="Truck_1"/>
    <n v="-63.8035"/>
    <n v="61.457099999999997"/>
    <n v="274"/>
    <x v="1"/>
    <n v="19.3"/>
    <n v="70.3"/>
    <s v="Detour"/>
    <n v="26"/>
    <n v="404"/>
    <n v="7"/>
    <s v="Weather"/>
    <n v="81"/>
    <n v="141"/>
    <x v="1"/>
  </r>
  <r>
    <d v="2024-11-28T16:05:59"/>
    <s v="Truck_5"/>
    <n v="-31.727499999999999"/>
    <n v="-28.567599999999999"/>
    <n v="180"/>
    <x v="1"/>
    <n v="24.9"/>
    <n v="68.900000000000006"/>
    <s v="Clear"/>
    <n v="14"/>
    <n v="189"/>
    <n v="3"/>
    <s v="Traffic"/>
    <n v="89.4"/>
    <n v="275"/>
    <x v="1"/>
  </r>
  <r>
    <d v="2024-03-23T21:22:31"/>
    <s v="Truck_1"/>
    <n v="69.995900000000006"/>
    <n v="-10.5335"/>
    <n v="213"/>
    <x v="0"/>
    <n v="22.8"/>
    <n v="65"/>
    <s v="Detour"/>
    <n v="51"/>
    <n v="361"/>
    <n v="6"/>
    <s v="None"/>
    <n v="74.5"/>
    <n v="274"/>
    <x v="0"/>
  </r>
  <r>
    <d v="2024-04-24T05:44:05"/>
    <s v="Truck_10"/>
    <n v="-63.172199999999997"/>
    <n v="145.37559999999999"/>
    <n v="353"/>
    <x v="1"/>
    <n v="22"/>
    <n v="66.8"/>
    <s v="Heavy"/>
    <n v="27"/>
    <n v="327"/>
    <n v="9"/>
    <s v="Traffic"/>
    <n v="71.2"/>
    <n v="146"/>
    <x v="0"/>
  </r>
  <r>
    <d v="2024-06-11T04:47:07"/>
    <s v="Truck_8"/>
    <n v="35.7913"/>
    <n v="6.3765000000000001"/>
    <n v="495"/>
    <x v="2"/>
    <n v="20.6"/>
    <n v="71.5"/>
    <s v="Heavy"/>
    <n v="32"/>
    <n v="166"/>
    <n v="2"/>
    <s v="Weather"/>
    <n v="62.5"/>
    <n v="282"/>
    <x v="0"/>
  </r>
  <r>
    <d v="2024-08-12T00:54:08"/>
    <s v="Truck_1"/>
    <n v="-58.853099999999998"/>
    <n v="45.049799999999998"/>
    <n v="162"/>
    <x v="0"/>
    <n v="21.3"/>
    <n v="76.8"/>
    <s v="Detour"/>
    <n v="53"/>
    <n v="164"/>
    <n v="3"/>
    <s v="None"/>
    <n v="61.6"/>
    <n v="104"/>
    <x v="0"/>
  </r>
  <r>
    <d v="2024-05-31T03:05:32"/>
    <s v="Truck_3"/>
    <n v="49.400700000000001"/>
    <n v="-106.15309999999999"/>
    <n v="252"/>
    <x v="0"/>
    <n v="28"/>
    <n v="66.5"/>
    <s v="Detour"/>
    <n v="44"/>
    <n v="298"/>
    <n v="6"/>
    <s v="Traffic"/>
    <n v="72.8"/>
    <n v="150"/>
    <x v="0"/>
  </r>
  <r>
    <d v="2024-04-05T10:26:33"/>
    <s v="Truck_2"/>
    <n v="8.4222000000000001"/>
    <n v="-69.752200000000002"/>
    <n v="361"/>
    <x v="2"/>
    <n v="19.5"/>
    <n v="78.599999999999994"/>
    <s v="Clear"/>
    <n v="21"/>
    <n v="358"/>
    <n v="9"/>
    <s v="Weather"/>
    <n v="93"/>
    <n v="235"/>
    <x v="1"/>
  </r>
  <r>
    <d v="2024-12-12T16:21:04"/>
    <s v="Truck_6"/>
    <n v="-6.5166000000000004"/>
    <n v="-143.38220000000001"/>
    <n v="115"/>
    <x v="2"/>
    <n v="29.3"/>
    <n v="65.099999999999994"/>
    <s v="Heavy"/>
    <n v="32"/>
    <n v="445"/>
    <n v="1"/>
    <s v="Weather"/>
    <n v="79.400000000000006"/>
    <n v="123"/>
    <x v="0"/>
  </r>
  <r>
    <d v="2024-02-11T08:18:06"/>
    <s v="Truck_3"/>
    <n v="-43.179699999999997"/>
    <n v="-64.476900000000001"/>
    <n v="172"/>
    <x v="2"/>
    <n v="22.5"/>
    <n v="69.7"/>
    <s v="Heavy"/>
    <n v="55"/>
    <n v="216"/>
    <n v="9"/>
    <s v="Weather"/>
    <n v="72.099999999999994"/>
    <n v="106"/>
    <x v="0"/>
  </r>
  <r>
    <d v="2024-10-11T15:23:47"/>
    <s v="Truck_8"/>
    <n v="45.046999999999997"/>
    <n v="69.701400000000007"/>
    <n v="403"/>
    <x v="1"/>
    <n v="28.2"/>
    <n v="76.099999999999994"/>
    <s v="Heavy"/>
    <n v="51"/>
    <n v="457"/>
    <n v="7"/>
    <s v="Traffic"/>
    <n v="73.900000000000006"/>
    <n v="229"/>
    <x v="0"/>
  </r>
  <r>
    <d v="2024-06-27T16:27:20"/>
    <s v="Truck_2"/>
    <n v="-15.8011"/>
    <n v="138.77850000000001"/>
    <n v="426"/>
    <x v="1"/>
    <n v="22"/>
    <n v="73.099999999999994"/>
    <s v="Clear"/>
    <n v="29"/>
    <n v="392"/>
    <n v="5"/>
    <s v="None"/>
    <n v="94.6"/>
    <n v="236"/>
    <x v="1"/>
  </r>
  <r>
    <d v="2024-09-10T19:47:25"/>
    <s v="Truck_7"/>
    <n v="-30.856400000000001"/>
    <n v="26.7562"/>
    <n v="368"/>
    <x v="0"/>
    <n v="26.6"/>
    <n v="74.900000000000006"/>
    <s v="Detour"/>
    <n v="28"/>
    <n v="341"/>
    <n v="6"/>
    <s v="None"/>
    <n v="97.1"/>
    <n v="217"/>
    <x v="0"/>
  </r>
  <r>
    <d v="2024-07-02T13:06:51"/>
    <s v="Truck_9"/>
    <n v="16.029599999999999"/>
    <n v="-36.334899999999998"/>
    <n v="173"/>
    <x v="0"/>
    <n v="24.9"/>
    <n v="58.1"/>
    <s v="Clear"/>
    <n v="34"/>
    <n v="287"/>
    <n v="9"/>
    <s v="Mechanical Failure"/>
    <n v="96.8"/>
    <n v="131"/>
    <x v="0"/>
  </r>
  <r>
    <d v="2024-08-31T20:18:57"/>
    <s v="Truck_9"/>
    <n v="81.396199999999993"/>
    <n v="-79.619299999999996"/>
    <n v="371"/>
    <x v="1"/>
    <n v="22.9"/>
    <n v="67.2"/>
    <s v="Heavy"/>
    <n v="35"/>
    <n v="121"/>
    <n v="8"/>
    <s v="Weather"/>
    <n v="90.9"/>
    <n v="213"/>
    <x v="0"/>
  </r>
  <r>
    <d v="2024-07-13T00:23:59"/>
    <s v="Truck_4"/>
    <n v="77.543599999999998"/>
    <n v="-156.24789999999999"/>
    <n v="199"/>
    <x v="0"/>
    <n v="28.5"/>
    <n v="68.8"/>
    <s v="Heavy"/>
    <n v="18"/>
    <n v="201"/>
    <n v="2"/>
    <s v="Mechanical Failure"/>
    <n v="71.2"/>
    <n v="181"/>
    <x v="0"/>
  </r>
  <r>
    <d v="2024-07-09T10:12:42"/>
    <s v="Truck_4"/>
    <n v="51.804699999999997"/>
    <n v="66.019300000000001"/>
    <n v="319"/>
    <x v="1"/>
    <n v="22.3"/>
    <n v="50.8"/>
    <s v="Clear"/>
    <n v="52"/>
    <n v="188"/>
    <n v="8"/>
    <s v="Traffic"/>
    <n v="66.400000000000006"/>
    <n v="153"/>
    <x v="1"/>
  </r>
  <r>
    <d v="2024-05-06T23:58:14"/>
    <s v="Truck_4"/>
    <n v="37.552300000000002"/>
    <n v="145.19730000000001"/>
    <n v="437"/>
    <x v="1"/>
    <n v="29.1"/>
    <n v="76.5"/>
    <s v="Clear"/>
    <n v="46"/>
    <n v="122"/>
    <n v="10"/>
    <s v="None"/>
    <n v="73.599999999999994"/>
    <n v="111"/>
    <x v="1"/>
  </r>
  <r>
    <d v="2024-01-07T15:00:38"/>
    <s v="Truck_9"/>
    <n v="30.587499999999999"/>
    <n v="132.73089999999999"/>
    <n v="203"/>
    <x v="0"/>
    <n v="19.2"/>
    <n v="63.6"/>
    <s v="Heavy"/>
    <n v="31"/>
    <n v="123"/>
    <n v="9"/>
    <s v="Mechanical Failure"/>
    <n v="84.1"/>
    <n v="270"/>
    <x v="0"/>
  </r>
  <r>
    <d v="2024-03-08T18:02:46"/>
    <s v="Truck_8"/>
    <n v="-86.927599999999998"/>
    <n v="120.7534"/>
    <n v="466"/>
    <x v="1"/>
    <n v="26.3"/>
    <n v="70.400000000000006"/>
    <s v="Heavy"/>
    <n v="53"/>
    <n v="291"/>
    <n v="8"/>
    <s v="Weather"/>
    <n v="62.1"/>
    <n v="287"/>
    <x v="0"/>
  </r>
  <r>
    <d v="2024-03-04T09:26:19"/>
    <s v="Truck_8"/>
    <n v="-44.6569"/>
    <n v="129.86250000000001"/>
    <n v="418"/>
    <x v="1"/>
    <n v="22.9"/>
    <n v="62"/>
    <s v="Detour"/>
    <n v="26"/>
    <n v="405"/>
    <n v="1"/>
    <s v="None"/>
    <n v="62.3"/>
    <n v="124"/>
    <x v="1"/>
  </r>
  <r>
    <d v="2024-10-12T07:07:08"/>
    <s v="Truck_7"/>
    <n v="53.818600000000004"/>
    <n v="-158.42519999999999"/>
    <n v="124"/>
    <x v="0"/>
    <n v="26.7"/>
    <n v="50.1"/>
    <s v="Clear"/>
    <n v="10"/>
    <n v="460"/>
    <n v="5"/>
    <s v="Mechanical Failure"/>
    <n v="69.400000000000006"/>
    <n v="130"/>
    <x v="0"/>
  </r>
  <r>
    <d v="2024-08-07T05:17:08"/>
    <s v="Truck_1"/>
    <n v="26.022600000000001"/>
    <n v="103.2098"/>
    <n v="322"/>
    <x v="0"/>
    <n v="25"/>
    <n v="57.7"/>
    <s v="Clear"/>
    <n v="15"/>
    <n v="190"/>
    <n v="4"/>
    <s v="Traffic"/>
    <n v="86.8"/>
    <n v="159"/>
    <x v="0"/>
  </r>
  <r>
    <d v="2024-03-27T21:00:44"/>
    <s v="Truck_8"/>
    <n v="14.1508"/>
    <n v="-54.465899999999998"/>
    <n v="351"/>
    <x v="2"/>
    <n v="25.1"/>
    <n v="74.2"/>
    <s v="Heavy"/>
    <n v="54"/>
    <n v="223"/>
    <n v="9"/>
    <s v="Traffic"/>
    <n v="62.2"/>
    <n v="267"/>
    <x v="0"/>
  </r>
  <r>
    <d v="2024-10-03T07:39:13"/>
    <s v="Truck_4"/>
    <n v="22.835599999999999"/>
    <n v="-12.872999999999999"/>
    <n v="350"/>
    <x v="1"/>
    <n v="27"/>
    <n v="66.7"/>
    <s v="Detour"/>
    <n v="56"/>
    <n v="207"/>
    <n v="2"/>
    <s v="Mechanical Failure"/>
    <n v="64"/>
    <n v="248"/>
    <x v="1"/>
  </r>
  <r>
    <d v="2024-06-24T01:25:10"/>
    <s v="Truck_7"/>
    <n v="79.233400000000003"/>
    <n v="166.45490000000001"/>
    <n v="179"/>
    <x v="2"/>
    <n v="20.6"/>
    <n v="53.6"/>
    <s v="Heavy"/>
    <n v="36"/>
    <n v="480"/>
    <n v="7"/>
    <s v="Mechanical Failure"/>
    <n v="72.099999999999994"/>
    <n v="246"/>
    <x v="0"/>
  </r>
  <r>
    <d v="2024-01-30T08:32:53"/>
    <s v="Truck_6"/>
    <n v="-9.0289000000000001"/>
    <n v="-69.425600000000003"/>
    <n v="338"/>
    <x v="2"/>
    <n v="27.3"/>
    <n v="70.099999999999994"/>
    <s v="Heavy"/>
    <n v="29"/>
    <n v="129"/>
    <n v="1"/>
    <s v="None"/>
    <n v="82.4"/>
    <n v="281"/>
    <x v="0"/>
  </r>
  <r>
    <d v="2024-01-15T07:48:38"/>
    <s v="Truck_10"/>
    <n v="71.222800000000007"/>
    <n v="-86.399299999999997"/>
    <n v="334"/>
    <x v="2"/>
    <n v="28.9"/>
    <n v="62.8"/>
    <s v="Clear"/>
    <n v="15"/>
    <n v="106"/>
    <n v="5"/>
    <s v="Weather"/>
    <n v="97.2"/>
    <n v="127"/>
    <x v="1"/>
  </r>
  <r>
    <d v="2024-12-30T08:15:46"/>
    <s v="Truck_10"/>
    <n v="-29.686399999999999"/>
    <n v="-88.690100000000001"/>
    <n v="411"/>
    <x v="1"/>
    <n v="19"/>
    <n v="55.4"/>
    <s v="Clear"/>
    <n v="14"/>
    <n v="409"/>
    <n v="7"/>
    <s v="None"/>
    <n v="94.5"/>
    <n v="192"/>
    <x v="1"/>
  </r>
  <r>
    <d v="2024-08-01T21:42:48"/>
    <s v="Truck_7"/>
    <n v="-19.575900000000001"/>
    <n v="-39.553100000000001"/>
    <n v="481"/>
    <x v="0"/>
    <n v="22.8"/>
    <n v="74.7"/>
    <s v="Detour"/>
    <n v="42"/>
    <n v="157"/>
    <n v="1"/>
    <s v="Weather"/>
    <n v="65.2"/>
    <n v="259"/>
    <x v="0"/>
  </r>
  <r>
    <d v="2024-05-17T19:53:30"/>
    <s v="Truck_2"/>
    <n v="81.099999999999994"/>
    <n v="113.2247"/>
    <n v="224"/>
    <x v="0"/>
    <n v="26.4"/>
    <n v="75.400000000000006"/>
    <s v="Detour"/>
    <n v="23"/>
    <n v="234"/>
    <n v="4"/>
    <s v="Mechanical Failure"/>
    <n v="86.6"/>
    <n v="131"/>
    <x v="0"/>
  </r>
  <r>
    <d v="2024-02-04T05:26:36"/>
    <s v="Truck_8"/>
    <n v="32.7849"/>
    <n v="30.954999999999998"/>
    <n v="377"/>
    <x v="0"/>
    <n v="19.5"/>
    <n v="51"/>
    <s v="Detour"/>
    <n v="11"/>
    <n v="226"/>
    <n v="8"/>
    <s v="Weather"/>
    <n v="64.099999999999994"/>
    <n v="266"/>
    <x v="0"/>
  </r>
  <r>
    <d v="2024-07-18T13:12:46"/>
    <s v="Truck_7"/>
    <n v="49.048000000000002"/>
    <n v="4.8895999999999997"/>
    <n v="283"/>
    <x v="0"/>
    <n v="19.600000000000001"/>
    <n v="75.5"/>
    <s v="Heavy"/>
    <n v="49"/>
    <n v="496"/>
    <n v="6"/>
    <s v="Weather"/>
    <n v="78.900000000000006"/>
    <n v="130"/>
    <x v="0"/>
  </r>
  <r>
    <d v="2024-01-01T17:34:48"/>
    <s v="Truck_10"/>
    <n v="-13.9612"/>
    <n v="89.534199999999998"/>
    <n v="174"/>
    <x v="0"/>
    <n v="20.2"/>
    <n v="74.2"/>
    <s v="Detour"/>
    <n v="49"/>
    <n v="403"/>
    <n v="5"/>
    <s v="None"/>
    <n v="83.5"/>
    <n v="227"/>
    <x v="0"/>
  </r>
  <r>
    <d v="2024-09-08T14:29:17"/>
    <s v="Truck_4"/>
    <n v="64.411299999999997"/>
    <n v="-121.7647"/>
    <n v="440"/>
    <x v="2"/>
    <n v="20.399999999999999"/>
    <n v="62.4"/>
    <s v="Clear"/>
    <n v="35"/>
    <n v="199"/>
    <n v="10"/>
    <s v="None"/>
    <n v="80.3"/>
    <n v="269"/>
    <x v="1"/>
  </r>
  <r>
    <d v="2024-02-26T03:25:37"/>
    <s v="Truck_2"/>
    <n v="-77.798599999999993"/>
    <n v="-155.40979999999999"/>
    <n v="497"/>
    <x v="0"/>
    <n v="21.8"/>
    <n v="71.3"/>
    <s v="Heavy"/>
    <n v="22"/>
    <n v="424"/>
    <n v="2"/>
    <s v="Weather"/>
    <n v="79.8"/>
    <n v="168"/>
    <x v="0"/>
  </r>
  <r>
    <d v="2024-04-16T04:37:24"/>
    <s v="Truck_7"/>
    <n v="16.2591"/>
    <n v="175.14850000000001"/>
    <n v="337"/>
    <x v="2"/>
    <n v="21.1"/>
    <n v="64.400000000000006"/>
    <s v="Detour"/>
    <n v="49"/>
    <n v="226"/>
    <n v="2"/>
    <s v="Traffic"/>
    <n v="89.6"/>
    <n v="298"/>
    <x v="1"/>
  </r>
  <r>
    <d v="2024-12-11T17:39:51"/>
    <s v="Truck_10"/>
    <n v="30.674900000000001"/>
    <n v="78.474299999999999"/>
    <n v="315"/>
    <x v="2"/>
    <n v="21.4"/>
    <n v="62.6"/>
    <s v="Heavy"/>
    <n v="27"/>
    <n v="482"/>
    <n v="9"/>
    <s v="Traffic"/>
    <n v="77.2"/>
    <n v="153"/>
    <x v="0"/>
  </r>
  <r>
    <d v="2024-09-16T12:46:13"/>
    <s v="Truck_7"/>
    <n v="-18.067499999999999"/>
    <n v="76.780199999999994"/>
    <n v="219"/>
    <x v="2"/>
    <n v="18.100000000000001"/>
    <n v="64.599999999999994"/>
    <s v="Clear"/>
    <n v="24"/>
    <n v="179"/>
    <n v="8"/>
    <s v="Weather"/>
    <n v="83.3"/>
    <n v="202"/>
    <x v="1"/>
  </r>
  <r>
    <d v="2024-01-23T18:52:56"/>
    <s v="Truck_8"/>
    <n v="-89.778400000000005"/>
    <n v="-163.79650000000001"/>
    <n v="247"/>
    <x v="0"/>
    <n v="28.3"/>
    <n v="76.2"/>
    <s v="Clear"/>
    <n v="53"/>
    <n v="190"/>
    <n v="10"/>
    <s v="Mechanical Failure"/>
    <n v="93.6"/>
    <n v="111"/>
    <x v="0"/>
  </r>
  <r>
    <d v="2024-03-28T07:21:29"/>
    <s v="Truck_9"/>
    <n v="-30.547599999999999"/>
    <n v="63.528199999999998"/>
    <n v="148"/>
    <x v="0"/>
    <n v="19"/>
    <n v="50.3"/>
    <s v="Detour"/>
    <n v="50"/>
    <n v="481"/>
    <n v="2"/>
    <s v="Mechanical Failure"/>
    <n v="87.3"/>
    <n v="243"/>
    <x v="0"/>
  </r>
  <r>
    <d v="2024-04-28T03:36:13"/>
    <s v="Truck_6"/>
    <n v="-16.831700000000001"/>
    <n v="-114.4787"/>
    <n v="205"/>
    <x v="1"/>
    <n v="23.4"/>
    <n v="61.4"/>
    <s v="Clear"/>
    <n v="31"/>
    <n v="279"/>
    <n v="2"/>
    <s v="Traffic"/>
    <n v="79.099999999999994"/>
    <n v="118"/>
    <x v="1"/>
  </r>
  <r>
    <d v="2024-04-12T19:45:26"/>
    <s v="Truck_2"/>
    <n v="42.6126"/>
    <n v="-69.540800000000004"/>
    <n v="243"/>
    <x v="1"/>
    <n v="28.9"/>
    <n v="57.8"/>
    <s v="Clear"/>
    <n v="33"/>
    <n v="277"/>
    <n v="10"/>
    <s v="Traffic"/>
    <n v="84.4"/>
    <n v="151"/>
    <x v="1"/>
  </r>
  <r>
    <d v="2024-12-30T02:31:31"/>
    <s v="Truck_8"/>
    <n v="44.5289"/>
    <n v="31.100200000000001"/>
    <n v="226"/>
    <x v="0"/>
    <n v="21"/>
    <n v="69.400000000000006"/>
    <s v="Detour"/>
    <n v="27"/>
    <n v="406"/>
    <n v="5"/>
    <s v="None"/>
    <n v="99.9"/>
    <n v="285"/>
    <x v="0"/>
  </r>
  <r>
    <d v="2024-07-31T17:11:19"/>
    <s v="Truck_2"/>
    <n v="84.716099999999997"/>
    <n v="77.111400000000003"/>
    <n v="350"/>
    <x v="2"/>
    <n v="23.7"/>
    <n v="59.8"/>
    <s v="Detour"/>
    <n v="42"/>
    <n v="188"/>
    <n v="10"/>
    <s v="None"/>
    <n v="98.6"/>
    <n v="248"/>
    <x v="1"/>
  </r>
  <r>
    <d v="2024-01-04T19:58:15"/>
    <s v="Truck_4"/>
    <n v="-64.095399999999998"/>
    <n v="-155.4074"/>
    <n v="272"/>
    <x v="0"/>
    <n v="23.4"/>
    <n v="57.2"/>
    <s v="Clear"/>
    <n v="51"/>
    <n v="419"/>
    <n v="6"/>
    <s v="Mechanical Failure"/>
    <n v="63.1"/>
    <n v="159"/>
    <x v="0"/>
  </r>
  <r>
    <d v="2024-02-05T00:48:18"/>
    <s v="Truck_2"/>
    <n v="20.338799999999999"/>
    <n v="-109.3313"/>
    <n v="378"/>
    <x v="1"/>
    <n v="21"/>
    <n v="60.8"/>
    <s v="Heavy"/>
    <n v="30"/>
    <n v="318"/>
    <n v="3"/>
    <s v="Weather"/>
    <n v="84.8"/>
    <n v="181"/>
    <x v="0"/>
  </r>
  <r>
    <d v="2024-09-27T17:22:08"/>
    <s v="Truck_10"/>
    <n v="-14.5017"/>
    <n v="-20.148599999999998"/>
    <n v="127"/>
    <x v="0"/>
    <n v="23.7"/>
    <n v="51.2"/>
    <s v="Heavy"/>
    <n v="38"/>
    <n v="463"/>
    <n v="1"/>
    <s v="Traffic"/>
    <n v="78.900000000000006"/>
    <n v="272"/>
    <x v="0"/>
  </r>
  <r>
    <d v="2024-10-07T14:26:04"/>
    <s v="Truck_4"/>
    <n v="-35.3643"/>
    <n v="134.89089999999999"/>
    <n v="275"/>
    <x v="1"/>
    <n v="23"/>
    <n v="55.7"/>
    <s v="Clear"/>
    <n v="39"/>
    <n v="264"/>
    <n v="1"/>
    <s v="Mechanical Failure"/>
    <n v="64.400000000000006"/>
    <n v="281"/>
    <x v="1"/>
  </r>
  <r>
    <d v="2024-01-09T23:18:24"/>
    <s v="Truck_7"/>
    <n v="1.3294999999999999"/>
    <n v="83.6357"/>
    <n v="483"/>
    <x v="0"/>
    <n v="28.6"/>
    <n v="72.400000000000006"/>
    <s v="Clear"/>
    <n v="51"/>
    <n v="243"/>
    <n v="1"/>
    <s v="Traffic"/>
    <n v="73.7"/>
    <n v="167"/>
    <x v="0"/>
  </r>
  <r>
    <d v="2024-01-01T18:29:17"/>
    <s v="Truck_3"/>
    <n v="88.765199999999993"/>
    <n v="-178.2706"/>
    <n v="179"/>
    <x v="0"/>
    <n v="25.5"/>
    <n v="70.900000000000006"/>
    <s v="Detour"/>
    <n v="12"/>
    <n v="427"/>
    <n v="9"/>
    <s v="None"/>
    <n v="60.3"/>
    <n v="157"/>
    <x v="0"/>
  </r>
  <r>
    <d v="2024-12-18T08:24:56"/>
    <s v="Truck_3"/>
    <n v="54.493000000000002"/>
    <n v="24.597899999999999"/>
    <n v="325"/>
    <x v="2"/>
    <n v="26.4"/>
    <n v="53.7"/>
    <s v="Detour"/>
    <n v="49"/>
    <n v="495"/>
    <n v="3"/>
    <s v="Weather"/>
    <n v="79.5"/>
    <n v="145"/>
    <x v="1"/>
  </r>
  <r>
    <d v="2024-01-16T09:47:08"/>
    <s v="Truck_10"/>
    <n v="49.743099999999998"/>
    <n v="156.32159999999999"/>
    <n v="256"/>
    <x v="2"/>
    <n v="22.3"/>
    <n v="66.3"/>
    <s v="Heavy"/>
    <n v="10"/>
    <n v="462"/>
    <n v="1"/>
    <s v="Weather"/>
    <n v="95.5"/>
    <n v="276"/>
    <x v="0"/>
  </r>
  <r>
    <d v="2024-09-12T03:14:24"/>
    <s v="Truck_4"/>
    <n v="-86.935699999999997"/>
    <n v="-84.971800000000002"/>
    <n v="405"/>
    <x v="1"/>
    <n v="20.5"/>
    <n v="55.6"/>
    <s v="Heavy"/>
    <n v="25"/>
    <n v="442"/>
    <n v="4"/>
    <s v="Traffic"/>
    <n v="70.5"/>
    <n v="269"/>
    <x v="0"/>
  </r>
  <r>
    <d v="2024-11-16T01:47:31"/>
    <s v="Truck_5"/>
    <n v="-59.607799999999997"/>
    <n v="157.02000000000001"/>
    <n v="428"/>
    <x v="0"/>
    <n v="23.5"/>
    <n v="67.3"/>
    <s v="Heavy"/>
    <n v="33"/>
    <n v="152"/>
    <n v="8"/>
    <s v="None"/>
    <n v="71.3"/>
    <n v="300"/>
    <x v="0"/>
  </r>
  <r>
    <d v="2024-05-22T04:50:14"/>
    <s v="Truck_1"/>
    <n v="-10.9298"/>
    <n v="-89.030600000000007"/>
    <n v="247"/>
    <x v="0"/>
    <n v="18.3"/>
    <n v="56.7"/>
    <s v="Heavy"/>
    <n v="60"/>
    <n v="194"/>
    <n v="6"/>
    <s v="None"/>
    <n v="66.8"/>
    <n v="192"/>
    <x v="0"/>
  </r>
  <r>
    <d v="2024-06-03T20:17:37"/>
    <s v="Truck_8"/>
    <n v="-54.357100000000003"/>
    <n v="-133.19380000000001"/>
    <n v="276"/>
    <x v="2"/>
    <n v="19.600000000000001"/>
    <n v="53.4"/>
    <s v="Heavy"/>
    <n v="38"/>
    <n v="408"/>
    <n v="2"/>
    <s v="Traffic"/>
    <n v="89.2"/>
    <n v="118"/>
    <x v="0"/>
  </r>
  <r>
    <d v="2024-03-17T00:18:41"/>
    <s v="Truck_8"/>
    <n v="-82.175399999999996"/>
    <n v="-169.42189999999999"/>
    <n v="410"/>
    <x v="2"/>
    <n v="25"/>
    <n v="72.900000000000006"/>
    <s v="Clear"/>
    <n v="21"/>
    <n v="306"/>
    <n v="2"/>
    <s v="Traffic"/>
    <n v="71.2"/>
    <n v="132"/>
    <x v="1"/>
  </r>
  <r>
    <d v="2024-07-21T09:43:53"/>
    <s v="Truck_1"/>
    <n v="-11.363099999999999"/>
    <n v="83.081900000000005"/>
    <n v="449"/>
    <x v="2"/>
    <n v="28.8"/>
    <n v="76.2"/>
    <s v="Clear"/>
    <n v="31"/>
    <n v="234"/>
    <n v="8"/>
    <s v="Traffic"/>
    <n v="91.7"/>
    <n v="129"/>
    <x v="1"/>
  </r>
  <r>
    <d v="2024-04-05T06:44:52"/>
    <s v="Truck_6"/>
    <n v="-48.383800000000001"/>
    <n v="-163.11770000000001"/>
    <n v="403"/>
    <x v="2"/>
    <n v="19.399999999999999"/>
    <n v="70.3"/>
    <s v="Clear"/>
    <n v="43"/>
    <n v="238"/>
    <n v="5"/>
    <s v="Mechanical Failure"/>
    <n v="79.7"/>
    <n v="202"/>
    <x v="1"/>
  </r>
  <r>
    <d v="2024-01-16T17:28:55"/>
    <s v="Truck_7"/>
    <n v="7.0556999999999999"/>
    <n v="-122.6525"/>
    <n v="380"/>
    <x v="0"/>
    <n v="27.1"/>
    <n v="71.5"/>
    <s v="Clear"/>
    <n v="23"/>
    <n v="373"/>
    <n v="3"/>
    <s v="Mechanical Failure"/>
    <n v="97.1"/>
    <n v="286"/>
    <x v="0"/>
  </r>
  <r>
    <d v="2024-12-18T01:23:54"/>
    <s v="Truck_5"/>
    <n v="-1.0775999999999999"/>
    <n v="51.907499999999999"/>
    <n v="417"/>
    <x v="1"/>
    <n v="27"/>
    <n v="62.8"/>
    <s v="Heavy"/>
    <n v="33"/>
    <n v="373"/>
    <n v="1"/>
    <s v="Weather"/>
    <n v="74.099999999999994"/>
    <n v="122"/>
    <x v="0"/>
  </r>
  <r>
    <d v="2024-12-18T14:40:09"/>
    <s v="Truck_1"/>
    <n v="-81.573300000000003"/>
    <n v="-17.378699999999998"/>
    <n v="169"/>
    <x v="0"/>
    <n v="28.4"/>
    <n v="74.400000000000006"/>
    <s v="Heavy"/>
    <n v="53"/>
    <n v="342"/>
    <n v="6"/>
    <s v="Traffic"/>
    <n v="98.1"/>
    <n v="179"/>
    <x v="0"/>
  </r>
  <r>
    <d v="2024-03-04T09:04:38"/>
    <s v="Truck_7"/>
    <n v="75.210899999999995"/>
    <n v="170.33709999999999"/>
    <n v="382"/>
    <x v="0"/>
    <n v="22.2"/>
    <n v="63.2"/>
    <s v="Clear"/>
    <n v="12"/>
    <n v="467"/>
    <n v="6"/>
    <s v="None"/>
    <n v="80.599999999999994"/>
    <n v="210"/>
    <x v="0"/>
  </r>
  <r>
    <d v="2024-11-08T02:08:22"/>
    <s v="Truck_6"/>
    <n v="-21.428799999999999"/>
    <n v="-164.29150000000001"/>
    <n v="404"/>
    <x v="0"/>
    <n v="18.8"/>
    <n v="69.3"/>
    <s v="Detour"/>
    <n v="59"/>
    <n v="307"/>
    <n v="10"/>
    <s v="Weather"/>
    <n v="67.7"/>
    <n v="223"/>
    <x v="0"/>
  </r>
  <r>
    <d v="2024-05-22T03:32:11"/>
    <s v="Truck_8"/>
    <n v="-49.145000000000003"/>
    <n v="-120.0898"/>
    <n v="399"/>
    <x v="0"/>
    <n v="20.100000000000001"/>
    <n v="74.2"/>
    <s v="Detour"/>
    <n v="54"/>
    <n v="317"/>
    <n v="8"/>
    <s v="Mechanical Failure"/>
    <n v="88.2"/>
    <n v="143"/>
    <x v="0"/>
  </r>
  <r>
    <d v="2024-07-16T02:28:08"/>
    <s v="Truck_1"/>
    <n v="-87.383499999999998"/>
    <n v="60.460900000000002"/>
    <n v="271"/>
    <x v="2"/>
    <n v="24.6"/>
    <n v="73"/>
    <s v="Detour"/>
    <n v="53"/>
    <n v="382"/>
    <n v="3"/>
    <s v="None"/>
    <n v="94.1"/>
    <n v="166"/>
    <x v="1"/>
  </r>
  <r>
    <d v="2024-01-20T21:06:05"/>
    <s v="Truck_1"/>
    <n v="69.641300000000001"/>
    <n v="1.4327000000000001"/>
    <n v="332"/>
    <x v="0"/>
    <n v="18.8"/>
    <n v="74.7"/>
    <s v="Heavy"/>
    <n v="16"/>
    <n v="279"/>
    <n v="2"/>
    <s v="None"/>
    <n v="61.8"/>
    <n v="289"/>
    <x v="0"/>
  </r>
  <r>
    <d v="2024-04-16T03:03:08"/>
    <s v="Truck_5"/>
    <n v="19.9466"/>
    <n v="-104.4665"/>
    <n v="445"/>
    <x v="2"/>
    <n v="25.7"/>
    <n v="50.8"/>
    <s v="Heavy"/>
    <n v="28"/>
    <n v="414"/>
    <n v="2"/>
    <s v="Weather"/>
    <n v="75.5"/>
    <n v="140"/>
    <x v="0"/>
  </r>
  <r>
    <d v="2024-02-07T04:52:21"/>
    <s v="Truck_6"/>
    <n v="19.557300000000001"/>
    <n v="171.86969999999999"/>
    <n v="426"/>
    <x v="1"/>
    <n v="23.6"/>
    <n v="58"/>
    <s v="Heavy"/>
    <n v="47"/>
    <n v="263"/>
    <n v="1"/>
    <s v="Traffic"/>
    <n v="92.9"/>
    <n v="136"/>
    <x v="0"/>
  </r>
  <r>
    <d v="2024-01-16T04:10:14"/>
    <s v="Truck_6"/>
    <n v="-46.9621"/>
    <n v="87.697199999999995"/>
    <n v="419"/>
    <x v="1"/>
    <n v="27"/>
    <n v="56.7"/>
    <s v="Detour"/>
    <n v="25"/>
    <n v="378"/>
    <n v="2"/>
    <s v="None"/>
    <n v="74.3"/>
    <n v="212"/>
    <x v="1"/>
  </r>
  <r>
    <d v="2024-01-12T02:20:39"/>
    <s v="Truck_4"/>
    <n v="-34.443300000000001"/>
    <n v="-4.0669000000000004"/>
    <n v="128"/>
    <x v="0"/>
    <n v="29"/>
    <n v="71"/>
    <s v="Detour"/>
    <n v="12"/>
    <n v="404"/>
    <n v="8"/>
    <s v="Traffic"/>
    <n v="81.3"/>
    <n v="272"/>
    <x v="0"/>
  </r>
  <r>
    <d v="2024-10-16T20:45:23"/>
    <s v="Truck_9"/>
    <n v="-7.8198999999999996"/>
    <n v="-78.215000000000003"/>
    <n v="200"/>
    <x v="1"/>
    <n v="19.2"/>
    <n v="67.7"/>
    <s v="Heavy"/>
    <n v="11"/>
    <n v="349"/>
    <n v="6"/>
    <s v="None"/>
    <n v="73.599999999999994"/>
    <n v="299"/>
    <x v="0"/>
  </r>
  <r>
    <d v="2024-08-01T09:16:16"/>
    <s v="Truck_8"/>
    <n v="11.661099999999999"/>
    <n v="44.750500000000002"/>
    <n v="434"/>
    <x v="2"/>
    <n v="29.4"/>
    <n v="76.3"/>
    <s v="Heavy"/>
    <n v="30"/>
    <n v="166"/>
    <n v="1"/>
    <s v="None"/>
    <n v="94.6"/>
    <n v="220"/>
    <x v="0"/>
  </r>
  <r>
    <d v="2024-01-13T21:07:39"/>
    <s v="Truck_1"/>
    <n v="-12.4175"/>
    <n v="135.98660000000001"/>
    <n v="339"/>
    <x v="0"/>
    <n v="26.4"/>
    <n v="73.8"/>
    <s v="Clear"/>
    <n v="58"/>
    <n v="488"/>
    <n v="3"/>
    <s v="None"/>
    <n v="89.3"/>
    <n v="299"/>
    <x v="0"/>
  </r>
  <r>
    <d v="2024-03-27T04:33:58"/>
    <s v="Truck_10"/>
    <n v="-79.345100000000002"/>
    <n v="-52.515099999999997"/>
    <n v="224"/>
    <x v="2"/>
    <n v="19"/>
    <n v="79.900000000000006"/>
    <s v="Heavy"/>
    <n v="17"/>
    <n v="139"/>
    <n v="4"/>
    <s v="Weather"/>
    <n v="96.1"/>
    <n v="279"/>
    <x v="0"/>
  </r>
  <r>
    <d v="2024-03-15T14:48:46"/>
    <s v="Truck_10"/>
    <n v="24.421600000000002"/>
    <n v="-7.0648999999999997"/>
    <n v="387"/>
    <x v="0"/>
    <n v="18.399999999999999"/>
    <n v="79.5"/>
    <s v="Clear"/>
    <n v="17"/>
    <n v="456"/>
    <n v="2"/>
    <s v="Weather"/>
    <n v="65.900000000000006"/>
    <n v="155"/>
    <x v="0"/>
  </r>
  <r>
    <d v="2024-04-25T10:07:09"/>
    <s v="Truck_8"/>
    <n v="71.7196"/>
    <n v="-107.34269999999999"/>
    <n v="146"/>
    <x v="0"/>
    <n v="26"/>
    <n v="57.2"/>
    <s v="Clear"/>
    <n v="47"/>
    <n v="188"/>
    <n v="4"/>
    <s v="Mechanical Failure"/>
    <n v="76"/>
    <n v="131"/>
    <x v="0"/>
  </r>
  <r>
    <d v="2024-08-20T01:28:08"/>
    <s v="Truck_4"/>
    <n v="-69.658500000000004"/>
    <n v="23.632300000000001"/>
    <n v="177"/>
    <x v="1"/>
    <n v="18.600000000000001"/>
    <n v="74.5"/>
    <s v="Heavy"/>
    <n v="16"/>
    <n v="429"/>
    <n v="1"/>
    <s v="Traffic"/>
    <n v="72.400000000000006"/>
    <n v="132"/>
    <x v="0"/>
  </r>
  <r>
    <d v="2024-07-02T13:50:19"/>
    <s v="Truck_1"/>
    <n v="67.364999999999995"/>
    <n v="71.5047"/>
    <n v="316"/>
    <x v="0"/>
    <n v="26.4"/>
    <n v="60"/>
    <s v="Detour"/>
    <n v="36"/>
    <n v="274"/>
    <n v="1"/>
    <s v="Weather"/>
    <n v="68.2"/>
    <n v="218"/>
    <x v="0"/>
  </r>
  <r>
    <d v="2024-07-06T13:05:43"/>
    <s v="Truck_9"/>
    <n v="-31.961099999999998"/>
    <n v="-75.809200000000004"/>
    <n v="458"/>
    <x v="1"/>
    <n v="25"/>
    <n v="79.599999999999994"/>
    <s v="Heavy"/>
    <n v="56"/>
    <n v="303"/>
    <n v="1"/>
    <s v="None"/>
    <n v="73.8"/>
    <n v="206"/>
    <x v="0"/>
  </r>
  <r>
    <d v="2024-06-16T11:37:07"/>
    <s v="Truck_4"/>
    <n v="-82.481200000000001"/>
    <n v="139.05799999999999"/>
    <n v="481"/>
    <x v="2"/>
    <n v="24"/>
    <n v="72.5"/>
    <s v="Detour"/>
    <n v="34"/>
    <n v="152"/>
    <n v="4"/>
    <s v="Mechanical Failure"/>
    <n v="79.8"/>
    <n v="299"/>
    <x v="1"/>
  </r>
  <r>
    <d v="2024-06-12T09:44:35"/>
    <s v="Truck_5"/>
    <n v="25.325399999999998"/>
    <n v="132.62639999999999"/>
    <n v="231"/>
    <x v="2"/>
    <n v="19.399999999999999"/>
    <n v="66.599999999999994"/>
    <s v="Heavy"/>
    <n v="32"/>
    <n v="289"/>
    <n v="8"/>
    <s v="Mechanical Failure"/>
    <n v="77.599999999999994"/>
    <n v="240"/>
    <x v="0"/>
  </r>
  <r>
    <d v="2024-07-20T20:03:39"/>
    <s v="Truck_5"/>
    <n v="40.740099999999998"/>
    <n v="110.47369999999999"/>
    <n v="129"/>
    <x v="2"/>
    <n v="19.2"/>
    <n v="77.900000000000006"/>
    <s v="Detour"/>
    <n v="11"/>
    <n v="448"/>
    <n v="4"/>
    <s v="None"/>
    <n v="68.900000000000006"/>
    <n v="132"/>
    <x v="1"/>
  </r>
  <r>
    <d v="2024-10-16T14:41:08"/>
    <s v="Truck_1"/>
    <n v="-53.779000000000003"/>
    <n v="30.886299999999999"/>
    <n v="398"/>
    <x v="2"/>
    <n v="29.1"/>
    <n v="75.3"/>
    <s v="Detour"/>
    <n v="58"/>
    <n v="172"/>
    <n v="1"/>
    <s v="Traffic"/>
    <n v="99.3"/>
    <n v="194"/>
    <x v="1"/>
  </r>
  <r>
    <d v="2024-09-02T03:17:19"/>
    <s v="Truck_5"/>
    <n v="-39.379100000000001"/>
    <n v="-53.131599999999999"/>
    <n v="149"/>
    <x v="0"/>
    <n v="19.8"/>
    <n v="51.3"/>
    <s v="Heavy"/>
    <n v="24"/>
    <n v="386"/>
    <n v="6"/>
    <s v="Mechanical Failure"/>
    <n v="87.2"/>
    <n v="208"/>
    <x v="0"/>
  </r>
  <r>
    <d v="2024-07-20T16:26:17"/>
    <s v="Truck_5"/>
    <n v="46.278799999999997"/>
    <n v="41.345300000000002"/>
    <n v="338"/>
    <x v="1"/>
    <n v="20.6"/>
    <n v="65"/>
    <s v="Detour"/>
    <n v="56"/>
    <n v="421"/>
    <n v="2"/>
    <s v="Mechanical Failure"/>
    <n v="86.9"/>
    <n v="142"/>
    <x v="1"/>
  </r>
  <r>
    <d v="2024-08-19T00:05:12"/>
    <s v="Truck_7"/>
    <n v="-65.919899999999998"/>
    <n v="-160.22919999999999"/>
    <n v="252"/>
    <x v="1"/>
    <n v="27.1"/>
    <n v="59.8"/>
    <s v="Detour"/>
    <n v="53"/>
    <n v="457"/>
    <n v="8"/>
    <s v="Traffic"/>
    <n v="95.4"/>
    <n v="273"/>
    <x v="1"/>
  </r>
  <r>
    <d v="2024-03-04T10:19:51"/>
    <s v="Truck_5"/>
    <n v="-32.270699999999998"/>
    <n v="98.147199999999998"/>
    <n v="330"/>
    <x v="2"/>
    <n v="26.5"/>
    <n v="59.2"/>
    <s v="Clear"/>
    <n v="51"/>
    <n v="274"/>
    <n v="3"/>
    <s v="Traffic"/>
    <n v="69.099999999999994"/>
    <n v="139"/>
    <x v="1"/>
  </r>
  <r>
    <d v="2024-10-01T07:42:57"/>
    <s v="Truck_5"/>
    <n v="73.391999999999996"/>
    <n v="-62.313800000000001"/>
    <n v="464"/>
    <x v="0"/>
    <n v="28.2"/>
    <n v="61.4"/>
    <s v="Heavy"/>
    <n v="20"/>
    <n v="177"/>
    <n v="3"/>
    <s v="Weather"/>
    <n v="60.3"/>
    <n v="279"/>
    <x v="0"/>
  </r>
  <r>
    <d v="2024-02-02T12:51:41"/>
    <s v="Truck_8"/>
    <n v="77.767799999999994"/>
    <n v="-165.1979"/>
    <n v="141"/>
    <x v="0"/>
    <n v="27.7"/>
    <n v="55"/>
    <s v="Clear"/>
    <n v="12"/>
    <n v="432"/>
    <n v="10"/>
    <s v="Mechanical Failure"/>
    <n v="87.5"/>
    <n v="278"/>
    <x v="0"/>
  </r>
  <r>
    <d v="2024-10-31T06:24:27"/>
    <s v="Truck_5"/>
    <n v="-2.8228"/>
    <n v="75.2804"/>
    <n v="463"/>
    <x v="1"/>
    <n v="19.5"/>
    <n v="64.400000000000006"/>
    <s v="Detour"/>
    <n v="32"/>
    <n v="244"/>
    <n v="1"/>
    <s v="Traffic"/>
    <n v="69.8"/>
    <n v="294"/>
    <x v="1"/>
  </r>
  <r>
    <d v="2024-12-01T04:41:08"/>
    <s v="Truck_8"/>
    <n v="-74.278000000000006"/>
    <n v="137.45599999999999"/>
    <n v="223"/>
    <x v="1"/>
    <n v="25.2"/>
    <n v="54.1"/>
    <s v="Detour"/>
    <n v="45"/>
    <n v="121"/>
    <n v="1"/>
    <s v="Mechanical Failure"/>
    <n v="85.9"/>
    <n v="153"/>
    <x v="1"/>
  </r>
  <r>
    <d v="2024-03-15T02:17:56"/>
    <s v="Truck_10"/>
    <n v="-21.579699999999999"/>
    <n v="129.75989999999999"/>
    <n v="301"/>
    <x v="1"/>
    <n v="18.5"/>
    <n v="75.3"/>
    <s v="Clear"/>
    <n v="39"/>
    <n v="140"/>
    <n v="6"/>
    <s v="Weather"/>
    <n v="78.5"/>
    <n v="208"/>
    <x v="1"/>
  </r>
  <r>
    <d v="2024-03-05T22:52:24"/>
    <s v="Truck_10"/>
    <n v="35.952100000000002"/>
    <n v="5.7750000000000004"/>
    <n v="195"/>
    <x v="2"/>
    <n v="26.9"/>
    <n v="79.8"/>
    <s v="Clear"/>
    <n v="57"/>
    <n v="190"/>
    <n v="2"/>
    <s v="Traffic"/>
    <n v="60.6"/>
    <n v="235"/>
    <x v="1"/>
  </r>
  <r>
    <d v="2024-10-26T23:46:59"/>
    <s v="Truck_7"/>
    <n v="-8.7266999999999992"/>
    <n v="-140.39879999999999"/>
    <n v="310"/>
    <x v="2"/>
    <n v="23.8"/>
    <n v="72.400000000000006"/>
    <s v="Clear"/>
    <n v="53"/>
    <n v="277"/>
    <n v="4"/>
    <s v="Mechanical Failure"/>
    <n v="91.3"/>
    <n v="122"/>
    <x v="1"/>
  </r>
  <r>
    <d v="2024-03-17T17:11:29"/>
    <s v="Truck_2"/>
    <n v="-56.121899999999997"/>
    <n v="135.42349999999999"/>
    <n v="100"/>
    <x v="1"/>
    <n v="23.6"/>
    <n v="64.3"/>
    <s v="Detour"/>
    <n v="29"/>
    <n v="276"/>
    <n v="5"/>
    <s v="Mechanical Failure"/>
    <n v="89.1"/>
    <n v="198"/>
    <x v="1"/>
  </r>
  <r>
    <d v="2024-01-13T15:51:27"/>
    <s v="Truck_1"/>
    <n v="23.225899999999999"/>
    <n v="110.6901"/>
    <n v="147"/>
    <x v="1"/>
    <n v="18.7"/>
    <n v="68.5"/>
    <s v="Heavy"/>
    <n v="25"/>
    <n v="439"/>
    <n v="9"/>
    <s v="None"/>
    <n v="75.2"/>
    <n v="266"/>
    <x v="0"/>
  </r>
  <r>
    <d v="2024-05-30T23:00:59"/>
    <s v="Truck_9"/>
    <n v="-53.699300000000001"/>
    <n v="79.009600000000006"/>
    <n v="251"/>
    <x v="0"/>
    <n v="22.8"/>
    <n v="62.9"/>
    <s v="Heavy"/>
    <n v="52"/>
    <n v="173"/>
    <n v="3"/>
    <s v="Mechanical Failure"/>
    <n v="72.900000000000006"/>
    <n v="268"/>
    <x v="0"/>
  </r>
  <r>
    <d v="2024-07-31T22:57:20"/>
    <s v="Truck_7"/>
    <n v="-3.8220000000000001"/>
    <n v="-40.316899999999997"/>
    <n v="108"/>
    <x v="2"/>
    <n v="26.6"/>
    <n v="61.7"/>
    <s v="Detour"/>
    <n v="47"/>
    <n v="122"/>
    <n v="7"/>
    <s v="Weather"/>
    <n v="64.599999999999994"/>
    <n v="116"/>
    <x v="1"/>
  </r>
  <r>
    <d v="2024-06-13T04:47:01"/>
    <s v="Truck_6"/>
    <n v="-48.052999999999997"/>
    <n v="-175.0849"/>
    <n v="340"/>
    <x v="1"/>
    <n v="27.9"/>
    <n v="69.099999999999994"/>
    <s v="Clear"/>
    <n v="32"/>
    <n v="162"/>
    <n v="2"/>
    <s v="Weather"/>
    <n v="90.9"/>
    <n v="300"/>
    <x v="1"/>
  </r>
  <r>
    <d v="2024-07-06T15:59:22"/>
    <s v="Truck_3"/>
    <n v="68.132000000000005"/>
    <n v="-51.507100000000001"/>
    <n v="167"/>
    <x v="0"/>
    <n v="21.6"/>
    <n v="54.6"/>
    <s v="Clear"/>
    <n v="46"/>
    <n v="240"/>
    <n v="10"/>
    <s v="Weather"/>
    <n v="60.5"/>
    <n v="278"/>
    <x v="0"/>
  </r>
  <r>
    <d v="2024-02-28T12:30:38"/>
    <s v="Truck_3"/>
    <n v="-80.428899999999999"/>
    <n v="177.55799999999999"/>
    <n v="488"/>
    <x v="2"/>
    <n v="24.9"/>
    <n v="79.2"/>
    <s v="Heavy"/>
    <n v="52"/>
    <n v="290"/>
    <n v="10"/>
    <s v="Traffic"/>
    <n v="82.5"/>
    <n v="248"/>
    <x v="0"/>
  </r>
  <r>
    <d v="2024-03-22T06:45:28"/>
    <s v="Truck_8"/>
    <n v="42.952599999999997"/>
    <n v="146.6224"/>
    <n v="330"/>
    <x v="2"/>
    <n v="24.4"/>
    <n v="79.5"/>
    <s v="Clear"/>
    <n v="19"/>
    <n v="110"/>
    <n v="7"/>
    <s v="None"/>
    <n v="66.3"/>
    <n v="109"/>
    <x v="1"/>
  </r>
  <r>
    <d v="2024-01-29T19:22:37"/>
    <s v="Truck_9"/>
    <n v="-40.555599999999998"/>
    <n v="55.0777"/>
    <n v="177"/>
    <x v="2"/>
    <n v="25.6"/>
    <n v="71.900000000000006"/>
    <s v="Detour"/>
    <n v="20"/>
    <n v="193"/>
    <n v="6"/>
    <s v="Mechanical Failure"/>
    <n v="95.5"/>
    <n v="182"/>
    <x v="1"/>
  </r>
  <r>
    <d v="2024-07-09T02:11:05"/>
    <s v="Truck_4"/>
    <n v="-12.7845"/>
    <n v="-147.2449"/>
    <n v="132"/>
    <x v="2"/>
    <n v="22.9"/>
    <n v="66.5"/>
    <s v="Clear"/>
    <n v="35"/>
    <n v="209"/>
    <n v="6"/>
    <s v="Mechanical Failure"/>
    <n v="94.3"/>
    <n v="122"/>
    <x v="1"/>
  </r>
  <r>
    <d v="2024-06-20T13:30:09"/>
    <s v="Truck_6"/>
    <n v="-63.630400000000002"/>
    <n v="164.185"/>
    <n v="208"/>
    <x v="0"/>
    <n v="22.5"/>
    <n v="65.900000000000006"/>
    <s v="Heavy"/>
    <n v="38"/>
    <n v="462"/>
    <n v="7"/>
    <s v="Weather"/>
    <n v="83.1"/>
    <n v="193"/>
    <x v="0"/>
  </r>
  <r>
    <d v="2024-06-01T00:41:56"/>
    <s v="Truck_6"/>
    <n v="21.881599999999999"/>
    <n v="128.79220000000001"/>
    <n v="348"/>
    <x v="0"/>
    <n v="25.8"/>
    <n v="62.9"/>
    <s v="Detour"/>
    <n v="24"/>
    <n v="352"/>
    <n v="6"/>
    <s v="Weather"/>
    <n v="96.5"/>
    <n v="164"/>
    <x v="0"/>
  </r>
  <r>
    <d v="2024-03-23T20:27:30"/>
    <s v="Truck_4"/>
    <n v="-85.9619"/>
    <n v="103.5733"/>
    <n v="156"/>
    <x v="1"/>
    <n v="19.399999999999999"/>
    <n v="75.2"/>
    <s v="Heavy"/>
    <n v="44"/>
    <n v="135"/>
    <n v="1"/>
    <s v="Weather"/>
    <n v="66.599999999999994"/>
    <n v="108"/>
    <x v="0"/>
  </r>
  <r>
    <d v="2024-04-18T04:50:13"/>
    <s v="Truck_5"/>
    <n v="-36.615400000000001"/>
    <n v="-46.300800000000002"/>
    <n v="468"/>
    <x v="2"/>
    <n v="26.6"/>
    <n v="59"/>
    <s v="Heavy"/>
    <n v="16"/>
    <n v="144"/>
    <n v="4"/>
    <s v="Weather"/>
    <n v="86.8"/>
    <n v="276"/>
    <x v="0"/>
  </r>
  <r>
    <d v="2024-06-26T09:25:46"/>
    <s v="Truck_7"/>
    <n v="-85.0916"/>
    <n v="68.303899999999999"/>
    <n v="142"/>
    <x v="0"/>
    <n v="28.4"/>
    <n v="67.3"/>
    <s v="Detour"/>
    <n v="30"/>
    <n v="181"/>
    <n v="6"/>
    <s v="Weather"/>
    <n v="84.3"/>
    <n v="104"/>
    <x v="0"/>
  </r>
  <r>
    <d v="2024-02-04T01:08:26"/>
    <s v="Truck_10"/>
    <n v="-13.6168"/>
    <n v="-165.08250000000001"/>
    <n v="349"/>
    <x v="1"/>
    <n v="21.1"/>
    <n v="55.1"/>
    <s v="Heavy"/>
    <n v="13"/>
    <n v="453"/>
    <n v="10"/>
    <s v="Weather"/>
    <n v="65.099999999999994"/>
    <n v="111"/>
    <x v="0"/>
  </r>
  <r>
    <d v="2024-04-01T16:27:12"/>
    <s v="Truck_4"/>
    <n v="42.603200000000001"/>
    <n v="146.14850000000001"/>
    <n v="226"/>
    <x v="2"/>
    <n v="23.9"/>
    <n v="61.2"/>
    <s v="Heavy"/>
    <n v="13"/>
    <n v="211"/>
    <n v="2"/>
    <s v="Mechanical Failure"/>
    <n v="67.5"/>
    <n v="232"/>
    <x v="0"/>
  </r>
  <r>
    <d v="2024-08-14T21:28:50"/>
    <s v="Truck_2"/>
    <n v="86.819500000000005"/>
    <n v="-21.078600000000002"/>
    <n v="481"/>
    <x v="1"/>
    <n v="22.4"/>
    <n v="77.900000000000006"/>
    <s v="Detour"/>
    <n v="25"/>
    <n v="143"/>
    <n v="8"/>
    <s v="Traffic"/>
    <n v="71.400000000000006"/>
    <n v="124"/>
    <x v="1"/>
  </r>
  <r>
    <d v="2024-10-03T18:21:52"/>
    <s v="Truck_5"/>
    <n v="-82.629400000000004"/>
    <n v="-72.333200000000005"/>
    <n v="448"/>
    <x v="2"/>
    <n v="20.100000000000001"/>
    <n v="65.7"/>
    <s v="Clear"/>
    <n v="20"/>
    <n v="180"/>
    <n v="7"/>
    <s v="Mechanical Failure"/>
    <n v="61.7"/>
    <n v="253"/>
    <x v="1"/>
  </r>
  <r>
    <d v="2024-03-25T12:22:10"/>
    <s v="Truck_5"/>
    <n v="41.972799999999999"/>
    <n v="81.427400000000006"/>
    <n v="441"/>
    <x v="0"/>
    <n v="18.899999999999999"/>
    <n v="67"/>
    <s v="Detour"/>
    <n v="48"/>
    <n v="359"/>
    <n v="8"/>
    <s v="Mechanical Failure"/>
    <n v="76"/>
    <n v="300"/>
    <x v="0"/>
  </r>
  <r>
    <d v="2024-09-12T22:46:47"/>
    <s v="Truck_10"/>
    <n v="-7.3863000000000003"/>
    <n v="-44.8767"/>
    <n v="470"/>
    <x v="2"/>
    <n v="25.1"/>
    <n v="70.3"/>
    <s v="Heavy"/>
    <n v="11"/>
    <n v="417"/>
    <n v="3"/>
    <s v="Mechanical Failure"/>
    <n v="76.5"/>
    <n v="126"/>
    <x v="0"/>
  </r>
  <r>
    <d v="2024-05-03T22:24:53"/>
    <s v="Truck_10"/>
    <n v="-21.257300000000001"/>
    <n v="12.4574"/>
    <n v="459"/>
    <x v="1"/>
    <n v="26.4"/>
    <n v="50.6"/>
    <s v="Heavy"/>
    <n v="17"/>
    <n v="222"/>
    <n v="9"/>
    <s v="Traffic"/>
    <n v="94.9"/>
    <n v="265"/>
    <x v="0"/>
  </r>
  <r>
    <d v="2024-05-27T09:56:34"/>
    <s v="Truck_6"/>
    <n v="-33.937800000000003"/>
    <n v="-176.31020000000001"/>
    <n v="324"/>
    <x v="1"/>
    <n v="27.7"/>
    <n v="54.8"/>
    <s v="Clear"/>
    <n v="46"/>
    <n v="344"/>
    <n v="10"/>
    <s v="Traffic"/>
    <n v="70.7"/>
    <n v="105"/>
    <x v="1"/>
  </r>
  <r>
    <d v="2024-05-25T08:35:36"/>
    <s v="Truck_8"/>
    <n v="23.9115"/>
    <n v="179.00460000000001"/>
    <n v="194"/>
    <x v="0"/>
    <n v="24.9"/>
    <n v="57.9"/>
    <s v="Detour"/>
    <n v="10"/>
    <n v="220"/>
    <n v="3"/>
    <s v="None"/>
    <n v="77.3"/>
    <n v="172"/>
    <x v="0"/>
  </r>
  <r>
    <d v="2024-03-20T08:55:41"/>
    <s v="Truck_9"/>
    <n v="-80.519599999999997"/>
    <n v="-2.9668000000000001"/>
    <n v="334"/>
    <x v="2"/>
    <n v="22.8"/>
    <n v="61.1"/>
    <s v="Clear"/>
    <n v="52"/>
    <n v="389"/>
    <n v="2"/>
    <s v="Traffic"/>
    <n v="88"/>
    <n v="123"/>
    <x v="1"/>
  </r>
  <r>
    <d v="2024-05-23T15:33:36"/>
    <s v="Truck_2"/>
    <n v="45.860300000000002"/>
    <n v="148.47749999999999"/>
    <n v="179"/>
    <x v="2"/>
    <n v="25.5"/>
    <n v="75.8"/>
    <s v="Clear"/>
    <n v="19"/>
    <n v="139"/>
    <n v="9"/>
    <s v="Traffic"/>
    <n v="83.5"/>
    <n v="282"/>
    <x v="1"/>
  </r>
  <r>
    <d v="2024-10-19T23:58:05"/>
    <s v="Truck_8"/>
    <n v="60.049100000000003"/>
    <n v="-175.50190000000001"/>
    <n v="401"/>
    <x v="0"/>
    <n v="27.1"/>
    <n v="67.2"/>
    <s v="Detour"/>
    <n v="51"/>
    <n v="487"/>
    <n v="3"/>
    <s v="Weather"/>
    <n v="86.3"/>
    <n v="238"/>
    <x v="0"/>
  </r>
  <r>
    <d v="2024-04-11T04:39:16"/>
    <s v="Truck_10"/>
    <n v="-33.952800000000003"/>
    <n v="-54.220100000000002"/>
    <n v="384"/>
    <x v="1"/>
    <n v="24.2"/>
    <n v="72.5"/>
    <s v="Heavy"/>
    <n v="50"/>
    <n v="131"/>
    <n v="3"/>
    <s v="Weather"/>
    <n v="80.099999999999994"/>
    <n v="141"/>
    <x v="0"/>
  </r>
  <r>
    <d v="2024-03-10T06:12:13"/>
    <s v="Truck_9"/>
    <n v="7.9549000000000003"/>
    <n v="-109.2897"/>
    <n v="434"/>
    <x v="2"/>
    <n v="22"/>
    <n v="69.2"/>
    <s v="Heavy"/>
    <n v="17"/>
    <n v="233"/>
    <n v="10"/>
    <s v="None"/>
    <n v="63.4"/>
    <n v="138"/>
    <x v="0"/>
  </r>
  <r>
    <d v="2024-12-28T10:46:03"/>
    <s v="Truck_10"/>
    <n v="-6.9237000000000002"/>
    <n v="20.963100000000001"/>
    <n v="366"/>
    <x v="0"/>
    <n v="18.7"/>
    <n v="59.1"/>
    <s v="Detour"/>
    <n v="39"/>
    <n v="466"/>
    <n v="6"/>
    <s v="Traffic"/>
    <n v="82.7"/>
    <n v="109"/>
    <x v="0"/>
  </r>
  <r>
    <d v="2024-05-06T07:22:22"/>
    <s v="Truck_3"/>
    <n v="-80.588300000000004"/>
    <n v="-167.46729999999999"/>
    <n v="269"/>
    <x v="1"/>
    <n v="27.7"/>
    <n v="57.5"/>
    <s v="Detour"/>
    <n v="54"/>
    <n v="288"/>
    <n v="6"/>
    <s v="None"/>
    <n v="89.8"/>
    <n v="116"/>
    <x v="1"/>
  </r>
  <r>
    <d v="2024-01-17T04:29:26"/>
    <s v="Truck_1"/>
    <n v="-60.356299999999997"/>
    <n v="95.723200000000006"/>
    <n v="292"/>
    <x v="2"/>
    <n v="22.7"/>
    <n v="61"/>
    <s v="Clear"/>
    <n v="42"/>
    <n v="358"/>
    <n v="9"/>
    <s v="Mechanical Failure"/>
    <n v="77.7"/>
    <n v="256"/>
    <x v="1"/>
  </r>
  <r>
    <d v="2024-09-28T01:41:47"/>
    <s v="Truck_6"/>
    <n v="-83.320700000000002"/>
    <n v="19.911899999999999"/>
    <n v="288"/>
    <x v="2"/>
    <n v="25.4"/>
    <n v="62"/>
    <s v="Clear"/>
    <n v="54"/>
    <n v="154"/>
    <n v="2"/>
    <s v="Traffic"/>
    <n v="71.900000000000006"/>
    <n v="211"/>
    <x v="1"/>
  </r>
  <r>
    <d v="2024-03-06T02:39:46"/>
    <s v="Truck_8"/>
    <n v="-54.496400000000001"/>
    <n v="-93.860299999999995"/>
    <n v="286"/>
    <x v="2"/>
    <n v="20.7"/>
    <n v="59"/>
    <s v="Heavy"/>
    <n v="43"/>
    <n v="387"/>
    <n v="4"/>
    <s v="Traffic"/>
    <n v="60.7"/>
    <n v="134"/>
    <x v="0"/>
  </r>
  <r>
    <d v="2024-08-16T05:55:39"/>
    <s v="Truck_7"/>
    <n v="66.539900000000003"/>
    <n v="160.55099999999999"/>
    <n v="155"/>
    <x v="0"/>
    <n v="24"/>
    <n v="72.400000000000006"/>
    <s v="Detour"/>
    <n v="28"/>
    <n v="398"/>
    <n v="6"/>
    <s v="Traffic"/>
    <n v="63.8"/>
    <n v="278"/>
    <x v="0"/>
  </r>
  <r>
    <d v="2024-08-07T09:39:53"/>
    <s v="Truck_8"/>
    <n v="16.1144"/>
    <n v="-24.411799999999999"/>
    <n v="488"/>
    <x v="2"/>
    <n v="26.5"/>
    <n v="66.599999999999994"/>
    <s v="Heavy"/>
    <n v="41"/>
    <n v="104"/>
    <n v="1"/>
    <s v="Mechanical Failure"/>
    <n v="67.099999999999994"/>
    <n v="151"/>
    <x v="0"/>
  </r>
  <r>
    <d v="2024-04-30T20:36:22"/>
    <s v="Truck_8"/>
    <n v="-84.960099999999997"/>
    <n v="17.499199999999998"/>
    <n v="386"/>
    <x v="1"/>
    <n v="21.8"/>
    <n v="79.7"/>
    <s v="Detour"/>
    <n v="15"/>
    <n v="463"/>
    <n v="1"/>
    <s v="Traffic"/>
    <n v="75"/>
    <n v="224"/>
    <x v="1"/>
  </r>
  <r>
    <d v="2024-07-03T12:38:53"/>
    <s v="Truck_3"/>
    <n v="-62.644100000000002"/>
    <n v="-34.444600000000001"/>
    <n v="153"/>
    <x v="2"/>
    <n v="20.7"/>
    <n v="55.3"/>
    <s v="Detour"/>
    <n v="55"/>
    <n v="304"/>
    <n v="8"/>
    <s v="None"/>
    <n v="79.5"/>
    <n v="147"/>
    <x v="1"/>
  </r>
  <r>
    <d v="2024-04-27T09:13:01"/>
    <s v="Truck_5"/>
    <n v="82.972700000000003"/>
    <n v="171.14689999999999"/>
    <n v="317"/>
    <x v="0"/>
    <n v="26.5"/>
    <n v="52.7"/>
    <s v="Heavy"/>
    <n v="37"/>
    <n v="427"/>
    <n v="2"/>
    <s v="Traffic"/>
    <n v="69.900000000000006"/>
    <n v="233"/>
    <x v="0"/>
  </r>
  <r>
    <d v="2024-12-11T16:22:11"/>
    <s v="Truck_5"/>
    <n v="-50.808100000000003"/>
    <n v="11.3148"/>
    <n v="281"/>
    <x v="1"/>
    <n v="28"/>
    <n v="73.5"/>
    <s v="Detour"/>
    <n v="43"/>
    <n v="390"/>
    <n v="5"/>
    <s v="Mechanical Failure"/>
    <n v="86.4"/>
    <n v="153"/>
    <x v="1"/>
  </r>
  <r>
    <d v="2024-04-30T19:31:45"/>
    <s v="Truck_8"/>
    <n v="67.861199999999997"/>
    <n v="174.7961"/>
    <n v="473"/>
    <x v="0"/>
    <n v="24.8"/>
    <n v="61.7"/>
    <s v="Heavy"/>
    <n v="19"/>
    <n v="360"/>
    <n v="10"/>
    <s v="Weather"/>
    <n v="97.3"/>
    <n v="186"/>
    <x v="0"/>
  </r>
  <r>
    <d v="2024-03-26T15:40:51"/>
    <s v="Truck_7"/>
    <n v="52.041499999999999"/>
    <n v="-64.640299999999996"/>
    <n v="221"/>
    <x v="2"/>
    <n v="25.2"/>
    <n v="68.5"/>
    <s v="Detour"/>
    <n v="41"/>
    <n v="101"/>
    <n v="9"/>
    <s v="None"/>
    <n v="99.3"/>
    <n v="287"/>
    <x v="1"/>
  </r>
  <r>
    <d v="2024-02-19T23:24:03"/>
    <s v="Truck_2"/>
    <n v="-74.900300000000001"/>
    <n v="146.07650000000001"/>
    <n v="276"/>
    <x v="1"/>
    <n v="29.2"/>
    <n v="77.099999999999994"/>
    <s v="Clear"/>
    <n v="39"/>
    <n v="483"/>
    <n v="7"/>
    <s v="None"/>
    <n v="71.5"/>
    <n v="157"/>
    <x v="1"/>
  </r>
  <r>
    <d v="2024-09-15T01:08:22"/>
    <s v="Truck_5"/>
    <n v="-10.741400000000001"/>
    <n v="-56.584899999999998"/>
    <n v="331"/>
    <x v="2"/>
    <n v="21.6"/>
    <n v="61.2"/>
    <s v="Heavy"/>
    <n v="24"/>
    <n v="450"/>
    <n v="8"/>
    <s v="Traffic"/>
    <n v="64.400000000000006"/>
    <n v="123"/>
    <x v="0"/>
  </r>
  <r>
    <d v="2024-05-07T12:49:54"/>
    <s v="Truck_2"/>
    <n v="77.436000000000007"/>
    <n v="42.529000000000003"/>
    <n v="249"/>
    <x v="2"/>
    <n v="24.3"/>
    <n v="78.8"/>
    <s v="Heavy"/>
    <n v="13"/>
    <n v="125"/>
    <n v="2"/>
    <s v="Mechanical Failure"/>
    <n v="78.7"/>
    <n v="165"/>
    <x v="0"/>
  </r>
  <r>
    <d v="2024-06-30T04:50:57"/>
    <s v="Truck_1"/>
    <n v="-39.701000000000001"/>
    <n v="158.9084"/>
    <n v="379"/>
    <x v="0"/>
    <n v="23.8"/>
    <n v="78.8"/>
    <s v="Detour"/>
    <n v="22"/>
    <n v="361"/>
    <n v="5"/>
    <s v="Weather"/>
    <n v="89.3"/>
    <n v="112"/>
    <x v="0"/>
  </r>
  <r>
    <d v="2024-11-08T03:31:33"/>
    <s v="Truck_10"/>
    <n v="65.933700000000002"/>
    <n v="130.6003"/>
    <n v="489"/>
    <x v="1"/>
    <n v="18.399999999999999"/>
    <n v="59.9"/>
    <s v="Detour"/>
    <n v="28"/>
    <n v="136"/>
    <n v="9"/>
    <s v="Traffic"/>
    <n v="74.3"/>
    <n v="272"/>
    <x v="1"/>
  </r>
  <r>
    <d v="2024-09-27T15:16:09"/>
    <s v="Truck_8"/>
    <n v="-3.7749000000000001"/>
    <n v="-110.6148"/>
    <n v="211"/>
    <x v="1"/>
    <n v="19.8"/>
    <n v="52.8"/>
    <s v="Heavy"/>
    <n v="23"/>
    <n v="423"/>
    <n v="1"/>
    <s v="Traffic"/>
    <n v="80.599999999999994"/>
    <n v="185"/>
    <x v="0"/>
  </r>
  <r>
    <d v="2024-10-26T22:42:24"/>
    <s v="Truck_8"/>
    <n v="-22.162700000000001"/>
    <n v="-58.096299999999999"/>
    <n v="454"/>
    <x v="1"/>
    <n v="18.899999999999999"/>
    <n v="50.9"/>
    <s v="Detour"/>
    <n v="45"/>
    <n v="230"/>
    <n v="7"/>
    <s v="Weather"/>
    <n v="70.2"/>
    <n v="116"/>
    <x v="1"/>
  </r>
  <r>
    <d v="2024-09-23T14:50:23"/>
    <s v="Truck_10"/>
    <n v="-7.7973999999999997"/>
    <n v="-150.33670000000001"/>
    <n v="427"/>
    <x v="1"/>
    <n v="23.9"/>
    <n v="56.2"/>
    <s v="Heavy"/>
    <n v="31"/>
    <n v="443"/>
    <n v="3"/>
    <s v="None"/>
    <n v="89"/>
    <n v="148"/>
    <x v="0"/>
  </r>
  <r>
    <d v="2024-08-19T08:18:25"/>
    <s v="Truck_7"/>
    <n v="-47.901499999999999"/>
    <n v="-121.4183"/>
    <n v="332"/>
    <x v="1"/>
    <n v="24.4"/>
    <n v="69.5"/>
    <s v="Heavy"/>
    <n v="27"/>
    <n v="343"/>
    <n v="5"/>
    <s v="Traffic"/>
    <n v="87.6"/>
    <n v="235"/>
    <x v="0"/>
  </r>
  <r>
    <d v="2024-10-20T12:32:47"/>
    <s v="Truck_1"/>
    <n v="64.059399999999997"/>
    <n v="-102.25960000000001"/>
    <n v="195"/>
    <x v="1"/>
    <n v="19.3"/>
    <n v="70.599999999999994"/>
    <s v="Heavy"/>
    <n v="34"/>
    <n v="134"/>
    <n v="2"/>
    <s v="Traffic"/>
    <n v="98.2"/>
    <n v="220"/>
    <x v="0"/>
  </r>
  <r>
    <d v="2024-07-27T09:16:20"/>
    <s v="Truck_9"/>
    <n v="38.512700000000002"/>
    <n v="-17.387799999999999"/>
    <n v="249"/>
    <x v="2"/>
    <n v="23.6"/>
    <n v="74.3"/>
    <s v="Detour"/>
    <n v="45"/>
    <n v="482"/>
    <n v="7"/>
    <s v="Mechanical Failure"/>
    <n v="66.8"/>
    <n v="246"/>
    <x v="1"/>
  </r>
  <r>
    <d v="2024-11-26T11:25:34"/>
    <s v="Truck_4"/>
    <n v="53.447000000000003"/>
    <n v="-162.78630000000001"/>
    <n v="274"/>
    <x v="0"/>
    <n v="22"/>
    <n v="51.1"/>
    <s v="Heavy"/>
    <n v="38"/>
    <n v="175"/>
    <n v="4"/>
    <s v="Traffic"/>
    <n v="64"/>
    <n v="271"/>
    <x v="0"/>
  </r>
  <r>
    <d v="2024-05-23T20:20:51"/>
    <s v="Truck_6"/>
    <n v="77.998000000000005"/>
    <n v="-97.004300000000001"/>
    <n v="272"/>
    <x v="1"/>
    <n v="19"/>
    <n v="72.099999999999994"/>
    <s v="Detour"/>
    <n v="32"/>
    <n v="113"/>
    <n v="6"/>
    <s v="None"/>
    <n v="94.9"/>
    <n v="119"/>
    <x v="1"/>
  </r>
  <r>
    <d v="2024-08-26T13:29:17"/>
    <s v="Truck_1"/>
    <n v="-83.1143"/>
    <n v="74.209999999999994"/>
    <n v="214"/>
    <x v="0"/>
    <n v="27"/>
    <n v="55"/>
    <s v="Clear"/>
    <n v="18"/>
    <n v="319"/>
    <n v="3"/>
    <s v="Mechanical Failure"/>
    <n v="67"/>
    <n v="127"/>
    <x v="0"/>
  </r>
  <r>
    <d v="2024-01-15T08:13:04"/>
    <s v="Truck_6"/>
    <n v="14.459300000000001"/>
    <n v="157.92930000000001"/>
    <n v="487"/>
    <x v="0"/>
    <n v="18.7"/>
    <n v="62"/>
    <s v="Detour"/>
    <n v="35"/>
    <n v="432"/>
    <n v="9"/>
    <s v="None"/>
    <n v="72.3"/>
    <n v="247"/>
    <x v="0"/>
  </r>
  <r>
    <d v="2024-10-11T10:29:57"/>
    <s v="Truck_10"/>
    <n v="-48.605600000000003"/>
    <n v="-11.5509"/>
    <n v="420"/>
    <x v="0"/>
    <n v="29.9"/>
    <n v="64.599999999999994"/>
    <s v="Heavy"/>
    <n v="34"/>
    <n v="282"/>
    <n v="10"/>
    <s v="Mechanical Failure"/>
    <n v="79.400000000000006"/>
    <n v="134"/>
    <x v="0"/>
  </r>
  <r>
    <d v="2024-05-17T11:54:58"/>
    <s v="Truck_5"/>
    <n v="-11.6172"/>
    <n v="47.738999999999997"/>
    <n v="135"/>
    <x v="0"/>
    <n v="24.7"/>
    <n v="67.099999999999994"/>
    <s v="Heavy"/>
    <n v="26"/>
    <n v="380"/>
    <n v="7"/>
    <s v="Traffic"/>
    <n v="64.599999999999994"/>
    <n v="109"/>
    <x v="0"/>
  </r>
  <r>
    <d v="2024-08-16T22:23:42"/>
    <s v="Truck_1"/>
    <n v="17.7318"/>
    <n v="-166.4083"/>
    <n v="269"/>
    <x v="1"/>
    <n v="25.2"/>
    <n v="63.5"/>
    <s v="Detour"/>
    <n v="19"/>
    <n v="262"/>
    <n v="7"/>
    <s v="Weather"/>
    <n v="71.599999999999994"/>
    <n v="295"/>
    <x v="1"/>
  </r>
  <r>
    <d v="2024-08-22T09:00:38"/>
    <s v="Truck_2"/>
    <n v="-31.495799999999999"/>
    <n v="-37.593200000000003"/>
    <n v="419"/>
    <x v="2"/>
    <n v="21"/>
    <n v="74.2"/>
    <s v="Clear"/>
    <n v="29"/>
    <n v="386"/>
    <n v="9"/>
    <s v="Traffic"/>
    <n v="95.1"/>
    <n v="186"/>
    <x v="1"/>
  </r>
  <r>
    <d v="2024-09-02T16:36:48"/>
    <s v="Truck_6"/>
    <n v="79.689599999999999"/>
    <n v="84.117500000000007"/>
    <n v="407"/>
    <x v="2"/>
    <n v="23.5"/>
    <n v="77.7"/>
    <s v="Detour"/>
    <n v="55"/>
    <n v="351"/>
    <n v="6"/>
    <s v="None"/>
    <n v="68.400000000000006"/>
    <n v="168"/>
    <x v="1"/>
  </r>
  <r>
    <d v="2024-12-16T12:03:58"/>
    <s v="Truck_9"/>
    <n v="-79.533100000000005"/>
    <n v="-178.66579999999999"/>
    <n v="331"/>
    <x v="1"/>
    <n v="24.2"/>
    <n v="74"/>
    <s v="Detour"/>
    <n v="60"/>
    <n v="225"/>
    <n v="8"/>
    <s v="None"/>
    <n v="61"/>
    <n v="142"/>
    <x v="1"/>
  </r>
  <r>
    <d v="2024-02-27T15:58:37"/>
    <s v="Truck_1"/>
    <n v="63.954900000000002"/>
    <n v="-128.75810000000001"/>
    <n v="444"/>
    <x v="1"/>
    <n v="20.8"/>
    <n v="63.9"/>
    <s v="Heavy"/>
    <n v="38"/>
    <n v="203"/>
    <n v="1"/>
    <s v="Weather"/>
    <n v="73.7"/>
    <n v="201"/>
    <x v="0"/>
  </r>
  <r>
    <d v="2024-10-16T12:27:49"/>
    <s v="Truck_1"/>
    <n v="61.152200000000001"/>
    <n v="5.9286000000000003"/>
    <n v="319"/>
    <x v="1"/>
    <n v="29.1"/>
    <n v="61.3"/>
    <s v="Detour"/>
    <n v="24"/>
    <n v="392"/>
    <n v="7"/>
    <s v="None"/>
    <n v="72.8"/>
    <n v="123"/>
    <x v="1"/>
  </r>
  <r>
    <d v="2024-04-27T12:02:57"/>
    <s v="Truck_10"/>
    <n v="-26.391300000000001"/>
    <n v="-155.6326"/>
    <n v="402"/>
    <x v="2"/>
    <n v="21"/>
    <n v="66.3"/>
    <s v="Clear"/>
    <n v="52"/>
    <n v="306"/>
    <n v="10"/>
    <s v="Weather"/>
    <n v="70.099999999999994"/>
    <n v="251"/>
    <x v="1"/>
  </r>
  <r>
    <d v="2024-08-07T08:25:04"/>
    <s v="Truck_10"/>
    <n v="14.8779"/>
    <n v="-139.1721"/>
    <n v="269"/>
    <x v="0"/>
    <n v="19"/>
    <n v="73.599999999999994"/>
    <s v="Clear"/>
    <n v="50"/>
    <n v="307"/>
    <n v="3"/>
    <s v="Mechanical Failure"/>
    <n v="68.099999999999994"/>
    <n v="102"/>
    <x v="0"/>
  </r>
  <r>
    <d v="2024-07-23T23:11:06"/>
    <s v="Truck_10"/>
    <n v="49.641800000000003"/>
    <n v="-121.3862"/>
    <n v="318"/>
    <x v="1"/>
    <n v="22.5"/>
    <n v="59.3"/>
    <s v="Heavy"/>
    <n v="18"/>
    <n v="331"/>
    <n v="9"/>
    <s v="None"/>
    <n v="97.3"/>
    <n v="273"/>
    <x v="0"/>
  </r>
  <r>
    <d v="2024-09-23T02:31:52"/>
    <s v="Truck_3"/>
    <n v="-48.665399999999998"/>
    <n v="115.3562"/>
    <n v="388"/>
    <x v="2"/>
    <n v="24.6"/>
    <n v="74.3"/>
    <s v="Detour"/>
    <n v="29"/>
    <n v="461"/>
    <n v="1"/>
    <s v="Mechanical Failure"/>
    <n v="68.099999999999994"/>
    <n v="159"/>
    <x v="1"/>
  </r>
  <r>
    <d v="2024-10-18T06:34:56"/>
    <s v="Truck_6"/>
    <n v="38.046999999999997"/>
    <n v="-80.044600000000003"/>
    <n v="166"/>
    <x v="0"/>
    <n v="26.9"/>
    <n v="58.3"/>
    <s v="Clear"/>
    <n v="29"/>
    <n v="283"/>
    <n v="3"/>
    <s v="Weather"/>
    <n v="64.099999999999994"/>
    <n v="113"/>
    <x v="0"/>
  </r>
  <r>
    <d v="2024-04-23T08:06:46"/>
    <s v="Truck_10"/>
    <n v="9.8933999999999997"/>
    <n v="13.902799999999999"/>
    <n v="338"/>
    <x v="2"/>
    <n v="28.7"/>
    <n v="65.599999999999994"/>
    <s v="Heavy"/>
    <n v="45"/>
    <n v="348"/>
    <n v="8"/>
    <s v="Traffic"/>
    <n v="96.1"/>
    <n v="230"/>
    <x v="0"/>
  </r>
  <r>
    <d v="2024-02-15T19:39:56"/>
    <s v="Truck_4"/>
    <n v="-43.0411"/>
    <n v="-154.0658"/>
    <n v="457"/>
    <x v="1"/>
    <n v="18.7"/>
    <n v="52.7"/>
    <s v="Clear"/>
    <n v="52"/>
    <n v="366"/>
    <n v="4"/>
    <s v="None"/>
    <n v="93.1"/>
    <n v="275"/>
    <x v="1"/>
  </r>
  <r>
    <d v="2024-06-17T14:27:56"/>
    <s v="Truck_6"/>
    <n v="-71.830699999999993"/>
    <n v="-53.607199999999999"/>
    <n v="274"/>
    <x v="2"/>
    <n v="21.5"/>
    <n v="74"/>
    <s v="Heavy"/>
    <n v="23"/>
    <n v="448"/>
    <n v="5"/>
    <s v="Mechanical Failure"/>
    <n v="74.7"/>
    <n v="200"/>
    <x v="0"/>
  </r>
  <r>
    <d v="2024-07-19T13:04:45"/>
    <s v="Truck_7"/>
    <n v="16.1221"/>
    <n v="79.027900000000002"/>
    <n v="332"/>
    <x v="0"/>
    <n v="19.2"/>
    <n v="56.9"/>
    <s v="Detour"/>
    <n v="27"/>
    <n v="357"/>
    <n v="2"/>
    <s v="None"/>
    <n v="87.8"/>
    <n v="217"/>
    <x v="0"/>
  </r>
  <r>
    <d v="2024-09-30T14:31:08"/>
    <s v="Truck_4"/>
    <n v="1.3876999999999999"/>
    <n v="64.007800000000003"/>
    <n v="388"/>
    <x v="1"/>
    <n v="27.4"/>
    <n v="50.6"/>
    <s v="Detour"/>
    <n v="58"/>
    <n v="401"/>
    <n v="5"/>
    <s v="Mechanical Failure"/>
    <n v="81.400000000000006"/>
    <n v="196"/>
    <x v="1"/>
  </r>
  <r>
    <d v="2024-08-06T22:02:54"/>
    <s v="Truck_10"/>
    <n v="30.3691"/>
    <n v="-111.1134"/>
    <n v="377"/>
    <x v="2"/>
    <n v="18.2"/>
    <n v="51.7"/>
    <s v="Detour"/>
    <n v="34"/>
    <n v="306"/>
    <n v="8"/>
    <s v="Traffic"/>
    <n v="87.9"/>
    <n v="139"/>
    <x v="1"/>
  </r>
  <r>
    <d v="2024-03-04T23:39:01"/>
    <s v="Truck_2"/>
    <n v="53.517000000000003"/>
    <n v="152.1576"/>
    <n v="265"/>
    <x v="2"/>
    <n v="23.5"/>
    <n v="78.400000000000006"/>
    <s v="Clear"/>
    <n v="60"/>
    <n v="107"/>
    <n v="3"/>
    <s v="Weather"/>
    <n v="62.4"/>
    <n v="237"/>
    <x v="1"/>
  </r>
  <r>
    <d v="2024-06-09T06:11:00"/>
    <s v="Truck_8"/>
    <n v="-20.984000000000002"/>
    <n v="-125.2428"/>
    <n v="316"/>
    <x v="0"/>
    <n v="19.8"/>
    <n v="70.599999999999994"/>
    <s v="Detour"/>
    <n v="18"/>
    <n v="194"/>
    <n v="4"/>
    <s v="Mechanical Failure"/>
    <n v="95.8"/>
    <n v="240"/>
    <x v="0"/>
  </r>
  <r>
    <d v="2024-08-03T20:36:10"/>
    <s v="Truck_6"/>
    <n v="-59.825699999999998"/>
    <n v="-2.9502000000000002"/>
    <n v="239"/>
    <x v="1"/>
    <n v="28.7"/>
    <n v="64"/>
    <s v="Clear"/>
    <n v="35"/>
    <n v="469"/>
    <n v="3"/>
    <s v="Weather"/>
    <n v="63.9"/>
    <n v="293"/>
    <x v="1"/>
  </r>
  <r>
    <d v="2024-04-14T08:17:18"/>
    <s v="Truck_3"/>
    <n v="-49.284500000000001"/>
    <n v="40.581400000000002"/>
    <n v="241"/>
    <x v="0"/>
    <n v="21.4"/>
    <n v="70.900000000000006"/>
    <s v="Clear"/>
    <n v="48"/>
    <n v="121"/>
    <n v="4"/>
    <s v="Weather"/>
    <n v="75.3"/>
    <n v="195"/>
    <x v="0"/>
  </r>
  <r>
    <d v="2024-07-28T07:33:03"/>
    <s v="Truck_10"/>
    <n v="88.224599999999995"/>
    <n v="-148.6037"/>
    <n v="326"/>
    <x v="0"/>
    <n v="27.2"/>
    <n v="69.3"/>
    <s v="Detour"/>
    <n v="24"/>
    <n v="492"/>
    <n v="9"/>
    <s v="Weather"/>
    <n v="72.5"/>
    <n v="223"/>
    <x v="0"/>
  </r>
  <r>
    <d v="2024-09-13T12:35:37"/>
    <s v="Truck_2"/>
    <n v="-13.535"/>
    <n v="94.625600000000006"/>
    <n v="357"/>
    <x v="2"/>
    <n v="24"/>
    <n v="76.099999999999994"/>
    <s v="Detour"/>
    <n v="39"/>
    <n v="339"/>
    <n v="9"/>
    <s v="Traffic"/>
    <n v="97.8"/>
    <n v="146"/>
    <x v="1"/>
  </r>
  <r>
    <d v="2024-09-05T05:28:16"/>
    <s v="Truck_6"/>
    <n v="57.128700000000002"/>
    <n v="148.18049999999999"/>
    <n v="279"/>
    <x v="2"/>
    <n v="19.600000000000001"/>
    <n v="55.9"/>
    <s v="Heavy"/>
    <n v="30"/>
    <n v="187"/>
    <n v="9"/>
    <s v="Traffic"/>
    <n v="90.5"/>
    <n v="126"/>
    <x v="0"/>
  </r>
  <r>
    <d v="2024-01-02T07:22:55"/>
    <s v="Truck_2"/>
    <n v="-61.854599999999998"/>
    <n v="43.807400000000001"/>
    <n v="106"/>
    <x v="2"/>
    <n v="26.7"/>
    <n v="53.3"/>
    <s v="Detour"/>
    <n v="39"/>
    <n v="128"/>
    <n v="5"/>
    <s v="Weather"/>
    <n v="88"/>
    <n v="117"/>
    <x v="1"/>
  </r>
  <r>
    <d v="2024-11-08T05:03:59"/>
    <s v="Truck_7"/>
    <n v="9.0930999999999997"/>
    <n v="-155.64109999999999"/>
    <n v="381"/>
    <x v="1"/>
    <n v="20"/>
    <n v="52.9"/>
    <s v="Clear"/>
    <n v="13"/>
    <n v="216"/>
    <n v="5"/>
    <s v="Weather"/>
    <n v="87.3"/>
    <n v="160"/>
    <x v="1"/>
  </r>
  <r>
    <d v="2024-11-15T06:42:17"/>
    <s v="Truck_7"/>
    <n v="-19.6632"/>
    <n v="-133.2353"/>
    <n v="416"/>
    <x v="2"/>
    <n v="20.5"/>
    <n v="61.9"/>
    <s v="Detour"/>
    <n v="51"/>
    <n v="172"/>
    <n v="1"/>
    <s v="Weather"/>
    <n v="75.5"/>
    <n v="112"/>
    <x v="1"/>
  </r>
  <r>
    <d v="2024-12-16T21:09:29"/>
    <s v="Truck_9"/>
    <n v="43.442900000000002"/>
    <n v="-106.3154"/>
    <n v="147"/>
    <x v="0"/>
    <n v="19"/>
    <n v="73.2"/>
    <s v="Detour"/>
    <n v="60"/>
    <n v="260"/>
    <n v="5"/>
    <s v="Mechanical Failure"/>
    <n v="77.2"/>
    <n v="216"/>
    <x v="0"/>
  </r>
  <r>
    <d v="2024-03-27T02:27:30"/>
    <s v="Truck_3"/>
    <n v="-24.622599999999998"/>
    <n v="30.2486"/>
    <n v="277"/>
    <x v="1"/>
    <n v="28.1"/>
    <n v="55.1"/>
    <s v="Clear"/>
    <n v="44"/>
    <n v="111"/>
    <n v="3"/>
    <s v="Weather"/>
    <n v="91.8"/>
    <n v="282"/>
    <x v="1"/>
  </r>
  <r>
    <d v="2024-09-29T14:00:13"/>
    <s v="Truck_1"/>
    <n v="5.6237000000000004"/>
    <n v="177.8639"/>
    <n v="116"/>
    <x v="2"/>
    <n v="23"/>
    <n v="79.599999999999994"/>
    <s v="Detour"/>
    <n v="55"/>
    <n v="362"/>
    <n v="1"/>
    <s v="None"/>
    <n v="96.6"/>
    <n v="222"/>
    <x v="1"/>
  </r>
  <r>
    <d v="2024-10-08T14:00:54"/>
    <s v="Truck_7"/>
    <n v="-49.842100000000002"/>
    <n v="-83.296300000000002"/>
    <n v="324"/>
    <x v="2"/>
    <n v="22.2"/>
    <n v="62.9"/>
    <s v="Heavy"/>
    <n v="50"/>
    <n v="365"/>
    <n v="7"/>
    <s v="Weather"/>
    <n v="95.8"/>
    <n v="210"/>
    <x v="0"/>
  </r>
  <r>
    <d v="2024-12-23T22:24:48"/>
    <s v="Truck_1"/>
    <n v="22.535900000000002"/>
    <n v="82.624799999999993"/>
    <n v="325"/>
    <x v="1"/>
    <n v="26"/>
    <n v="56"/>
    <s v="Clear"/>
    <n v="34"/>
    <n v="359"/>
    <n v="4"/>
    <s v="None"/>
    <n v="72.2"/>
    <n v="248"/>
    <x v="1"/>
  </r>
  <r>
    <d v="2024-06-03T09:40:42"/>
    <s v="Truck_10"/>
    <n v="30.8916"/>
    <n v="173.48330000000001"/>
    <n v="245"/>
    <x v="2"/>
    <n v="22"/>
    <n v="61.2"/>
    <s v="Detour"/>
    <n v="22"/>
    <n v="480"/>
    <n v="6"/>
    <s v="Weather"/>
    <n v="89.3"/>
    <n v="284"/>
    <x v="1"/>
  </r>
  <r>
    <d v="2024-06-26T11:19:42"/>
    <s v="Truck_5"/>
    <n v="3.0051000000000001"/>
    <n v="-89.495699999999999"/>
    <n v="424"/>
    <x v="2"/>
    <n v="23.2"/>
    <n v="50.2"/>
    <s v="Clear"/>
    <n v="55"/>
    <n v="385"/>
    <n v="9"/>
    <s v="Weather"/>
    <n v="83.2"/>
    <n v="228"/>
    <x v="1"/>
  </r>
  <r>
    <d v="2024-12-13T17:26:27"/>
    <s v="Truck_5"/>
    <n v="-9.8415999999999997"/>
    <n v="87.344399999999993"/>
    <n v="467"/>
    <x v="0"/>
    <n v="26.5"/>
    <n v="62.1"/>
    <s v="Heavy"/>
    <n v="54"/>
    <n v="222"/>
    <n v="2"/>
    <s v="Traffic"/>
    <n v="97.3"/>
    <n v="259"/>
    <x v="0"/>
  </r>
  <r>
    <d v="2024-03-24T12:07:04"/>
    <s v="Truck_4"/>
    <n v="-84.642499999999998"/>
    <n v="70.456999999999994"/>
    <n v="262"/>
    <x v="1"/>
    <n v="23.4"/>
    <n v="62"/>
    <s v="Heavy"/>
    <n v="36"/>
    <n v="272"/>
    <n v="7"/>
    <s v="None"/>
    <n v="82.9"/>
    <n v="146"/>
    <x v="0"/>
  </r>
  <r>
    <d v="2024-09-17T03:48:24"/>
    <s v="Truck_7"/>
    <n v="1.8374999999999999"/>
    <n v="71.811000000000007"/>
    <n v="356"/>
    <x v="2"/>
    <n v="21.6"/>
    <n v="60.4"/>
    <s v="Clear"/>
    <n v="45"/>
    <n v="292"/>
    <n v="1"/>
    <s v="Mechanical Failure"/>
    <n v="94.3"/>
    <n v="196"/>
    <x v="1"/>
  </r>
  <r>
    <d v="2024-09-23T17:43:36"/>
    <s v="Truck_6"/>
    <n v="-69.867099999999994"/>
    <n v="-68.072999999999993"/>
    <n v="166"/>
    <x v="0"/>
    <n v="20.399999999999999"/>
    <n v="70.2"/>
    <s v="Clear"/>
    <n v="19"/>
    <n v="391"/>
    <n v="5"/>
    <s v="None"/>
    <n v="74"/>
    <n v="238"/>
    <x v="0"/>
  </r>
  <r>
    <d v="2024-11-19T04:06:22"/>
    <s v="Truck_4"/>
    <n v="72.837400000000002"/>
    <n v="179.4522"/>
    <n v="349"/>
    <x v="1"/>
    <n v="25.6"/>
    <n v="53.9"/>
    <s v="Heavy"/>
    <n v="26"/>
    <n v="189"/>
    <n v="9"/>
    <s v="Weather"/>
    <n v="77.099999999999994"/>
    <n v="285"/>
    <x v="0"/>
  </r>
  <r>
    <d v="2024-08-13T01:42:45"/>
    <s v="Truck_7"/>
    <n v="50.877499999999998"/>
    <n v="-155.5478"/>
    <n v="338"/>
    <x v="2"/>
    <n v="26.8"/>
    <n v="68.3"/>
    <s v="Detour"/>
    <n v="45"/>
    <n v="458"/>
    <n v="9"/>
    <s v="Mechanical Failure"/>
    <n v="76.7"/>
    <n v="191"/>
    <x v="1"/>
  </r>
  <r>
    <d v="2024-08-08T13:11:48"/>
    <s v="Truck_5"/>
    <n v="23.7118"/>
    <n v="-92.909800000000004"/>
    <n v="273"/>
    <x v="2"/>
    <n v="19.899999999999999"/>
    <n v="63.6"/>
    <s v="Clear"/>
    <n v="27"/>
    <n v="265"/>
    <n v="8"/>
    <s v="Weather"/>
    <n v="77"/>
    <n v="243"/>
    <x v="1"/>
  </r>
  <r>
    <d v="2024-09-09T10:53:12"/>
    <s v="Truck_7"/>
    <n v="65.964100000000002"/>
    <n v="85.992500000000007"/>
    <n v="239"/>
    <x v="1"/>
    <n v="25.8"/>
    <n v="56"/>
    <s v="Detour"/>
    <n v="50"/>
    <n v="274"/>
    <n v="7"/>
    <s v="Weather"/>
    <n v="88.3"/>
    <n v="261"/>
    <x v="1"/>
  </r>
  <r>
    <d v="2024-11-27T09:05:44"/>
    <s v="Truck_9"/>
    <n v="41.728499999999997"/>
    <n v="131.83760000000001"/>
    <n v="278"/>
    <x v="2"/>
    <n v="22.8"/>
    <n v="52.9"/>
    <s v="Heavy"/>
    <n v="18"/>
    <n v="104"/>
    <n v="4"/>
    <s v="Traffic"/>
    <n v="71.2"/>
    <n v="190"/>
    <x v="0"/>
  </r>
  <r>
    <d v="2024-04-29T15:32:06"/>
    <s v="Truck_1"/>
    <n v="-79.293300000000002"/>
    <n v="52.619599999999998"/>
    <n v="412"/>
    <x v="0"/>
    <n v="20.2"/>
    <n v="65"/>
    <s v="Clear"/>
    <n v="14"/>
    <n v="230"/>
    <n v="2"/>
    <s v="Mechanical Failure"/>
    <n v="72.900000000000006"/>
    <n v="249"/>
    <x v="0"/>
  </r>
  <r>
    <d v="2024-12-30T19:22:58"/>
    <s v="Truck_6"/>
    <n v="78.128500000000003"/>
    <n v="162.4365"/>
    <n v="125"/>
    <x v="1"/>
    <n v="25.4"/>
    <n v="61.5"/>
    <s v="Detour"/>
    <n v="50"/>
    <n v="408"/>
    <n v="6"/>
    <s v="None"/>
    <n v="83.4"/>
    <n v="221"/>
    <x v="1"/>
  </r>
  <r>
    <d v="2024-12-19T21:18:37"/>
    <s v="Truck_8"/>
    <n v="56.544499999999999"/>
    <n v="31.2501"/>
    <n v="404"/>
    <x v="2"/>
    <n v="24.7"/>
    <n v="74.2"/>
    <s v="Heavy"/>
    <n v="23"/>
    <n v="459"/>
    <n v="1"/>
    <s v="Traffic"/>
    <n v="71.7"/>
    <n v="127"/>
    <x v="0"/>
  </r>
  <r>
    <d v="2024-09-06T12:53:25"/>
    <s v="Truck_9"/>
    <n v="44.245100000000001"/>
    <n v="-34.257100000000001"/>
    <n v="392"/>
    <x v="2"/>
    <n v="29.1"/>
    <n v="51.3"/>
    <s v="Clear"/>
    <n v="35"/>
    <n v="434"/>
    <n v="7"/>
    <s v="None"/>
    <n v="70.8"/>
    <n v="249"/>
    <x v="1"/>
  </r>
  <r>
    <d v="2024-12-30T07:08:49"/>
    <s v="Truck_7"/>
    <n v="-27.894400000000001"/>
    <n v="104.517"/>
    <n v="145"/>
    <x v="2"/>
    <n v="29.8"/>
    <n v="75.7"/>
    <s v="Detour"/>
    <n v="60"/>
    <n v="287"/>
    <n v="9"/>
    <s v="Traffic"/>
    <n v="87.6"/>
    <n v="216"/>
    <x v="1"/>
  </r>
  <r>
    <d v="2024-11-16T16:38:18"/>
    <s v="Truck_4"/>
    <n v="77.020600000000002"/>
    <n v="0.82210000000000005"/>
    <n v="485"/>
    <x v="0"/>
    <n v="24.6"/>
    <n v="50.3"/>
    <s v="Heavy"/>
    <n v="11"/>
    <n v="155"/>
    <n v="1"/>
    <s v="Mechanical Failure"/>
    <n v="84.9"/>
    <n v="161"/>
    <x v="0"/>
  </r>
  <r>
    <d v="2024-06-08T09:09:10"/>
    <s v="Truck_4"/>
    <n v="72.331100000000006"/>
    <n v="-105.9002"/>
    <n v="312"/>
    <x v="0"/>
    <n v="19.100000000000001"/>
    <n v="52"/>
    <s v="Detour"/>
    <n v="50"/>
    <n v="263"/>
    <n v="2"/>
    <s v="None"/>
    <n v="87.6"/>
    <n v="123"/>
    <x v="0"/>
  </r>
  <r>
    <d v="2024-04-24T17:57:19"/>
    <s v="Truck_6"/>
    <n v="-30.420400000000001"/>
    <n v="70.999799999999993"/>
    <n v="286"/>
    <x v="1"/>
    <n v="25.1"/>
    <n v="56.2"/>
    <s v="Detour"/>
    <n v="50"/>
    <n v="408"/>
    <n v="10"/>
    <s v="Traffic"/>
    <n v="99.3"/>
    <n v="148"/>
    <x v="1"/>
  </r>
  <r>
    <d v="2024-03-01T20:32:48"/>
    <s v="Truck_3"/>
    <n v="-71.527900000000002"/>
    <n v="-171.94280000000001"/>
    <n v="396"/>
    <x v="1"/>
    <n v="23"/>
    <n v="61.1"/>
    <s v="Clear"/>
    <n v="14"/>
    <n v="439"/>
    <n v="8"/>
    <s v="None"/>
    <n v="91.9"/>
    <n v="119"/>
    <x v="1"/>
  </r>
  <r>
    <d v="2024-02-23T18:40:35"/>
    <s v="Truck_1"/>
    <n v="-53.249200000000002"/>
    <n v="-17.117999999999999"/>
    <n v="352"/>
    <x v="2"/>
    <n v="26.6"/>
    <n v="70.3"/>
    <s v="Detour"/>
    <n v="12"/>
    <n v="260"/>
    <n v="7"/>
    <s v="Traffic"/>
    <n v="77.400000000000006"/>
    <n v="267"/>
    <x v="1"/>
  </r>
  <r>
    <d v="2024-09-25T05:14:38"/>
    <s v="Truck_7"/>
    <n v="-30.807600000000001"/>
    <n v="-167.47559999999999"/>
    <n v="410"/>
    <x v="2"/>
    <n v="28.4"/>
    <n v="52.7"/>
    <s v="Detour"/>
    <n v="48"/>
    <n v="352"/>
    <n v="8"/>
    <s v="Weather"/>
    <n v="95.5"/>
    <n v="213"/>
    <x v="1"/>
  </r>
  <r>
    <d v="2024-03-09T19:11:05"/>
    <s v="Truck_10"/>
    <n v="-44.764000000000003"/>
    <n v="-118.3579"/>
    <n v="484"/>
    <x v="0"/>
    <n v="22.8"/>
    <n v="53.7"/>
    <s v="Clear"/>
    <n v="18"/>
    <n v="176"/>
    <n v="4"/>
    <s v="Weather"/>
    <n v="73.7"/>
    <n v="131"/>
    <x v="0"/>
  </r>
  <r>
    <d v="2024-01-29T14:54:57"/>
    <s v="Truck_1"/>
    <n v="47.574300000000001"/>
    <n v="144.99799999999999"/>
    <n v="152"/>
    <x v="1"/>
    <n v="18.7"/>
    <n v="68.599999999999994"/>
    <s v="Clear"/>
    <n v="51"/>
    <n v="483"/>
    <n v="2"/>
    <s v="Weather"/>
    <n v="87.8"/>
    <n v="163"/>
    <x v="1"/>
  </r>
  <r>
    <d v="2024-10-07T17:53:55"/>
    <s v="Truck_5"/>
    <n v="-23.2761"/>
    <n v="-88.069599999999994"/>
    <n v="329"/>
    <x v="2"/>
    <n v="27.3"/>
    <n v="68.400000000000006"/>
    <s v="Detour"/>
    <n v="57"/>
    <n v="418"/>
    <n v="1"/>
    <s v="Traffic"/>
    <n v="90"/>
    <n v="101"/>
    <x v="1"/>
  </r>
  <r>
    <d v="2024-10-17T15:23:46"/>
    <s v="Truck_3"/>
    <n v="-18.829499999999999"/>
    <n v="76.864500000000007"/>
    <n v="314"/>
    <x v="0"/>
    <n v="23.8"/>
    <n v="63.7"/>
    <s v="Detour"/>
    <n v="41"/>
    <n v="117"/>
    <n v="8"/>
    <s v="None"/>
    <n v="69.5"/>
    <n v="147"/>
    <x v="0"/>
  </r>
  <r>
    <d v="2024-01-30T00:58:41"/>
    <s v="Truck_3"/>
    <n v="58.319699999999997"/>
    <n v="6.9800000000000001E-2"/>
    <n v="121"/>
    <x v="1"/>
    <n v="27.2"/>
    <n v="71.099999999999994"/>
    <s v="Detour"/>
    <n v="44"/>
    <n v="340"/>
    <n v="8"/>
    <s v="None"/>
    <n v="74.599999999999994"/>
    <n v="286"/>
    <x v="1"/>
  </r>
  <r>
    <d v="2024-08-15T08:04:23"/>
    <s v="Truck_1"/>
    <n v="-84.878799999999998"/>
    <n v="-37.260899999999999"/>
    <n v="428"/>
    <x v="2"/>
    <n v="24.1"/>
    <n v="58.4"/>
    <s v="Detour"/>
    <n v="11"/>
    <n v="111"/>
    <n v="6"/>
    <s v="Weather"/>
    <n v="81.099999999999994"/>
    <n v="111"/>
    <x v="1"/>
  </r>
  <r>
    <d v="2024-02-06T09:01:38"/>
    <s v="Truck_10"/>
    <n v="28.387"/>
    <n v="33.482700000000001"/>
    <n v="113"/>
    <x v="1"/>
    <n v="23"/>
    <n v="73.400000000000006"/>
    <s v="Detour"/>
    <n v="50"/>
    <n v="309"/>
    <n v="8"/>
    <s v="Traffic"/>
    <n v="71.7"/>
    <n v="293"/>
    <x v="1"/>
  </r>
  <r>
    <d v="2024-01-08T14:39:40"/>
    <s v="Truck_7"/>
    <n v="87.018000000000001"/>
    <n v="-27.305299999999999"/>
    <n v="201"/>
    <x v="0"/>
    <n v="27.9"/>
    <n v="64.400000000000006"/>
    <s v="Clear"/>
    <n v="30"/>
    <n v="198"/>
    <n v="7"/>
    <s v="Weather"/>
    <n v="93.9"/>
    <n v="276"/>
    <x v="0"/>
  </r>
  <r>
    <d v="2024-04-11T06:00:56"/>
    <s v="Truck_8"/>
    <n v="-9.7508999999999997"/>
    <n v="-86.298100000000005"/>
    <n v="227"/>
    <x v="0"/>
    <n v="28.3"/>
    <n v="62.8"/>
    <s v="Detour"/>
    <n v="30"/>
    <n v="400"/>
    <n v="4"/>
    <s v="Traffic"/>
    <n v="68.2"/>
    <n v="194"/>
    <x v="0"/>
  </r>
  <r>
    <d v="2024-03-20T21:32:29"/>
    <s v="Truck_2"/>
    <n v="79.821200000000005"/>
    <n v="-21.697500000000002"/>
    <n v="445"/>
    <x v="2"/>
    <n v="25.3"/>
    <n v="57.9"/>
    <s v="Detour"/>
    <n v="38"/>
    <n v="364"/>
    <n v="1"/>
    <s v="Traffic"/>
    <n v="93.6"/>
    <n v="275"/>
    <x v="1"/>
  </r>
  <r>
    <d v="2024-04-29T10:31:08"/>
    <s v="Truck_2"/>
    <n v="33.002699999999997"/>
    <n v="-70.585400000000007"/>
    <n v="407"/>
    <x v="1"/>
    <n v="29.6"/>
    <n v="64.3"/>
    <s v="Heavy"/>
    <n v="10"/>
    <n v="102"/>
    <n v="6"/>
    <s v="None"/>
    <n v="98.5"/>
    <n v="133"/>
    <x v="0"/>
  </r>
  <r>
    <d v="2024-12-20T11:12:28"/>
    <s v="Truck_8"/>
    <n v="-12.452"/>
    <n v="-174.33969999999999"/>
    <n v="135"/>
    <x v="1"/>
    <n v="22.9"/>
    <n v="60.9"/>
    <s v="Heavy"/>
    <n v="42"/>
    <n v="379"/>
    <n v="8"/>
    <s v="Traffic"/>
    <n v="93.2"/>
    <n v="159"/>
    <x v="0"/>
  </r>
  <r>
    <d v="2024-07-05T18:54:49"/>
    <s v="Truck_1"/>
    <n v="-19.617100000000001"/>
    <n v="-163.0539"/>
    <n v="160"/>
    <x v="2"/>
    <n v="22.3"/>
    <n v="69.7"/>
    <s v="Detour"/>
    <n v="37"/>
    <n v="255"/>
    <n v="7"/>
    <s v="Traffic"/>
    <n v="66.8"/>
    <n v="170"/>
    <x v="1"/>
  </r>
  <r>
    <d v="2024-02-27T01:39:05"/>
    <s v="Truck_5"/>
    <n v="13.793900000000001"/>
    <n v="25.2973"/>
    <n v="472"/>
    <x v="1"/>
    <n v="22.7"/>
    <n v="53"/>
    <s v="Heavy"/>
    <n v="30"/>
    <n v="389"/>
    <n v="6"/>
    <s v="Weather"/>
    <n v="86.8"/>
    <n v="232"/>
    <x v="0"/>
  </r>
  <r>
    <d v="2024-10-11T19:36:19"/>
    <s v="Truck_10"/>
    <n v="-46.8643"/>
    <n v="158.72929999999999"/>
    <n v="408"/>
    <x v="1"/>
    <n v="19.5"/>
    <n v="65.2"/>
    <s v="Detour"/>
    <n v="25"/>
    <n v="230"/>
    <n v="3"/>
    <s v="Traffic"/>
    <n v="61.9"/>
    <n v="245"/>
    <x v="1"/>
  </r>
  <r>
    <d v="2024-12-28T10:23:37"/>
    <s v="Truck_4"/>
    <n v="-35.245199999999997"/>
    <n v="78.254400000000004"/>
    <n v="306"/>
    <x v="0"/>
    <n v="26.1"/>
    <n v="74.8"/>
    <s v="Heavy"/>
    <n v="37"/>
    <n v="232"/>
    <n v="7"/>
    <s v="None"/>
    <n v="77.099999999999994"/>
    <n v="289"/>
    <x v="0"/>
  </r>
  <r>
    <d v="2024-01-28T02:18:52"/>
    <s v="Truck_3"/>
    <n v="17.544799999999999"/>
    <n v="-68.5291"/>
    <n v="107"/>
    <x v="1"/>
    <n v="28.6"/>
    <n v="54.6"/>
    <s v="Detour"/>
    <n v="52"/>
    <n v="180"/>
    <n v="1"/>
    <s v="Traffic"/>
    <n v="89.8"/>
    <n v="194"/>
    <x v="1"/>
  </r>
  <r>
    <d v="2024-10-11T05:31:10"/>
    <s v="Truck_2"/>
    <n v="-87.140799999999999"/>
    <n v="-147.3922"/>
    <n v="155"/>
    <x v="2"/>
    <n v="26.9"/>
    <n v="75"/>
    <s v="Detour"/>
    <n v="25"/>
    <n v="446"/>
    <n v="5"/>
    <s v="Mechanical Failure"/>
    <n v="96.8"/>
    <n v="176"/>
    <x v="1"/>
  </r>
  <r>
    <d v="2024-10-07T13:44:52"/>
    <s v="Truck_10"/>
    <n v="-73.549800000000005"/>
    <n v="115.02679999999999"/>
    <n v="414"/>
    <x v="2"/>
    <n v="26.8"/>
    <n v="73.900000000000006"/>
    <s v="Heavy"/>
    <n v="14"/>
    <n v="130"/>
    <n v="1"/>
    <s v="Mechanical Failure"/>
    <n v="86.9"/>
    <n v="267"/>
    <x v="0"/>
  </r>
  <r>
    <d v="2024-06-07T10:37:34"/>
    <s v="Truck_5"/>
    <n v="75.222999999999999"/>
    <n v="158.86019999999999"/>
    <n v="177"/>
    <x v="0"/>
    <n v="19.899999999999999"/>
    <n v="58.4"/>
    <s v="Clear"/>
    <n v="57"/>
    <n v="335"/>
    <n v="5"/>
    <s v="Weather"/>
    <n v="98.6"/>
    <n v="283"/>
    <x v="0"/>
  </r>
  <r>
    <d v="2024-12-20T04:15:05"/>
    <s v="Truck_9"/>
    <n v="-40.826700000000002"/>
    <n v="51.467300000000002"/>
    <n v="118"/>
    <x v="2"/>
    <n v="26.8"/>
    <n v="65.400000000000006"/>
    <s v="Detour"/>
    <n v="21"/>
    <n v="475"/>
    <n v="1"/>
    <s v="Mechanical Failure"/>
    <n v="96.9"/>
    <n v="165"/>
    <x v="1"/>
  </r>
  <r>
    <d v="2024-02-11T21:05:23"/>
    <s v="Truck_1"/>
    <n v="-80.212900000000005"/>
    <n v="116.4288"/>
    <n v="438"/>
    <x v="1"/>
    <n v="25"/>
    <n v="65.2"/>
    <s v="Detour"/>
    <n v="49"/>
    <n v="421"/>
    <n v="3"/>
    <s v="None"/>
    <n v="82.4"/>
    <n v="273"/>
    <x v="1"/>
  </r>
  <r>
    <d v="2024-02-22T20:07:47"/>
    <s v="Truck_1"/>
    <n v="18.760999999999999"/>
    <n v="139.95660000000001"/>
    <n v="154"/>
    <x v="0"/>
    <n v="26.8"/>
    <n v="56"/>
    <s v="Clear"/>
    <n v="13"/>
    <n v="413"/>
    <n v="8"/>
    <s v="Traffic"/>
    <n v="73.8"/>
    <n v="220"/>
    <x v="0"/>
  </r>
  <r>
    <d v="2024-05-25T08:22:12"/>
    <s v="Truck_8"/>
    <n v="9.1346000000000007"/>
    <n v="9.0052000000000003"/>
    <n v="320"/>
    <x v="1"/>
    <n v="24.3"/>
    <n v="77"/>
    <s v="Clear"/>
    <n v="56"/>
    <n v="410"/>
    <n v="3"/>
    <s v="Traffic"/>
    <n v="73.400000000000006"/>
    <n v="141"/>
    <x v="1"/>
  </r>
  <r>
    <d v="2024-07-03T12:21:01"/>
    <s v="Truck_1"/>
    <n v="-28.694199999999999"/>
    <n v="-75.424400000000006"/>
    <n v="402"/>
    <x v="0"/>
    <n v="20.3"/>
    <n v="56.6"/>
    <s v="Detour"/>
    <n v="52"/>
    <n v="149"/>
    <n v="4"/>
    <s v="Weather"/>
    <n v="82.6"/>
    <n v="158"/>
    <x v="0"/>
  </r>
  <r>
    <d v="2024-01-28T23:24:51"/>
    <s v="Truck_7"/>
    <n v="23.959199999999999"/>
    <n v="-88.760199999999998"/>
    <n v="443"/>
    <x v="2"/>
    <n v="18.899999999999999"/>
    <n v="68.8"/>
    <s v="Clear"/>
    <n v="36"/>
    <n v="159"/>
    <n v="2"/>
    <s v="Weather"/>
    <n v="86.3"/>
    <n v="171"/>
    <x v="1"/>
  </r>
  <r>
    <d v="2024-06-10T09:00:08"/>
    <s v="Truck_7"/>
    <n v="68.154499999999999"/>
    <n v="43.800699999999999"/>
    <n v="246"/>
    <x v="1"/>
    <n v="22"/>
    <n v="58.1"/>
    <s v="Heavy"/>
    <n v="54"/>
    <n v="128"/>
    <n v="7"/>
    <s v="Traffic"/>
    <n v="61"/>
    <n v="265"/>
    <x v="0"/>
  </r>
  <r>
    <d v="2024-03-08T23:13:09"/>
    <s v="Truck_9"/>
    <n v="76.035799999999995"/>
    <n v="53.042999999999999"/>
    <n v="146"/>
    <x v="1"/>
    <n v="20.7"/>
    <n v="50.6"/>
    <s v="Clear"/>
    <n v="28"/>
    <n v="201"/>
    <n v="10"/>
    <s v="Weather"/>
    <n v="75.900000000000006"/>
    <n v="178"/>
    <x v="1"/>
  </r>
  <r>
    <d v="2024-07-27T10:13:09"/>
    <s v="Truck_1"/>
    <n v="-30.0307"/>
    <n v="157.14420000000001"/>
    <n v="108"/>
    <x v="2"/>
    <n v="23"/>
    <n v="73.400000000000006"/>
    <s v="Clear"/>
    <n v="13"/>
    <n v="324"/>
    <n v="2"/>
    <s v="Mechanical Failure"/>
    <n v="77.900000000000006"/>
    <n v="233"/>
    <x v="1"/>
  </r>
  <r>
    <d v="2024-09-10T19:41:42"/>
    <s v="Truck_1"/>
    <n v="-79.258399999999995"/>
    <n v="125.5026"/>
    <n v="152"/>
    <x v="2"/>
    <n v="22.8"/>
    <n v="65.2"/>
    <s v="Heavy"/>
    <n v="33"/>
    <n v="386"/>
    <n v="4"/>
    <s v="Weather"/>
    <n v="63.3"/>
    <n v="227"/>
    <x v="0"/>
  </r>
  <r>
    <d v="2024-04-27T03:04:28"/>
    <s v="Truck_10"/>
    <n v="-86.660600000000002"/>
    <n v="29.678599999999999"/>
    <n v="361"/>
    <x v="0"/>
    <n v="29.7"/>
    <n v="62.2"/>
    <s v="Detour"/>
    <n v="35"/>
    <n v="131"/>
    <n v="9"/>
    <s v="None"/>
    <n v="61.8"/>
    <n v="253"/>
    <x v="0"/>
  </r>
  <r>
    <d v="2024-04-22T22:47:46"/>
    <s v="Truck_2"/>
    <n v="-60.097499999999997"/>
    <n v="-13.751799999999999"/>
    <n v="495"/>
    <x v="1"/>
    <n v="23.8"/>
    <n v="69.8"/>
    <s v="Heavy"/>
    <n v="22"/>
    <n v="487"/>
    <n v="9"/>
    <s v="Weather"/>
    <n v="86.1"/>
    <n v="108"/>
    <x v="0"/>
  </r>
  <r>
    <d v="2024-01-09T03:30:54"/>
    <s v="Truck_5"/>
    <n v="50.475000000000001"/>
    <n v="-168.8578"/>
    <n v="187"/>
    <x v="1"/>
    <n v="24.5"/>
    <n v="73.099999999999994"/>
    <s v="Clear"/>
    <n v="23"/>
    <n v="382"/>
    <n v="7"/>
    <s v="Weather"/>
    <n v="67.400000000000006"/>
    <n v="149"/>
    <x v="1"/>
  </r>
  <r>
    <d v="2024-12-09T09:35:15"/>
    <s v="Truck_3"/>
    <n v="20.924399999999999"/>
    <n v="-59.3367"/>
    <n v="202"/>
    <x v="0"/>
    <n v="26.5"/>
    <n v="77.8"/>
    <s v="Clear"/>
    <n v="31"/>
    <n v="298"/>
    <n v="8"/>
    <s v="None"/>
    <n v="60.6"/>
    <n v="102"/>
    <x v="0"/>
  </r>
  <r>
    <d v="2024-03-07T03:32:02"/>
    <s v="Truck_4"/>
    <n v="-8.4784000000000006"/>
    <n v="117.24939999999999"/>
    <n v="384"/>
    <x v="2"/>
    <n v="24.5"/>
    <n v="62.2"/>
    <s v="Clear"/>
    <n v="45"/>
    <n v="418"/>
    <n v="7"/>
    <s v="None"/>
    <n v="75.8"/>
    <n v="298"/>
    <x v="1"/>
  </r>
  <r>
    <d v="2024-08-04T03:11:01"/>
    <s v="Truck_8"/>
    <n v="-30.809000000000001"/>
    <n v="-126.7483"/>
    <n v="486"/>
    <x v="1"/>
    <n v="25.8"/>
    <n v="64.900000000000006"/>
    <s v="Clear"/>
    <n v="31"/>
    <n v="136"/>
    <n v="9"/>
    <s v="Traffic"/>
    <n v="85.4"/>
    <n v="178"/>
    <x v="1"/>
  </r>
  <r>
    <d v="2024-12-10T18:38:52"/>
    <s v="Truck_8"/>
    <n v="17.9831"/>
    <n v="-135.1026"/>
    <n v="488"/>
    <x v="1"/>
    <n v="25.4"/>
    <n v="64.3"/>
    <s v="Clear"/>
    <n v="14"/>
    <n v="254"/>
    <n v="1"/>
    <s v="Weather"/>
    <n v="84"/>
    <n v="250"/>
    <x v="1"/>
  </r>
  <r>
    <d v="2024-11-17T12:35:32"/>
    <s v="Truck_8"/>
    <n v="-28.238499999999998"/>
    <n v="-87.761700000000005"/>
    <n v="244"/>
    <x v="0"/>
    <n v="29.1"/>
    <n v="67.2"/>
    <s v="Heavy"/>
    <n v="18"/>
    <n v="118"/>
    <n v="5"/>
    <s v="Traffic"/>
    <n v="70.5"/>
    <n v="290"/>
    <x v="0"/>
  </r>
  <r>
    <d v="2024-11-03T00:16:47"/>
    <s v="Truck_2"/>
    <n v="18.199400000000001"/>
    <n v="40.577100000000002"/>
    <n v="193"/>
    <x v="1"/>
    <n v="25.7"/>
    <n v="64"/>
    <s v="Heavy"/>
    <n v="33"/>
    <n v="335"/>
    <n v="8"/>
    <s v="Mechanical Failure"/>
    <n v="90"/>
    <n v="240"/>
    <x v="0"/>
  </r>
  <r>
    <d v="2024-10-20T02:07:47"/>
    <s v="Truck_7"/>
    <n v="-3.5038"/>
    <n v="21.953299999999999"/>
    <n v="268"/>
    <x v="2"/>
    <n v="18.7"/>
    <n v="69.5"/>
    <s v="Heavy"/>
    <n v="39"/>
    <n v="101"/>
    <n v="9"/>
    <s v="Mechanical Failure"/>
    <n v="77.099999999999994"/>
    <n v="205"/>
    <x v="0"/>
  </r>
  <r>
    <d v="2024-01-09T21:49:29"/>
    <s v="Truck_2"/>
    <n v="88.528000000000006"/>
    <n v="-0.35949999999999999"/>
    <n v="375"/>
    <x v="0"/>
    <n v="19.2"/>
    <n v="72.900000000000006"/>
    <s v="Detour"/>
    <n v="58"/>
    <n v="119"/>
    <n v="7"/>
    <s v="None"/>
    <n v="96.9"/>
    <n v="213"/>
    <x v="0"/>
  </r>
  <r>
    <d v="2024-07-22T11:45:54"/>
    <s v="Truck_9"/>
    <n v="-24.783799999999999"/>
    <n v="-21.175999999999998"/>
    <n v="465"/>
    <x v="1"/>
    <n v="28"/>
    <n v="59.6"/>
    <s v="Clear"/>
    <n v="51"/>
    <n v="305"/>
    <n v="10"/>
    <s v="Mechanical Failure"/>
    <n v="96.9"/>
    <n v="153"/>
    <x v="1"/>
  </r>
  <r>
    <d v="2024-08-30T12:04:18"/>
    <s v="Truck_10"/>
    <n v="56.137300000000003"/>
    <n v="82.419200000000004"/>
    <n v="258"/>
    <x v="0"/>
    <n v="19.3"/>
    <n v="74.2"/>
    <s v="Detour"/>
    <n v="52"/>
    <n v="407"/>
    <n v="8"/>
    <s v="Weather"/>
    <n v="84.7"/>
    <n v="245"/>
    <x v="0"/>
  </r>
  <r>
    <d v="2024-11-20T18:45:34"/>
    <s v="Truck_1"/>
    <n v="-13.2882"/>
    <n v="-171.94730000000001"/>
    <n v="254"/>
    <x v="2"/>
    <n v="27.3"/>
    <n v="71.7"/>
    <s v="Detour"/>
    <n v="38"/>
    <n v="279"/>
    <n v="10"/>
    <s v="Traffic"/>
    <n v="91.5"/>
    <n v="111"/>
    <x v="1"/>
  </r>
  <r>
    <d v="2024-11-24T01:13:40"/>
    <s v="Truck_10"/>
    <n v="68.9345"/>
    <n v="172.15199999999999"/>
    <n v="456"/>
    <x v="1"/>
    <n v="20.9"/>
    <n v="71.2"/>
    <s v="Clear"/>
    <n v="46"/>
    <n v="414"/>
    <n v="10"/>
    <s v="Mechanical Failure"/>
    <n v="90.6"/>
    <n v="280"/>
    <x v="1"/>
  </r>
  <r>
    <d v="2024-01-26T17:18:01"/>
    <s v="Truck_7"/>
    <n v="-80.960099999999997"/>
    <n v="52.613999999999997"/>
    <n v="158"/>
    <x v="1"/>
    <n v="29.7"/>
    <n v="78.2"/>
    <s v="Heavy"/>
    <n v="43"/>
    <n v="334"/>
    <n v="5"/>
    <s v="Weather"/>
    <n v="72.7"/>
    <n v="181"/>
    <x v="0"/>
  </r>
  <r>
    <d v="2024-07-23T23:58:44"/>
    <s v="Truck_5"/>
    <n v="57.2271"/>
    <n v="59.258800000000001"/>
    <n v="158"/>
    <x v="0"/>
    <n v="25.9"/>
    <n v="51.3"/>
    <s v="Detour"/>
    <n v="46"/>
    <n v="308"/>
    <n v="7"/>
    <s v="None"/>
    <n v="64.599999999999994"/>
    <n v="115"/>
    <x v="0"/>
  </r>
  <r>
    <d v="2024-04-21T07:23:11"/>
    <s v="Truck_10"/>
    <n v="82.630700000000004"/>
    <n v="-111.6216"/>
    <n v="260"/>
    <x v="2"/>
    <n v="23.2"/>
    <n v="56.3"/>
    <s v="Clear"/>
    <n v="57"/>
    <n v="329"/>
    <n v="7"/>
    <s v="Mechanical Failure"/>
    <n v="77.900000000000006"/>
    <n v="258"/>
    <x v="1"/>
  </r>
  <r>
    <d v="2024-05-29T19:41:42"/>
    <s v="Truck_2"/>
    <n v="53.022100000000002"/>
    <n v="110.4363"/>
    <n v="249"/>
    <x v="1"/>
    <n v="21.4"/>
    <n v="56.6"/>
    <s v="Detour"/>
    <n v="49"/>
    <n v="398"/>
    <n v="10"/>
    <s v="Mechanical Failure"/>
    <n v="67.3"/>
    <n v="279"/>
    <x v="1"/>
  </r>
  <r>
    <d v="2024-02-15T12:50:05"/>
    <s v="Truck_6"/>
    <n v="21.636199999999999"/>
    <n v="35.729199999999999"/>
    <n v="224"/>
    <x v="0"/>
    <n v="28.3"/>
    <n v="69"/>
    <s v="Clear"/>
    <n v="20"/>
    <n v="445"/>
    <n v="6"/>
    <s v="None"/>
    <n v="60.1"/>
    <n v="259"/>
    <x v="0"/>
  </r>
  <r>
    <d v="2024-04-21T22:20:02"/>
    <s v="Truck_8"/>
    <n v="-0.56459999999999999"/>
    <n v="175.2938"/>
    <n v="162"/>
    <x v="2"/>
    <n v="29.4"/>
    <n v="65.900000000000006"/>
    <s v="Detour"/>
    <n v="40"/>
    <n v="262"/>
    <n v="2"/>
    <s v="Traffic"/>
    <n v="61.5"/>
    <n v="298"/>
    <x v="1"/>
  </r>
  <r>
    <d v="2024-09-07T01:59:11"/>
    <s v="Truck_4"/>
    <n v="-53.974400000000003"/>
    <n v="-52.453600000000002"/>
    <n v="160"/>
    <x v="2"/>
    <n v="20.7"/>
    <n v="63.1"/>
    <s v="Clear"/>
    <n v="52"/>
    <n v="488"/>
    <n v="3"/>
    <s v="Mechanical Failure"/>
    <n v="79.599999999999994"/>
    <n v="246"/>
    <x v="1"/>
  </r>
  <r>
    <d v="2024-04-26T07:24:41"/>
    <s v="Truck_8"/>
    <n v="70.9071"/>
    <n v="-64.786299999999997"/>
    <n v="260"/>
    <x v="2"/>
    <n v="18.8"/>
    <n v="55"/>
    <s v="Detour"/>
    <n v="13"/>
    <n v="428"/>
    <n v="2"/>
    <s v="Weather"/>
    <n v="73.900000000000006"/>
    <n v="198"/>
    <x v="1"/>
  </r>
  <r>
    <d v="2024-03-23T13:50:53"/>
    <s v="Truck_7"/>
    <n v="-32.319600000000001"/>
    <n v="-16.445799999999998"/>
    <n v="245"/>
    <x v="1"/>
    <n v="23.3"/>
    <n v="59.8"/>
    <s v="Clear"/>
    <n v="28"/>
    <n v="142"/>
    <n v="5"/>
    <s v="None"/>
    <n v="80.7"/>
    <n v="160"/>
    <x v="1"/>
  </r>
  <r>
    <d v="2024-04-05T13:50:11"/>
    <s v="Truck_7"/>
    <n v="-9.6290999999999993"/>
    <n v="39.650599999999997"/>
    <n v="495"/>
    <x v="2"/>
    <n v="25.1"/>
    <n v="75.5"/>
    <s v="Detour"/>
    <n v="39"/>
    <n v="234"/>
    <n v="1"/>
    <s v="None"/>
    <n v="74.8"/>
    <n v="203"/>
    <x v="1"/>
  </r>
  <r>
    <d v="2024-08-24T01:36:22"/>
    <s v="Truck_8"/>
    <n v="-69.563900000000004"/>
    <n v="-74.647300000000001"/>
    <n v="236"/>
    <x v="0"/>
    <n v="18.2"/>
    <n v="50.5"/>
    <s v="Clear"/>
    <n v="20"/>
    <n v="260"/>
    <n v="2"/>
    <s v="Weather"/>
    <n v="61.1"/>
    <n v="278"/>
    <x v="0"/>
  </r>
  <r>
    <d v="2024-11-07T04:03:32"/>
    <s v="Truck_9"/>
    <n v="49.042999999999999"/>
    <n v="-4.5351999999999997"/>
    <n v="259"/>
    <x v="2"/>
    <n v="21.3"/>
    <n v="79.3"/>
    <s v="Detour"/>
    <n v="49"/>
    <n v="276"/>
    <n v="2"/>
    <s v="None"/>
    <n v="99.1"/>
    <n v="259"/>
    <x v="1"/>
  </r>
  <r>
    <d v="2024-09-20T16:44:25"/>
    <s v="Truck_7"/>
    <n v="69.760800000000003"/>
    <n v="-77.018799999999999"/>
    <n v="227"/>
    <x v="2"/>
    <n v="27.6"/>
    <n v="68.099999999999994"/>
    <s v="Detour"/>
    <n v="60"/>
    <n v="399"/>
    <n v="1"/>
    <s v="Traffic"/>
    <n v="64.099999999999994"/>
    <n v="126"/>
    <x v="1"/>
  </r>
  <r>
    <d v="2024-11-06T21:58:30"/>
    <s v="Truck_7"/>
    <n v="27.403400000000001"/>
    <n v="-35.8705"/>
    <n v="204"/>
    <x v="1"/>
    <n v="20.5"/>
    <n v="60.2"/>
    <s v="Clear"/>
    <n v="26"/>
    <n v="460"/>
    <n v="5"/>
    <s v="None"/>
    <n v="66.900000000000006"/>
    <n v="231"/>
    <x v="1"/>
  </r>
  <r>
    <d v="2024-03-30T12:05:51"/>
    <s v="Truck_10"/>
    <n v="-31.4314"/>
    <n v="-110.7069"/>
    <n v="384"/>
    <x v="0"/>
    <n v="18.5"/>
    <n v="79"/>
    <s v="Detour"/>
    <n v="21"/>
    <n v="185"/>
    <n v="8"/>
    <s v="Weather"/>
    <n v="68.099999999999994"/>
    <n v="143"/>
    <x v="0"/>
  </r>
  <r>
    <d v="2024-05-24T00:02:16"/>
    <s v="Truck_6"/>
    <n v="63.555399999999999"/>
    <n v="151.4083"/>
    <n v="187"/>
    <x v="0"/>
    <n v="18.899999999999999"/>
    <n v="60.3"/>
    <s v="Clear"/>
    <n v="34"/>
    <n v="223"/>
    <n v="1"/>
    <s v="Weather"/>
    <n v="85.3"/>
    <n v="197"/>
    <x v="0"/>
  </r>
  <r>
    <d v="2024-01-26T08:28:52"/>
    <s v="Truck_3"/>
    <n v="86.666300000000007"/>
    <n v="-8.1036000000000001"/>
    <n v="302"/>
    <x v="2"/>
    <n v="19.5"/>
    <n v="64.5"/>
    <s v="Detour"/>
    <n v="38"/>
    <n v="149"/>
    <n v="10"/>
    <s v="None"/>
    <n v="69"/>
    <n v="213"/>
    <x v="1"/>
  </r>
  <r>
    <d v="2024-05-18T14:34:50"/>
    <s v="Truck_3"/>
    <n v="62.954900000000002"/>
    <n v="134.6387"/>
    <n v="177"/>
    <x v="1"/>
    <n v="24.7"/>
    <n v="70.599999999999994"/>
    <s v="Heavy"/>
    <n v="58"/>
    <n v="301"/>
    <n v="1"/>
    <s v="Mechanical Failure"/>
    <n v="82.7"/>
    <n v="254"/>
    <x v="0"/>
  </r>
  <r>
    <d v="2024-05-19T11:10:13"/>
    <s v="Truck_2"/>
    <n v="57.555"/>
    <n v="179.23490000000001"/>
    <n v="448"/>
    <x v="1"/>
    <n v="21.5"/>
    <n v="55.7"/>
    <s v="Heavy"/>
    <n v="55"/>
    <n v="500"/>
    <n v="2"/>
    <s v="Mechanical Failure"/>
    <n v="86.7"/>
    <n v="173"/>
    <x v="0"/>
  </r>
  <r>
    <d v="2024-10-19T16:07:51"/>
    <s v="Truck_5"/>
    <n v="-8.3428000000000004"/>
    <n v="-26.270199999999999"/>
    <n v="197"/>
    <x v="1"/>
    <n v="22.9"/>
    <n v="71.900000000000006"/>
    <s v="Clear"/>
    <n v="18"/>
    <n v="387"/>
    <n v="9"/>
    <s v="None"/>
    <n v="71"/>
    <n v="140"/>
    <x v="1"/>
  </r>
  <r>
    <d v="2024-04-12T19:29:51"/>
    <s v="Truck_10"/>
    <n v="-51.602499999999999"/>
    <n v="114.3963"/>
    <n v="428"/>
    <x v="1"/>
    <n v="28.6"/>
    <n v="77.7"/>
    <s v="Heavy"/>
    <n v="14"/>
    <n v="175"/>
    <n v="9"/>
    <s v="Traffic"/>
    <n v="96.2"/>
    <n v="115"/>
    <x v="0"/>
  </r>
  <r>
    <d v="2024-02-29T23:31:58"/>
    <s v="Truck_8"/>
    <n v="-30.946000000000002"/>
    <n v="-65.535200000000003"/>
    <n v="435"/>
    <x v="0"/>
    <n v="24.7"/>
    <n v="75.3"/>
    <s v="Heavy"/>
    <n v="41"/>
    <n v="245"/>
    <n v="2"/>
    <s v="Weather"/>
    <n v="87.1"/>
    <n v="232"/>
    <x v="0"/>
  </r>
  <r>
    <d v="2024-10-03T16:09:16"/>
    <s v="Truck_6"/>
    <n v="-47.350299999999997"/>
    <n v="-100.22110000000001"/>
    <n v="309"/>
    <x v="1"/>
    <n v="20.2"/>
    <n v="65.8"/>
    <s v="Detour"/>
    <n v="26"/>
    <n v="105"/>
    <n v="9"/>
    <s v="Mechanical Failure"/>
    <n v="60.7"/>
    <n v="244"/>
    <x v="1"/>
  </r>
  <r>
    <d v="2024-07-12T10:13:28"/>
    <s v="Truck_9"/>
    <n v="29.293099999999999"/>
    <n v="-63.655999999999999"/>
    <n v="346"/>
    <x v="2"/>
    <n v="21.5"/>
    <n v="60.1"/>
    <s v="Clear"/>
    <n v="17"/>
    <n v="370"/>
    <n v="9"/>
    <s v="None"/>
    <n v="70.8"/>
    <n v="259"/>
    <x v="1"/>
  </r>
  <r>
    <d v="2024-10-24T02:04:39"/>
    <s v="Truck_2"/>
    <n v="-67.426199999999994"/>
    <n v="-107.51560000000001"/>
    <n v="428"/>
    <x v="2"/>
    <n v="29.1"/>
    <n v="55.9"/>
    <s v="Clear"/>
    <n v="34"/>
    <n v="176"/>
    <n v="2"/>
    <s v="None"/>
    <n v="89.5"/>
    <n v="123"/>
    <x v="1"/>
  </r>
  <r>
    <d v="2024-03-21T11:55:45"/>
    <s v="Truck_5"/>
    <n v="82.811599999999999"/>
    <n v="62.198300000000003"/>
    <n v="106"/>
    <x v="2"/>
    <n v="21.6"/>
    <n v="79.3"/>
    <s v="Clear"/>
    <n v="51"/>
    <n v="120"/>
    <n v="9"/>
    <s v="Weather"/>
    <n v="96.2"/>
    <n v="228"/>
    <x v="1"/>
  </r>
  <r>
    <d v="2024-07-14T20:00:38"/>
    <s v="Truck_3"/>
    <n v="58.6218"/>
    <n v="133.4487"/>
    <n v="154"/>
    <x v="0"/>
    <n v="25.8"/>
    <n v="69"/>
    <s v="Clear"/>
    <n v="60"/>
    <n v="357"/>
    <n v="10"/>
    <s v="Mechanical Failure"/>
    <n v="87.9"/>
    <n v="269"/>
    <x v="0"/>
  </r>
  <r>
    <d v="2024-11-23T19:15:58"/>
    <s v="Truck_10"/>
    <n v="-31.995899999999999"/>
    <n v="164.6097"/>
    <n v="417"/>
    <x v="1"/>
    <n v="23.8"/>
    <n v="50.7"/>
    <s v="Heavy"/>
    <n v="47"/>
    <n v="278"/>
    <n v="2"/>
    <s v="None"/>
    <n v="88.7"/>
    <n v="226"/>
    <x v="0"/>
  </r>
  <r>
    <d v="2024-09-26T10:33:52"/>
    <s v="Truck_5"/>
    <n v="84.804100000000005"/>
    <n v="86.153300000000002"/>
    <n v="438"/>
    <x v="0"/>
    <n v="20.6"/>
    <n v="79.3"/>
    <s v="Heavy"/>
    <n v="37"/>
    <n v="431"/>
    <n v="5"/>
    <s v="Mechanical Failure"/>
    <n v="71.7"/>
    <n v="246"/>
    <x v="0"/>
  </r>
  <r>
    <d v="2024-08-09T16:48:19"/>
    <s v="Truck_5"/>
    <n v="-11.147"/>
    <n v="-97.933499999999995"/>
    <n v="106"/>
    <x v="0"/>
    <n v="29.6"/>
    <n v="62"/>
    <s v="Heavy"/>
    <n v="54"/>
    <n v="410"/>
    <n v="9"/>
    <s v="Weather"/>
    <n v="62.3"/>
    <n v="111"/>
    <x v="0"/>
  </r>
  <r>
    <d v="2024-11-23T08:35:37"/>
    <s v="Truck_4"/>
    <n v="-9.8535000000000004"/>
    <n v="-164.78399999999999"/>
    <n v="147"/>
    <x v="0"/>
    <n v="27.5"/>
    <n v="51.6"/>
    <s v="Clear"/>
    <n v="15"/>
    <n v="496"/>
    <n v="4"/>
    <s v="Traffic"/>
    <n v="68.400000000000006"/>
    <n v="238"/>
    <x v="0"/>
  </r>
  <r>
    <d v="2024-10-16T22:49:20"/>
    <s v="Truck_7"/>
    <n v="35.673999999999999"/>
    <n v="177.2099"/>
    <n v="248"/>
    <x v="2"/>
    <n v="23"/>
    <n v="72.3"/>
    <s v="Heavy"/>
    <n v="35"/>
    <n v="256"/>
    <n v="3"/>
    <s v="Traffic"/>
    <n v="99.2"/>
    <n v="296"/>
    <x v="0"/>
  </r>
  <r>
    <d v="2024-02-15T22:41:00"/>
    <s v="Truck_7"/>
    <n v="87.965000000000003"/>
    <n v="-109.0684"/>
    <n v="299"/>
    <x v="1"/>
    <n v="20.5"/>
    <n v="75.2"/>
    <s v="Clear"/>
    <n v="21"/>
    <n v="148"/>
    <n v="6"/>
    <s v="Mechanical Failure"/>
    <n v="67.5"/>
    <n v="150"/>
    <x v="1"/>
  </r>
  <r>
    <d v="2024-06-15T02:50:21"/>
    <s v="Truck_7"/>
    <n v="68.122900000000001"/>
    <n v="9.8155000000000001"/>
    <n v="382"/>
    <x v="2"/>
    <n v="20.6"/>
    <n v="72.8"/>
    <s v="Heavy"/>
    <n v="10"/>
    <n v="128"/>
    <n v="1"/>
    <s v="Weather"/>
    <n v="79.2"/>
    <n v="157"/>
    <x v="0"/>
  </r>
  <r>
    <d v="2024-06-26T19:58:52"/>
    <s v="Truck_2"/>
    <n v="84.021500000000003"/>
    <n v="75.482900000000001"/>
    <n v="236"/>
    <x v="2"/>
    <n v="19.399999999999999"/>
    <n v="57.2"/>
    <s v="Heavy"/>
    <n v="13"/>
    <n v="368"/>
    <n v="2"/>
    <s v="Weather"/>
    <n v="83.7"/>
    <n v="276"/>
    <x v="0"/>
  </r>
  <r>
    <d v="2024-12-01T12:38:57"/>
    <s v="Truck_4"/>
    <n v="73.915400000000005"/>
    <n v="-123.8449"/>
    <n v="122"/>
    <x v="0"/>
    <n v="28.3"/>
    <n v="80"/>
    <s v="Detour"/>
    <n v="43"/>
    <n v="444"/>
    <n v="10"/>
    <s v="Mechanical Failure"/>
    <n v="91.6"/>
    <n v="141"/>
    <x v="0"/>
  </r>
  <r>
    <d v="2024-07-31T03:43:10"/>
    <s v="Truck_10"/>
    <n v="56.282899999999998"/>
    <n v="49.029200000000003"/>
    <n v="201"/>
    <x v="1"/>
    <n v="24.4"/>
    <n v="50.8"/>
    <s v="Heavy"/>
    <n v="13"/>
    <n v="367"/>
    <n v="2"/>
    <s v="None"/>
    <n v="88.3"/>
    <n v="174"/>
    <x v="0"/>
  </r>
  <r>
    <d v="2024-03-16T13:20:30"/>
    <s v="Truck_9"/>
    <n v="-89.098100000000002"/>
    <n v="33.8294"/>
    <n v="226"/>
    <x v="1"/>
    <n v="18.600000000000001"/>
    <n v="77.900000000000006"/>
    <s v="Heavy"/>
    <n v="30"/>
    <n v="252"/>
    <n v="10"/>
    <s v="None"/>
    <n v="67.3"/>
    <n v="145"/>
    <x v="0"/>
  </r>
  <r>
    <d v="2024-06-17T14:43:11"/>
    <s v="Truck_9"/>
    <n v="0.40550000000000003"/>
    <n v="97.602199999999996"/>
    <n v="266"/>
    <x v="2"/>
    <n v="23.5"/>
    <n v="60.2"/>
    <s v="Heavy"/>
    <n v="57"/>
    <n v="108"/>
    <n v="2"/>
    <s v="Traffic"/>
    <n v="65.5"/>
    <n v="202"/>
    <x v="0"/>
  </r>
  <r>
    <d v="2024-01-26T05:00:06"/>
    <s v="Truck_8"/>
    <n v="29.712800000000001"/>
    <n v="-51.899299999999997"/>
    <n v="277"/>
    <x v="2"/>
    <n v="29.2"/>
    <n v="56.9"/>
    <s v="Detour"/>
    <n v="24"/>
    <n v="100"/>
    <n v="2"/>
    <s v="Mechanical Failure"/>
    <n v="84.2"/>
    <n v="164"/>
    <x v="1"/>
  </r>
  <r>
    <d v="2024-03-09T09:56:32"/>
    <s v="Truck_4"/>
    <n v="76.858199999999997"/>
    <n v="-8.4829000000000008"/>
    <n v="475"/>
    <x v="1"/>
    <n v="24.3"/>
    <n v="52.6"/>
    <s v="Heavy"/>
    <n v="55"/>
    <n v="283"/>
    <n v="6"/>
    <s v="Weather"/>
    <n v="95.9"/>
    <n v="173"/>
    <x v="0"/>
  </r>
  <r>
    <d v="2024-08-28T07:23:00"/>
    <s v="Truck_8"/>
    <n v="-74.188000000000002"/>
    <n v="-176.01410000000001"/>
    <n v="387"/>
    <x v="2"/>
    <n v="28.1"/>
    <n v="64.7"/>
    <s v="Clear"/>
    <n v="51"/>
    <n v="340"/>
    <n v="10"/>
    <s v="Weather"/>
    <n v="61.1"/>
    <n v="243"/>
    <x v="1"/>
  </r>
  <r>
    <d v="2024-01-13T18:59:02"/>
    <s v="Truck_6"/>
    <n v="14.1533"/>
    <n v="164.11859999999999"/>
    <n v="286"/>
    <x v="1"/>
    <n v="25"/>
    <n v="68.400000000000006"/>
    <s v="Heavy"/>
    <n v="50"/>
    <n v="382"/>
    <n v="5"/>
    <s v="Weather"/>
    <n v="71.900000000000006"/>
    <n v="283"/>
    <x v="0"/>
  </r>
  <r>
    <d v="2024-12-21T10:48:36"/>
    <s v="Truck_7"/>
    <n v="3.9786000000000001"/>
    <n v="-135.22190000000001"/>
    <n v="367"/>
    <x v="0"/>
    <n v="27"/>
    <n v="55.1"/>
    <s v="Heavy"/>
    <n v="47"/>
    <n v="449"/>
    <n v="9"/>
    <s v="Mechanical Failure"/>
    <n v="99.7"/>
    <n v="109"/>
    <x v="0"/>
  </r>
  <r>
    <d v="2024-12-28T17:40:09"/>
    <s v="Truck_4"/>
    <n v="-40.921599999999998"/>
    <n v="27.528099999999998"/>
    <n v="371"/>
    <x v="0"/>
    <n v="27.4"/>
    <n v="50.9"/>
    <s v="Clear"/>
    <n v="40"/>
    <n v="463"/>
    <n v="8"/>
    <s v="Weather"/>
    <n v="90.7"/>
    <n v="144"/>
    <x v="0"/>
  </r>
  <r>
    <d v="2024-08-18T05:51:47"/>
    <s v="Truck_7"/>
    <n v="-58.432099999999998"/>
    <n v="-90.511799999999994"/>
    <n v="315"/>
    <x v="2"/>
    <n v="23.5"/>
    <n v="68.599999999999994"/>
    <s v="Heavy"/>
    <n v="20"/>
    <n v="372"/>
    <n v="1"/>
    <s v="None"/>
    <n v="63.8"/>
    <n v="221"/>
    <x v="0"/>
  </r>
  <r>
    <d v="2024-09-09T05:33:17"/>
    <s v="Truck_6"/>
    <n v="41.767899999999997"/>
    <n v="-95.813500000000005"/>
    <n v="262"/>
    <x v="1"/>
    <n v="24.5"/>
    <n v="50.1"/>
    <s v="Heavy"/>
    <n v="20"/>
    <n v="387"/>
    <n v="2"/>
    <s v="Weather"/>
    <n v="95"/>
    <n v="145"/>
    <x v="0"/>
  </r>
  <r>
    <d v="2024-10-01T09:21:06"/>
    <s v="Truck_7"/>
    <n v="61.942300000000003"/>
    <n v="34.526000000000003"/>
    <n v="201"/>
    <x v="0"/>
    <n v="23.9"/>
    <n v="57.8"/>
    <s v="Heavy"/>
    <n v="24"/>
    <n v="170"/>
    <n v="1"/>
    <s v="Mechanical Failure"/>
    <n v="90.8"/>
    <n v="104"/>
    <x v="0"/>
  </r>
  <r>
    <d v="2024-10-14T10:21:17"/>
    <s v="Truck_4"/>
    <n v="46.972900000000003"/>
    <n v="-36.519799999999996"/>
    <n v="420"/>
    <x v="0"/>
    <n v="21.6"/>
    <n v="62.8"/>
    <s v="Clear"/>
    <n v="31"/>
    <n v="242"/>
    <n v="10"/>
    <s v="Weather"/>
    <n v="95.6"/>
    <n v="221"/>
    <x v="0"/>
  </r>
  <r>
    <d v="2024-06-13T00:29:04"/>
    <s v="Truck_1"/>
    <n v="44.247700000000002"/>
    <n v="175.0702"/>
    <n v="143"/>
    <x v="2"/>
    <n v="21.6"/>
    <n v="64.099999999999994"/>
    <s v="Detour"/>
    <n v="32"/>
    <n v="307"/>
    <n v="10"/>
    <s v="Traffic"/>
    <n v="64"/>
    <n v="168"/>
    <x v="1"/>
  </r>
  <r>
    <d v="2024-07-22T16:30:00"/>
    <s v="Truck_6"/>
    <n v="89.870099999999994"/>
    <n v="73.686700000000002"/>
    <n v="264"/>
    <x v="2"/>
    <n v="26.9"/>
    <n v="70"/>
    <s v="Heavy"/>
    <n v="32"/>
    <n v="188"/>
    <n v="1"/>
    <s v="Weather"/>
    <n v="79.2"/>
    <n v="213"/>
    <x v="0"/>
  </r>
  <r>
    <d v="2024-04-30T04:58:58"/>
    <s v="Truck_5"/>
    <n v="-10.479200000000001"/>
    <n v="-177.12389999999999"/>
    <n v="479"/>
    <x v="2"/>
    <n v="23.7"/>
    <n v="77.900000000000006"/>
    <s v="Detour"/>
    <n v="56"/>
    <n v="276"/>
    <n v="7"/>
    <s v="Weather"/>
    <n v="83.7"/>
    <n v="272"/>
    <x v="1"/>
  </r>
  <r>
    <d v="2024-10-27T22:09:13"/>
    <s v="Truck_2"/>
    <n v="-71.060900000000004"/>
    <n v="75.371399999999994"/>
    <n v="347"/>
    <x v="1"/>
    <n v="21"/>
    <n v="63.1"/>
    <s v="Detour"/>
    <n v="35"/>
    <n v="382"/>
    <n v="5"/>
    <s v="None"/>
    <n v="74.8"/>
    <n v="275"/>
    <x v="1"/>
  </r>
  <r>
    <d v="2024-04-18T23:06:56"/>
    <s v="Truck_2"/>
    <n v="-76.790999999999997"/>
    <n v="18.363099999999999"/>
    <n v="276"/>
    <x v="2"/>
    <n v="18"/>
    <n v="64.3"/>
    <s v="Heavy"/>
    <n v="10"/>
    <n v="361"/>
    <n v="5"/>
    <s v="None"/>
    <n v="88.6"/>
    <n v="242"/>
    <x v="0"/>
  </r>
  <r>
    <d v="2024-09-18T19:39:24"/>
    <s v="Truck_8"/>
    <n v="59.835599999999999"/>
    <n v="-114.4198"/>
    <n v="157"/>
    <x v="0"/>
    <n v="18.7"/>
    <n v="73.599999999999994"/>
    <s v="Clear"/>
    <n v="55"/>
    <n v="323"/>
    <n v="9"/>
    <s v="Mechanical Failure"/>
    <n v="81.3"/>
    <n v="14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98028-0C6B-44B0-AF0F-F451CE8FA0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6">
    <pivotField numFmtId="22" showAll="0"/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Asset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E39AB0-9033-4C40-B01F-6664E2A76E66}" autoFormatId="16" applyNumberFormats="0" applyBorderFormats="0" applyFontFormats="0" applyPatternFormats="0" applyAlignmentFormats="0" applyWidthHeightFormats="0">
  <queryTableRefresh nextId="27">
    <queryTableFields count="26">
      <queryTableField id="1" name="Timestamp" tableColumnId="1"/>
      <queryTableField id="2" name="Asset_ID" tableColumnId="2"/>
      <queryTableField id="3" name="Latitude" tableColumnId="3"/>
      <queryTableField id="4" name="Longitude" tableColumnId="4"/>
      <queryTableField id="5" name="Inventory_Level" tableColumnId="5"/>
      <queryTableField id="6" name="Shipment_Status" tableColumnId="6"/>
      <queryTableField id="7" name="Temperature" tableColumnId="7"/>
      <queryTableField id="8" name="Humidity" tableColumnId="8"/>
      <queryTableField id="9" name="Traffic_Status" tableColumnId="9"/>
      <queryTableField id="10" name="Waiting_Time" tableColumnId="10"/>
      <queryTableField id="11" name="User_Transaction_Amount" tableColumnId="11"/>
      <queryTableField id="12" name="User_Purchase_Frequency" tableColumnId="12"/>
      <queryTableField id="13" name="Logistics_Delay_Reason" tableColumnId="13"/>
      <queryTableField id="14" name="Asset_Utilization" tableColumnId="14"/>
      <queryTableField id="15" name="Demand_Forecast" tableColumnId="15"/>
      <queryTableField id="16" name="Logistics_Delay" tableColumnId="16"/>
      <queryTableField id="17" name="Month" tableColumnId="17"/>
      <queryTableField id="18" name="Year" tableColumnId="18"/>
      <queryTableField id="19" name="Weekday" tableColumnId="19"/>
      <queryTableField id="20" name="Season" tableColumnId="20"/>
      <queryTableField id="21" name="Is_Weekend" tableColumnId="21"/>
      <queryTableField id="22" name="Status_Enc" tableColumnId="22"/>
      <queryTableField id="23" name="Traffic_Enc" tableColumnId="23"/>
      <queryTableField id="24" name="Heavy_Traffic_Flag" tableColumnId="24"/>
      <queryTableField id="25" name="High_Humidity_Flag" tableColumnId="25"/>
      <queryTableField id="26" name="Long_Wait_Flag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5E989A-6C55-40E2-AC6F-28D68B4337D9}" name="smart_logistics_dataset" displayName="smart_logistics_dataset" ref="A1:Z1001" tableType="queryTable" totalsRowShown="0">
  <autoFilter ref="A1:Z1001" xr:uid="{2F5E989A-6C55-40E2-AC6F-28D68B4337D9}"/>
  <tableColumns count="26">
    <tableColumn id="1" xr3:uid="{E276F167-D206-44EB-BCFA-BCC6BB4FA1F8}" uniqueName="1" name="Timestamp" queryTableFieldId="1" dataDxfId="5"/>
    <tableColumn id="2" xr3:uid="{C7407B9A-1F9C-4642-B0EA-8D14E53FF3DF}" uniqueName="2" name="Asset_ID" queryTableFieldId="2" dataDxfId="4"/>
    <tableColumn id="3" xr3:uid="{41E6909A-7847-4646-8326-FD5280AE44F9}" uniqueName="3" name="Latitude" queryTableFieldId="3"/>
    <tableColumn id="4" xr3:uid="{2F80858F-5EE8-453A-8477-3C58BF668C7A}" uniqueName="4" name="Longitude" queryTableFieldId="4"/>
    <tableColumn id="5" xr3:uid="{67AEBD44-FDDC-4924-8808-D4B73F83FF93}" uniqueName="5" name="Inventory_Level" queryTableFieldId="5"/>
    <tableColumn id="6" xr3:uid="{7500A517-4B70-4C52-B2CB-CEE60A348566}" uniqueName="6" name="Shipment_Status" queryTableFieldId="6" dataDxfId="3"/>
    <tableColumn id="7" xr3:uid="{D5A2723F-630B-43BD-A013-37679AA9F87F}" uniqueName="7" name="Temperature" queryTableFieldId="7"/>
    <tableColumn id="8" xr3:uid="{C89A393E-3E85-46F3-99D6-DEDB38139ECC}" uniqueName="8" name="Humidity" queryTableFieldId="8"/>
    <tableColumn id="9" xr3:uid="{F04C18AC-860B-46BB-B834-3573B866087C}" uniqueName="9" name="Traffic_Status" queryTableFieldId="9" dataDxfId="2"/>
    <tableColumn id="10" xr3:uid="{36BB95B9-5D3F-43DF-B19D-35875CF9939D}" uniqueName="10" name="Waiting_Time" queryTableFieldId="10"/>
    <tableColumn id="11" xr3:uid="{940C1D6B-B421-4912-9D80-0C88B4697762}" uniqueName="11" name="User_Transaction_Amount" queryTableFieldId="11"/>
    <tableColumn id="12" xr3:uid="{B8667C09-E7FD-4E88-B52C-DDED7F99B001}" uniqueName="12" name="User_Purchase_Frequency" queryTableFieldId="12"/>
    <tableColumn id="13" xr3:uid="{7C2DF693-6FB2-4EDC-A813-42B3B08B5C3C}" uniqueName="13" name="Logistics_Delay_Reason" queryTableFieldId="13" dataDxfId="1"/>
    <tableColumn id="14" xr3:uid="{5421E298-5BF5-44CD-A00E-265F70CDF340}" uniqueName="14" name="Asset_Utilization" queryTableFieldId="14"/>
    <tableColumn id="15" xr3:uid="{FB662CE7-294B-4A4D-A9C2-6F71E2EDB310}" uniqueName="15" name="Demand_Forecast" queryTableFieldId="15"/>
    <tableColumn id="16" xr3:uid="{8ABE9E24-61F1-41B8-8FB9-559881DA4B73}" uniqueName="16" name="Logistics_Delay" queryTableFieldId="16"/>
    <tableColumn id="17" xr3:uid="{D79EFA41-AE2E-49FE-8C3B-DDD581D104DB}" uniqueName="17" name="Month" queryTableFieldId="17"/>
    <tableColumn id="18" xr3:uid="{4750241A-5158-404A-A249-A116E8DD936B}" uniqueName="18" name="Year" queryTableFieldId="18"/>
    <tableColumn id="19" xr3:uid="{95DECC6C-1753-4E09-981A-F7926045D8A9}" uniqueName="19" name="Weekday" queryTableFieldId="19"/>
    <tableColumn id="20" xr3:uid="{2F09136F-4479-440D-8384-7AD377F3527C}" uniqueName="20" name="Season" queryTableFieldId="20" dataDxfId="0"/>
    <tableColumn id="21" xr3:uid="{EC289C21-58AC-4C5B-9957-B9545EA52E83}" uniqueName="21" name="Is_Weekend" queryTableFieldId="21"/>
    <tableColumn id="22" xr3:uid="{BF9FFAF0-F2F6-4603-BC45-BDEAC4A66CD7}" uniqueName="22" name="Status_Enc" queryTableFieldId="22"/>
    <tableColumn id="23" xr3:uid="{C8EABA38-56FD-4B23-8744-71ED3192EE6E}" uniqueName="23" name="Traffic_Enc" queryTableFieldId="23"/>
    <tableColumn id="24" xr3:uid="{2B676775-7A47-41C0-9539-C70FB5478ED5}" uniqueName="24" name="Heavy_Traffic_Flag" queryTableFieldId="24"/>
    <tableColumn id="25" xr3:uid="{0040BBE6-191C-47C1-B05D-05440F422D15}" uniqueName="25" name="High_Humidity_Flag" queryTableFieldId="25"/>
    <tableColumn id="26" xr3:uid="{01CC285B-CCCC-4577-8449-8F184B831FB2}" uniqueName="26" name="Long_Wait_Flag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C142B-0362-4219-8ED7-7C92BC439067}" name="smart_dataset" displayName="smart_dataset" ref="A1:W1001" totalsRowShown="0">
  <autoFilter ref="A1:W1001" xr:uid="{AA6C142B-0362-4219-8ED7-7C92BC439067}">
    <filterColumn colId="16">
      <filters>
        <filter val="None"/>
      </filters>
    </filterColumn>
  </autoFilter>
  <tableColumns count="23">
    <tableColumn id="1" xr3:uid="{CB7B5277-D372-4854-BB2F-D7201956B123}" name="Timestamp" dataDxfId="13"/>
    <tableColumn id="18" xr3:uid="{B3E2B72E-3675-4147-9646-49C3704C2D33}" name="Date" dataDxfId="12">
      <calculatedColumnFormula>INT(smart_dataset[[#This Row],[Timestamp]])</calculatedColumnFormula>
    </tableColumn>
    <tableColumn id="19" xr3:uid="{459D9DE0-B2D6-4EF4-9B4B-DC5EE5EC9618}" name="Time" dataDxfId="11">
      <calculatedColumnFormula>MOD(smart_dataset[[#This Row],[Timestamp]],1)</calculatedColumnFormula>
    </tableColumn>
    <tableColumn id="20" xr3:uid="{21C608F5-CA2A-431C-BB0D-BBA876E1D019}" name="Year" dataDxfId="10">
      <calculatedColumnFormula>YEAR(smart_dataset[[#This Row],[Date]])</calculatedColumnFormula>
    </tableColumn>
    <tableColumn id="21" xr3:uid="{2A2021C6-1EE8-4308-B04A-300B697947A9}" name="Month" dataDxfId="9">
      <calculatedColumnFormula>MONTH(smart_dataset[[#This Row],[Timestamp]])</calculatedColumnFormula>
    </tableColumn>
    <tableColumn id="2" xr3:uid="{6A05816A-9402-42C7-8A86-C25D6967F199}" name="Asset_ID"/>
    <tableColumn id="3" xr3:uid="{9AB93FF9-DDC3-4670-A0EC-374E14A933CB}" name="Latitude"/>
    <tableColumn id="4" xr3:uid="{AC50D29F-BDC2-45E4-A92C-76C5AD55FA24}" name="Longitude"/>
    <tableColumn id="5" xr3:uid="{D909C2B7-C0DA-4A98-A1DC-5704EF8F5C17}" name="Inventory_Level"/>
    <tableColumn id="6" xr3:uid="{1F95686B-290F-4F98-96F2-E4B0513E065E}" name="Shipment_Status"/>
    <tableColumn id="7" xr3:uid="{15D99FAB-38D4-4C4F-9D5F-56C73B07691C}" name="Temperature"/>
    <tableColumn id="8" xr3:uid="{B5DB97FE-479C-482B-A8C1-8508F7F86C8B}" name="Humidity"/>
    <tableColumn id="9" xr3:uid="{A1E6BFFA-D691-4A98-972D-F6E145881C0F}" name="Traffic_Status"/>
    <tableColumn id="10" xr3:uid="{16FF2769-E393-4751-AC46-000FA445E37B}" name="Waiting_Time"/>
    <tableColumn id="11" xr3:uid="{670FC194-4979-41C6-8E72-CD2FC95F5D58}" name="User_Transaction_Amount"/>
    <tableColumn id="12" xr3:uid="{123D17A0-CE55-4AB1-8B65-862199697955}" name="User_Purchase_Frequency"/>
    <tableColumn id="13" xr3:uid="{401C17F1-6C39-43B4-AE98-4A4529CD14DC}" name="Logistics_Delay_Reason"/>
    <tableColumn id="14" xr3:uid="{6E7A4F03-1F6F-4B97-9C0D-A182144921ED}" name="Asset_Utilization"/>
    <tableColumn id="15" xr3:uid="{6636C83E-7865-469E-BB0F-87930FDE04A9}" name="Demand_Forecast"/>
    <tableColumn id="16" xr3:uid="{A4544FC8-3700-4504-9BAB-84EAF2F48437}" name="Logistics_Delay"/>
    <tableColumn id="22" xr3:uid="{2EB7CCF4-03D2-42CE-85C8-622DF0E3835A}" name="Waiting_Time_Category" dataDxfId="8">
      <calculatedColumnFormula array="1">_xlfn.IFS(smart_dataset[[#This Row],[Waiting_Time]]&lt;=20,"Low",smart_dataset[[#This Row],[Waiting_Time]]&lt;=40,"Medium",TRUE,"High")</calculatedColumnFormula>
    </tableColumn>
    <tableColumn id="23" xr3:uid="{92539E52-3C2D-429B-9C70-B3DE911D4D28}" name="Temperature Category" dataDxfId="7">
      <calculatedColumnFormula array="1">_xlfn.IFS(smart_dataset[[#This Row],[Temperature]]&lt;=20,"Cold",smart_dataset[[#This Row],[Temperature]]&lt;=28,"Normal",TRUE,"Hot")</calculatedColumnFormula>
    </tableColumn>
    <tableColumn id="24" xr3:uid="{72BAA8D6-C14A-4863-A82A-9743B243BD57}" name="Utilization Category" dataDxfId="6">
      <calculatedColumnFormula array="1">_xlfn.IFS(smart_dataset[[#This Row],[Asset_Utilization]]&lt;=75,"Low",smart_dataset[[#This Row],[Asset_Utilization]]&lt;=90,"Medium",TRUE,"High")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317C-0A13-45FB-B054-ABC45E06C30E}">
  <dimension ref="A1:P1001"/>
  <sheetViews>
    <sheetView workbookViewId="0">
      <selection activeCell="X36" sqref="X35:X3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45371.007800925923</v>
      </c>
      <c r="B2" t="s">
        <v>16</v>
      </c>
      <c r="C2">
        <v>-65.738299999999995</v>
      </c>
      <c r="D2">
        <v>11.249700000000001</v>
      </c>
      <c r="E2">
        <v>390</v>
      </c>
      <c r="F2" t="s">
        <v>17</v>
      </c>
      <c r="G2">
        <v>27</v>
      </c>
      <c r="H2">
        <v>67.8</v>
      </c>
      <c r="I2" t="s">
        <v>18</v>
      </c>
      <c r="J2">
        <v>38</v>
      </c>
      <c r="K2">
        <v>320</v>
      </c>
      <c r="L2">
        <v>4</v>
      </c>
      <c r="M2" t="s">
        <v>19</v>
      </c>
      <c r="N2">
        <v>60.1</v>
      </c>
      <c r="O2">
        <v>285</v>
      </c>
      <c r="P2">
        <v>1</v>
      </c>
    </row>
    <row r="3" spans="1:16" x14ac:dyDescent="0.25">
      <c r="A3" s="1">
        <v>45595.329062500001</v>
      </c>
      <c r="B3" t="s">
        <v>20</v>
      </c>
      <c r="C3">
        <v>22.274799999999999</v>
      </c>
      <c r="D3">
        <v>-131.70859999999999</v>
      </c>
      <c r="E3">
        <v>491</v>
      </c>
      <c r="F3" t="s">
        <v>21</v>
      </c>
      <c r="G3">
        <v>22.5</v>
      </c>
      <c r="H3">
        <v>54.3</v>
      </c>
      <c r="I3" t="s">
        <v>22</v>
      </c>
      <c r="J3">
        <v>16</v>
      </c>
      <c r="K3">
        <v>439</v>
      </c>
      <c r="L3">
        <v>7</v>
      </c>
      <c r="M3" t="s">
        <v>23</v>
      </c>
      <c r="N3">
        <v>80.900000000000006</v>
      </c>
      <c r="O3">
        <v>174</v>
      </c>
      <c r="P3">
        <v>1</v>
      </c>
    </row>
    <row r="4" spans="1:16" x14ac:dyDescent="0.25">
      <c r="A4" s="1">
        <v>45502.779722222222</v>
      </c>
      <c r="B4" t="s">
        <v>24</v>
      </c>
      <c r="C4">
        <v>54.923200000000001</v>
      </c>
      <c r="D4">
        <v>79.545500000000004</v>
      </c>
      <c r="E4">
        <v>190</v>
      </c>
      <c r="F4" t="s">
        <v>21</v>
      </c>
      <c r="G4">
        <v>25.2</v>
      </c>
      <c r="H4">
        <v>62.2</v>
      </c>
      <c r="I4" t="s">
        <v>18</v>
      </c>
      <c r="J4">
        <v>34</v>
      </c>
      <c r="K4">
        <v>355</v>
      </c>
      <c r="L4">
        <v>3</v>
      </c>
      <c r="M4" t="s">
        <v>19</v>
      </c>
      <c r="N4">
        <v>99.2</v>
      </c>
      <c r="O4">
        <v>260</v>
      </c>
      <c r="P4">
        <v>0</v>
      </c>
    </row>
    <row r="5" spans="1:16" x14ac:dyDescent="0.25">
      <c r="A5" s="1">
        <v>45593.03534722222</v>
      </c>
      <c r="B5" t="s">
        <v>25</v>
      </c>
      <c r="C5">
        <v>42.39</v>
      </c>
      <c r="D5">
        <v>-1.4787999999999999</v>
      </c>
      <c r="E5">
        <v>330</v>
      </c>
      <c r="F5" t="s">
        <v>26</v>
      </c>
      <c r="G5">
        <v>25.4</v>
      </c>
      <c r="H5">
        <v>52.3</v>
      </c>
      <c r="I5" t="s">
        <v>22</v>
      </c>
      <c r="J5">
        <v>37</v>
      </c>
      <c r="K5">
        <v>227</v>
      </c>
      <c r="L5">
        <v>5</v>
      </c>
      <c r="M5" t="s">
        <v>27</v>
      </c>
      <c r="N5">
        <v>97.4</v>
      </c>
      <c r="O5">
        <v>160</v>
      </c>
      <c r="P5">
        <v>1</v>
      </c>
    </row>
    <row r="6" spans="1:16" x14ac:dyDescent="0.25">
      <c r="A6" s="1">
        <v>45562.661782407406</v>
      </c>
      <c r="B6" t="s">
        <v>16</v>
      </c>
      <c r="C6">
        <v>-65.847700000000003</v>
      </c>
      <c r="D6">
        <v>47.946800000000003</v>
      </c>
      <c r="E6">
        <v>480</v>
      </c>
      <c r="F6" t="s">
        <v>17</v>
      </c>
      <c r="G6">
        <v>20.5</v>
      </c>
      <c r="H6">
        <v>57.2</v>
      </c>
      <c r="I6" t="s">
        <v>28</v>
      </c>
      <c r="J6">
        <v>56</v>
      </c>
      <c r="K6">
        <v>197</v>
      </c>
      <c r="L6">
        <v>6</v>
      </c>
      <c r="M6" t="s">
        <v>19</v>
      </c>
      <c r="N6">
        <v>71.599999999999994</v>
      </c>
      <c r="O6">
        <v>270</v>
      </c>
      <c r="P6">
        <v>1</v>
      </c>
    </row>
    <row r="7" spans="1:16" x14ac:dyDescent="0.25">
      <c r="A7" s="1">
        <v>45552.251562500001</v>
      </c>
      <c r="B7" t="s">
        <v>16</v>
      </c>
      <c r="C7">
        <v>73.331199999999995</v>
      </c>
      <c r="D7">
        <v>46.583100000000002</v>
      </c>
      <c r="E7">
        <v>118</v>
      </c>
      <c r="F7" t="s">
        <v>21</v>
      </c>
      <c r="G7">
        <v>24.3</v>
      </c>
      <c r="H7">
        <v>61.8</v>
      </c>
      <c r="I7" t="s">
        <v>28</v>
      </c>
      <c r="J7">
        <v>56</v>
      </c>
      <c r="K7">
        <v>258</v>
      </c>
      <c r="L7">
        <v>10</v>
      </c>
      <c r="M7" t="s">
        <v>19</v>
      </c>
      <c r="N7">
        <v>66.8</v>
      </c>
      <c r="O7">
        <v>189</v>
      </c>
      <c r="P7">
        <v>0</v>
      </c>
    </row>
    <row r="8" spans="1:16" x14ac:dyDescent="0.25">
      <c r="A8" s="1">
        <v>45327.36037037037</v>
      </c>
      <c r="B8" t="s">
        <v>29</v>
      </c>
      <c r="C8">
        <v>27.930700000000002</v>
      </c>
      <c r="D8">
        <v>147.5317</v>
      </c>
      <c r="E8">
        <v>480</v>
      </c>
      <c r="F8" t="s">
        <v>17</v>
      </c>
      <c r="G8">
        <v>20.7</v>
      </c>
      <c r="H8">
        <v>75.400000000000006</v>
      </c>
      <c r="I8" t="s">
        <v>28</v>
      </c>
      <c r="J8">
        <v>32</v>
      </c>
      <c r="K8">
        <v>263</v>
      </c>
      <c r="L8">
        <v>3</v>
      </c>
      <c r="M8" t="s">
        <v>19</v>
      </c>
      <c r="N8">
        <v>73.3</v>
      </c>
      <c r="O8">
        <v>198</v>
      </c>
      <c r="P8">
        <v>1</v>
      </c>
    </row>
    <row r="9" spans="1:16" x14ac:dyDescent="0.25">
      <c r="A9" s="1">
        <v>45563.38082175926</v>
      </c>
      <c r="B9" t="s">
        <v>25</v>
      </c>
      <c r="C9">
        <v>46.564300000000003</v>
      </c>
      <c r="D9">
        <v>-126.5348</v>
      </c>
      <c r="E9">
        <v>222</v>
      </c>
      <c r="F9" t="s">
        <v>21</v>
      </c>
      <c r="G9">
        <v>23.3</v>
      </c>
      <c r="H9">
        <v>64.2</v>
      </c>
      <c r="I9" t="s">
        <v>18</v>
      </c>
      <c r="J9">
        <v>30</v>
      </c>
      <c r="K9">
        <v>459</v>
      </c>
      <c r="L9">
        <v>9</v>
      </c>
      <c r="M9" t="s">
        <v>27</v>
      </c>
      <c r="N9">
        <v>73.8</v>
      </c>
      <c r="O9">
        <v>253</v>
      </c>
      <c r="P9">
        <v>0</v>
      </c>
    </row>
    <row r="10" spans="1:16" x14ac:dyDescent="0.25">
      <c r="A10" s="1">
        <v>45309.352129629631</v>
      </c>
      <c r="B10" t="s">
        <v>25</v>
      </c>
      <c r="C10">
        <v>-83.673699999999997</v>
      </c>
      <c r="D10">
        <v>-31.712499999999999</v>
      </c>
      <c r="E10">
        <v>245</v>
      </c>
      <c r="F10" t="s">
        <v>26</v>
      </c>
      <c r="G10">
        <v>26.4</v>
      </c>
      <c r="H10">
        <v>77.2</v>
      </c>
      <c r="I10" t="s">
        <v>28</v>
      </c>
      <c r="J10">
        <v>14</v>
      </c>
      <c r="K10">
        <v>183</v>
      </c>
      <c r="L10">
        <v>2</v>
      </c>
      <c r="M10" t="s">
        <v>19</v>
      </c>
      <c r="N10">
        <v>69.599999999999994</v>
      </c>
      <c r="O10">
        <v>206</v>
      </c>
      <c r="P10">
        <v>0</v>
      </c>
    </row>
    <row r="11" spans="1:16" x14ac:dyDescent="0.25">
      <c r="A11" s="1">
        <v>45605.033634259256</v>
      </c>
      <c r="B11" t="s">
        <v>30</v>
      </c>
      <c r="C11">
        <v>54.168300000000002</v>
      </c>
      <c r="D11">
        <v>-135.26759999999999</v>
      </c>
      <c r="E11">
        <v>389</v>
      </c>
      <c r="F11" t="s">
        <v>21</v>
      </c>
      <c r="G11">
        <v>21.9</v>
      </c>
      <c r="H11">
        <v>57.3</v>
      </c>
      <c r="I11" t="s">
        <v>28</v>
      </c>
      <c r="J11">
        <v>52</v>
      </c>
      <c r="K11">
        <v>127</v>
      </c>
      <c r="L11">
        <v>7</v>
      </c>
      <c r="M11" t="s">
        <v>31</v>
      </c>
      <c r="N11">
        <v>63.1</v>
      </c>
      <c r="O11">
        <v>224</v>
      </c>
      <c r="P11">
        <v>0</v>
      </c>
    </row>
    <row r="12" spans="1:16" x14ac:dyDescent="0.25">
      <c r="A12" s="1">
        <v>45300.972025462965</v>
      </c>
      <c r="B12" t="s">
        <v>25</v>
      </c>
      <c r="C12">
        <v>82.963300000000004</v>
      </c>
      <c r="D12">
        <v>-154.5274</v>
      </c>
      <c r="E12">
        <v>319</v>
      </c>
      <c r="F12" t="s">
        <v>17</v>
      </c>
      <c r="G12">
        <v>22</v>
      </c>
      <c r="H12">
        <v>53.5</v>
      </c>
      <c r="I12" t="s">
        <v>28</v>
      </c>
      <c r="J12">
        <v>28</v>
      </c>
      <c r="K12">
        <v>360</v>
      </c>
      <c r="L12">
        <v>4</v>
      </c>
      <c r="M12" t="s">
        <v>19</v>
      </c>
      <c r="N12">
        <v>69.8</v>
      </c>
      <c r="O12">
        <v>171</v>
      </c>
      <c r="P12">
        <v>1</v>
      </c>
    </row>
    <row r="13" spans="1:16" x14ac:dyDescent="0.25">
      <c r="A13" s="1">
        <v>45324.936296296299</v>
      </c>
      <c r="B13" t="s">
        <v>24</v>
      </c>
      <c r="C13">
        <v>-25.276800000000001</v>
      </c>
      <c r="D13">
        <v>156.12620000000001</v>
      </c>
      <c r="E13">
        <v>234</v>
      </c>
      <c r="F13" t="s">
        <v>26</v>
      </c>
      <c r="G13">
        <v>29.7</v>
      </c>
      <c r="H13">
        <v>63.6</v>
      </c>
      <c r="I13" t="s">
        <v>18</v>
      </c>
      <c r="J13">
        <v>13</v>
      </c>
      <c r="K13">
        <v>406</v>
      </c>
      <c r="L13">
        <v>10</v>
      </c>
      <c r="M13" t="s">
        <v>27</v>
      </c>
      <c r="N13">
        <v>85.5</v>
      </c>
      <c r="O13">
        <v>238</v>
      </c>
      <c r="P13">
        <v>0</v>
      </c>
    </row>
    <row r="14" spans="1:16" x14ac:dyDescent="0.25">
      <c r="A14" s="1">
        <v>45339.885208333333</v>
      </c>
      <c r="B14" t="s">
        <v>32</v>
      </c>
      <c r="C14">
        <v>-65.525999999999996</v>
      </c>
      <c r="D14">
        <v>-3.0202</v>
      </c>
      <c r="E14">
        <v>154</v>
      </c>
      <c r="F14" t="s">
        <v>21</v>
      </c>
      <c r="G14">
        <v>21.5</v>
      </c>
      <c r="H14">
        <v>74.2</v>
      </c>
      <c r="I14" t="s">
        <v>18</v>
      </c>
      <c r="J14">
        <v>38</v>
      </c>
      <c r="K14">
        <v>215</v>
      </c>
      <c r="L14">
        <v>3</v>
      </c>
      <c r="M14" t="s">
        <v>23</v>
      </c>
      <c r="N14">
        <v>84.4</v>
      </c>
      <c r="O14">
        <v>114</v>
      </c>
      <c r="P14">
        <v>0</v>
      </c>
    </row>
    <row r="15" spans="1:16" x14ac:dyDescent="0.25">
      <c r="A15" s="1">
        <v>45355.281134259261</v>
      </c>
      <c r="B15" t="s">
        <v>30</v>
      </c>
      <c r="C15">
        <v>-26.183599999999998</v>
      </c>
      <c r="D15">
        <v>-30.364100000000001</v>
      </c>
      <c r="E15">
        <v>348</v>
      </c>
      <c r="F15" t="s">
        <v>26</v>
      </c>
      <c r="G15">
        <v>27.3</v>
      </c>
      <c r="H15">
        <v>71.599999999999994</v>
      </c>
      <c r="I15" t="s">
        <v>18</v>
      </c>
      <c r="J15">
        <v>30</v>
      </c>
      <c r="K15">
        <v>211</v>
      </c>
      <c r="L15">
        <v>2</v>
      </c>
      <c r="M15" t="s">
        <v>19</v>
      </c>
      <c r="N15">
        <v>96.4</v>
      </c>
      <c r="O15">
        <v>115</v>
      </c>
      <c r="P15">
        <v>0</v>
      </c>
    </row>
    <row r="16" spans="1:16" x14ac:dyDescent="0.25">
      <c r="A16" s="1">
        <v>45532.513356481482</v>
      </c>
      <c r="B16" t="s">
        <v>33</v>
      </c>
      <c r="C16">
        <v>2.6709000000000001</v>
      </c>
      <c r="D16">
        <v>-80.887900000000002</v>
      </c>
      <c r="E16">
        <v>163</v>
      </c>
      <c r="F16" t="s">
        <v>21</v>
      </c>
      <c r="G16">
        <v>25.1</v>
      </c>
      <c r="H16">
        <v>76.8</v>
      </c>
      <c r="I16" t="s">
        <v>22</v>
      </c>
      <c r="J16">
        <v>54</v>
      </c>
      <c r="K16">
        <v>320</v>
      </c>
      <c r="L16">
        <v>5</v>
      </c>
      <c r="M16" t="s">
        <v>23</v>
      </c>
      <c r="N16">
        <v>93.2</v>
      </c>
      <c r="O16">
        <v>231</v>
      </c>
      <c r="P16">
        <v>1</v>
      </c>
    </row>
    <row r="17" spans="1:16" x14ac:dyDescent="0.25">
      <c r="A17" s="1">
        <v>45295.953275462962</v>
      </c>
      <c r="B17" t="s">
        <v>34</v>
      </c>
      <c r="C17">
        <v>-22.479299999999999</v>
      </c>
      <c r="D17">
        <v>-54.514299999999999</v>
      </c>
      <c r="E17">
        <v>130</v>
      </c>
      <c r="F17" t="s">
        <v>17</v>
      </c>
      <c r="G17">
        <v>23.7</v>
      </c>
      <c r="H17">
        <v>68.099999999999994</v>
      </c>
      <c r="I17" t="s">
        <v>28</v>
      </c>
      <c r="J17">
        <v>45</v>
      </c>
      <c r="K17">
        <v>487</v>
      </c>
      <c r="L17">
        <v>4</v>
      </c>
      <c r="M17" t="s">
        <v>27</v>
      </c>
      <c r="N17">
        <v>84.1</v>
      </c>
      <c r="O17">
        <v>256</v>
      </c>
      <c r="P17">
        <v>1</v>
      </c>
    </row>
    <row r="18" spans="1:16" x14ac:dyDescent="0.25">
      <c r="A18" s="1">
        <v>45595.744479166664</v>
      </c>
      <c r="B18" t="s">
        <v>29</v>
      </c>
      <c r="C18">
        <v>-34.535299999999999</v>
      </c>
      <c r="D18">
        <v>-40.861699999999999</v>
      </c>
      <c r="E18">
        <v>391</v>
      </c>
      <c r="F18" t="s">
        <v>17</v>
      </c>
      <c r="G18">
        <v>21.6</v>
      </c>
      <c r="H18">
        <v>72.5</v>
      </c>
      <c r="I18" t="s">
        <v>28</v>
      </c>
      <c r="J18">
        <v>58</v>
      </c>
      <c r="K18">
        <v>298</v>
      </c>
      <c r="L18">
        <v>7</v>
      </c>
      <c r="M18" t="s">
        <v>27</v>
      </c>
      <c r="N18">
        <v>61.5</v>
      </c>
      <c r="O18">
        <v>170</v>
      </c>
      <c r="P18">
        <v>1</v>
      </c>
    </row>
    <row r="19" spans="1:16" x14ac:dyDescent="0.25">
      <c r="A19" s="1">
        <v>45488.654189814813</v>
      </c>
      <c r="B19" t="s">
        <v>16</v>
      </c>
      <c r="C19">
        <v>-8.7104999999999997</v>
      </c>
      <c r="D19">
        <v>-17.834700000000002</v>
      </c>
      <c r="E19">
        <v>344</v>
      </c>
      <c r="F19" t="s">
        <v>17</v>
      </c>
      <c r="G19">
        <v>21.4</v>
      </c>
      <c r="H19">
        <v>53.5</v>
      </c>
      <c r="I19" t="s">
        <v>18</v>
      </c>
      <c r="J19">
        <v>23</v>
      </c>
      <c r="K19">
        <v>461</v>
      </c>
      <c r="L19">
        <v>9</v>
      </c>
      <c r="M19" t="s">
        <v>19</v>
      </c>
      <c r="N19">
        <v>93.4</v>
      </c>
      <c r="O19">
        <v>106</v>
      </c>
      <c r="P19">
        <v>1</v>
      </c>
    </row>
    <row r="20" spans="1:16" x14ac:dyDescent="0.25">
      <c r="A20" s="1">
        <v>45310.279513888891</v>
      </c>
      <c r="B20" t="s">
        <v>34</v>
      </c>
      <c r="C20">
        <v>14.6629</v>
      </c>
      <c r="D20">
        <v>116.06959999999999</v>
      </c>
      <c r="E20">
        <v>409</v>
      </c>
      <c r="F20" t="s">
        <v>17</v>
      </c>
      <c r="G20">
        <v>27.5</v>
      </c>
      <c r="H20">
        <v>66.599999999999994</v>
      </c>
      <c r="I20" t="s">
        <v>18</v>
      </c>
      <c r="J20">
        <v>29</v>
      </c>
      <c r="K20">
        <v>492</v>
      </c>
      <c r="L20">
        <v>3</v>
      </c>
      <c r="M20" t="s">
        <v>19</v>
      </c>
      <c r="N20">
        <v>72.599999999999994</v>
      </c>
      <c r="O20">
        <v>204</v>
      </c>
      <c r="P20">
        <v>1</v>
      </c>
    </row>
    <row r="21" spans="1:16" x14ac:dyDescent="0.25">
      <c r="A21" s="1">
        <v>45410.891365740739</v>
      </c>
      <c r="B21" t="s">
        <v>24</v>
      </c>
      <c r="C21">
        <v>75.774299999999997</v>
      </c>
      <c r="D21">
        <v>108.9425</v>
      </c>
      <c r="E21">
        <v>457</v>
      </c>
      <c r="F21" t="s">
        <v>21</v>
      </c>
      <c r="G21">
        <v>25.5</v>
      </c>
      <c r="H21">
        <v>75.900000000000006</v>
      </c>
      <c r="I21" t="s">
        <v>28</v>
      </c>
      <c r="J21">
        <v>21</v>
      </c>
      <c r="K21">
        <v>315</v>
      </c>
      <c r="L21">
        <v>3</v>
      </c>
      <c r="M21" t="s">
        <v>27</v>
      </c>
      <c r="N21">
        <v>83.4</v>
      </c>
      <c r="O21">
        <v>248</v>
      </c>
      <c r="P21">
        <v>0</v>
      </c>
    </row>
    <row r="22" spans="1:16" x14ac:dyDescent="0.25">
      <c r="A22" s="1">
        <v>45357.833634259259</v>
      </c>
      <c r="B22" t="s">
        <v>34</v>
      </c>
      <c r="C22">
        <v>50.341900000000003</v>
      </c>
      <c r="D22">
        <v>108.5647</v>
      </c>
      <c r="E22">
        <v>207</v>
      </c>
      <c r="F22" t="s">
        <v>26</v>
      </c>
      <c r="G22">
        <v>29.3</v>
      </c>
      <c r="H22">
        <v>59.4</v>
      </c>
      <c r="I22" t="s">
        <v>18</v>
      </c>
      <c r="J22">
        <v>31</v>
      </c>
      <c r="K22">
        <v>174</v>
      </c>
      <c r="L22">
        <v>5</v>
      </c>
      <c r="M22" t="s">
        <v>31</v>
      </c>
      <c r="N22">
        <v>65.900000000000006</v>
      </c>
      <c r="O22">
        <v>195</v>
      </c>
      <c r="P22">
        <v>0</v>
      </c>
    </row>
    <row r="23" spans="1:16" x14ac:dyDescent="0.25">
      <c r="A23" s="1">
        <v>45616.693136574075</v>
      </c>
      <c r="B23" t="s">
        <v>32</v>
      </c>
      <c r="C23">
        <v>-6.6729000000000003</v>
      </c>
      <c r="D23">
        <v>132.67269999999999</v>
      </c>
      <c r="E23">
        <v>155</v>
      </c>
      <c r="F23" t="s">
        <v>26</v>
      </c>
      <c r="G23">
        <v>19.399999999999999</v>
      </c>
      <c r="H23">
        <v>53.2</v>
      </c>
      <c r="I23" t="s">
        <v>22</v>
      </c>
      <c r="J23">
        <v>20</v>
      </c>
      <c r="K23">
        <v>152</v>
      </c>
      <c r="L23">
        <v>1</v>
      </c>
      <c r="M23" t="s">
        <v>31</v>
      </c>
      <c r="N23">
        <v>99.3</v>
      </c>
      <c r="O23">
        <v>235</v>
      </c>
      <c r="P23">
        <v>1</v>
      </c>
    </row>
    <row r="24" spans="1:16" x14ac:dyDescent="0.25">
      <c r="A24" s="1">
        <v>45298.384351851855</v>
      </c>
      <c r="B24" t="s">
        <v>20</v>
      </c>
      <c r="C24">
        <v>-74.1751</v>
      </c>
      <c r="D24">
        <v>-102.73309999999999</v>
      </c>
      <c r="E24">
        <v>314</v>
      </c>
      <c r="F24" t="s">
        <v>26</v>
      </c>
      <c r="G24">
        <v>19.899999999999999</v>
      </c>
      <c r="H24">
        <v>64.8</v>
      </c>
      <c r="I24" t="s">
        <v>18</v>
      </c>
      <c r="J24">
        <v>57</v>
      </c>
      <c r="K24">
        <v>396</v>
      </c>
      <c r="L24">
        <v>10</v>
      </c>
      <c r="M24" t="s">
        <v>23</v>
      </c>
      <c r="N24">
        <v>78.599999999999994</v>
      </c>
      <c r="O24">
        <v>135</v>
      </c>
      <c r="P24">
        <v>0</v>
      </c>
    </row>
    <row r="25" spans="1:16" x14ac:dyDescent="0.25">
      <c r="A25" s="1">
        <v>45560.633472222224</v>
      </c>
      <c r="B25" t="s">
        <v>24</v>
      </c>
      <c r="C25">
        <v>-33.226399999999998</v>
      </c>
      <c r="D25">
        <v>169.61869999999999</v>
      </c>
      <c r="E25">
        <v>156</v>
      </c>
      <c r="F25" t="s">
        <v>21</v>
      </c>
      <c r="G25">
        <v>27.2</v>
      </c>
      <c r="H25">
        <v>74.400000000000006</v>
      </c>
      <c r="I25" t="s">
        <v>28</v>
      </c>
      <c r="J25">
        <v>35</v>
      </c>
      <c r="K25">
        <v>354</v>
      </c>
      <c r="L25">
        <v>2</v>
      </c>
      <c r="M25" t="s">
        <v>23</v>
      </c>
      <c r="N25">
        <v>63.1</v>
      </c>
      <c r="O25">
        <v>282</v>
      </c>
      <c r="P25">
        <v>0</v>
      </c>
    </row>
    <row r="26" spans="1:16" x14ac:dyDescent="0.25">
      <c r="A26" s="1">
        <v>45333.562708333331</v>
      </c>
      <c r="B26" t="s">
        <v>30</v>
      </c>
      <c r="C26">
        <v>-34.446899999999999</v>
      </c>
      <c r="D26">
        <v>93.158500000000004</v>
      </c>
      <c r="E26">
        <v>119</v>
      </c>
      <c r="F26" t="s">
        <v>21</v>
      </c>
      <c r="G26">
        <v>28.1</v>
      </c>
      <c r="H26">
        <v>72.400000000000006</v>
      </c>
      <c r="I26" t="s">
        <v>18</v>
      </c>
      <c r="J26">
        <v>41</v>
      </c>
      <c r="K26">
        <v>176</v>
      </c>
      <c r="L26">
        <v>2</v>
      </c>
      <c r="M26" t="s">
        <v>19</v>
      </c>
      <c r="N26">
        <v>60.9</v>
      </c>
      <c r="O26">
        <v>238</v>
      </c>
      <c r="P26">
        <v>0</v>
      </c>
    </row>
    <row r="27" spans="1:16" x14ac:dyDescent="0.25">
      <c r="A27" s="1">
        <v>45616.473761574074</v>
      </c>
      <c r="B27" t="s">
        <v>33</v>
      </c>
      <c r="C27">
        <v>-13.510999999999999</v>
      </c>
      <c r="D27">
        <v>141.84540000000001</v>
      </c>
      <c r="E27">
        <v>112</v>
      </c>
      <c r="F27" t="s">
        <v>21</v>
      </c>
      <c r="G27">
        <v>19.7</v>
      </c>
      <c r="H27">
        <v>76.599999999999994</v>
      </c>
      <c r="I27" t="s">
        <v>18</v>
      </c>
      <c r="J27">
        <v>22</v>
      </c>
      <c r="K27">
        <v>121</v>
      </c>
      <c r="L27">
        <v>3</v>
      </c>
      <c r="M27" t="s">
        <v>27</v>
      </c>
      <c r="N27">
        <v>80.900000000000006</v>
      </c>
      <c r="O27">
        <v>262</v>
      </c>
      <c r="P27">
        <v>0</v>
      </c>
    </row>
    <row r="28" spans="1:16" x14ac:dyDescent="0.25">
      <c r="A28" s="1">
        <v>45468.101678240739</v>
      </c>
      <c r="B28" t="s">
        <v>33</v>
      </c>
      <c r="C28">
        <v>-22.427</v>
      </c>
      <c r="D28">
        <v>108.2306</v>
      </c>
      <c r="E28">
        <v>435</v>
      </c>
      <c r="F28" t="s">
        <v>26</v>
      </c>
      <c r="G28">
        <v>25.8</v>
      </c>
      <c r="H28">
        <v>78.599999999999994</v>
      </c>
      <c r="I28" t="s">
        <v>22</v>
      </c>
      <c r="J28">
        <v>22</v>
      </c>
      <c r="K28">
        <v>220</v>
      </c>
      <c r="L28">
        <v>7</v>
      </c>
      <c r="M28" t="s">
        <v>27</v>
      </c>
      <c r="N28">
        <v>90.8</v>
      </c>
      <c r="O28">
        <v>101</v>
      </c>
      <c r="P28">
        <v>1</v>
      </c>
    </row>
    <row r="29" spans="1:16" x14ac:dyDescent="0.25">
      <c r="A29" s="1">
        <v>45468.000833333332</v>
      </c>
      <c r="B29" t="s">
        <v>25</v>
      </c>
      <c r="C29">
        <v>43.335299999999997</v>
      </c>
      <c r="D29">
        <v>-12.068300000000001</v>
      </c>
      <c r="E29">
        <v>422</v>
      </c>
      <c r="F29" t="s">
        <v>26</v>
      </c>
      <c r="G29">
        <v>20</v>
      </c>
      <c r="H29">
        <v>62.9</v>
      </c>
      <c r="I29" t="s">
        <v>22</v>
      </c>
      <c r="J29">
        <v>14</v>
      </c>
      <c r="K29">
        <v>184</v>
      </c>
      <c r="L29">
        <v>9</v>
      </c>
      <c r="M29" t="s">
        <v>27</v>
      </c>
      <c r="N29">
        <v>64</v>
      </c>
      <c r="O29">
        <v>248</v>
      </c>
      <c r="P29">
        <v>1</v>
      </c>
    </row>
    <row r="30" spans="1:16" x14ac:dyDescent="0.25">
      <c r="A30" s="1">
        <v>45414.106898148151</v>
      </c>
      <c r="B30" t="s">
        <v>29</v>
      </c>
      <c r="C30">
        <v>-66.7517</v>
      </c>
      <c r="D30">
        <v>161.44999999999999</v>
      </c>
      <c r="E30">
        <v>353</v>
      </c>
      <c r="F30" t="s">
        <v>21</v>
      </c>
      <c r="G30">
        <v>20.5</v>
      </c>
      <c r="H30">
        <v>52</v>
      </c>
      <c r="I30" t="s">
        <v>22</v>
      </c>
      <c r="J30">
        <v>26</v>
      </c>
      <c r="K30">
        <v>392</v>
      </c>
      <c r="L30">
        <v>7</v>
      </c>
      <c r="M30" t="s">
        <v>27</v>
      </c>
      <c r="N30">
        <v>76.400000000000006</v>
      </c>
      <c r="O30">
        <v>155</v>
      </c>
      <c r="P30">
        <v>1</v>
      </c>
    </row>
    <row r="31" spans="1:16" x14ac:dyDescent="0.25">
      <c r="A31" s="1">
        <v>45514.003240740742</v>
      </c>
      <c r="B31" t="s">
        <v>32</v>
      </c>
      <c r="C31">
        <v>-65.734899999999996</v>
      </c>
      <c r="D31">
        <v>-173.30109999999999</v>
      </c>
      <c r="E31">
        <v>299</v>
      </c>
      <c r="F31" t="s">
        <v>17</v>
      </c>
      <c r="G31">
        <v>23.9</v>
      </c>
      <c r="H31">
        <v>50.1</v>
      </c>
      <c r="I31" t="s">
        <v>22</v>
      </c>
      <c r="J31">
        <v>17</v>
      </c>
      <c r="K31">
        <v>315</v>
      </c>
      <c r="L31">
        <v>6</v>
      </c>
      <c r="M31" t="s">
        <v>19</v>
      </c>
      <c r="N31">
        <v>88.3</v>
      </c>
      <c r="O31">
        <v>252</v>
      </c>
      <c r="P31">
        <v>1</v>
      </c>
    </row>
    <row r="32" spans="1:16" x14ac:dyDescent="0.25">
      <c r="A32" s="1">
        <v>45425.139131944445</v>
      </c>
      <c r="B32" t="s">
        <v>35</v>
      </c>
      <c r="C32">
        <v>-55.476799999999997</v>
      </c>
      <c r="D32">
        <v>18.255099999999999</v>
      </c>
      <c r="E32">
        <v>261</v>
      </c>
      <c r="F32" t="s">
        <v>17</v>
      </c>
      <c r="G32">
        <v>22.5</v>
      </c>
      <c r="H32">
        <v>78.400000000000006</v>
      </c>
      <c r="I32" t="s">
        <v>28</v>
      </c>
      <c r="J32">
        <v>41</v>
      </c>
      <c r="K32">
        <v>209</v>
      </c>
      <c r="L32">
        <v>6</v>
      </c>
      <c r="M32" t="s">
        <v>31</v>
      </c>
      <c r="N32">
        <v>71.8</v>
      </c>
      <c r="O32">
        <v>240</v>
      </c>
      <c r="P32">
        <v>1</v>
      </c>
    </row>
    <row r="33" spans="1:16" x14ac:dyDescent="0.25">
      <c r="A33" s="1">
        <v>45628.356099537035</v>
      </c>
      <c r="B33" t="s">
        <v>32</v>
      </c>
      <c r="C33">
        <v>5.9179000000000004</v>
      </c>
      <c r="D33">
        <v>74.825400000000002</v>
      </c>
      <c r="E33">
        <v>425</v>
      </c>
      <c r="F33" t="s">
        <v>17</v>
      </c>
      <c r="G33">
        <v>19.3</v>
      </c>
      <c r="H33">
        <v>51.1</v>
      </c>
      <c r="I33" t="s">
        <v>22</v>
      </c>
      <c r="J33">
        <v>39</v>
      </c>
      <c r="K33">
        <v>235</v>
      </c>
      <c r="L33">
        <v>9</v>
      </c>
      <c r="M33" t="s">
        <v>31</v>
      </c>
      <c r="N33">
        <v>88.3</v>
      </c>
      <c r="O33">
        <v>242</v>
      </c>
      <c r="P33">
        <v>1</v>
      </c>
    </row>
    <row r="34" spans="1:16" x14ac:dyDescent="0.25">
      <c r="A34" s="1">
        <v>45334.266284722224</v>
      </c>
      <c r="B34" t="s">
        <v>16</v>
      </c>
      <c r="C34">
        <v>49.392899999999997</v>
      </c>
      <c r="D34">
        <v>-47.580500000000001</v>
      </c>
      <c r="E34">
        <v>369</v>
      </c>
      <c r="F34" t="s">
        <v>26</v>
      </c>
      <c r="G34">
        <v>26.3</v>
      </c>
      <c r="H34">
        <v>52.1</v>
      </c>
      <c r="I34" t="s">
        <v>18</v>
      </c>
      <c r="J34">
        <v>48</v>
      </c>
      <c r="K34">
        <v>104</v>
      </c>
      <c r="L34">
        <v>7</v>
      </c>
      <c r="M34" t="s">
        <v>19</v>
      </c>
      <c r="N34">
        <v>66.7</v>
      </c>
      <c r="O34">
        <v>220</v>
      </c>
      <c r="P34">
        <v>0</v>
      </c>
    </row>
    <row r="35" spans="1:16" x14ac:dyDescent="0.25">
      <c r="A35" s="1">
        <v>45406.262060185189</v>
      </c>
      <c r="B35" t="s">
        <v>24</v>
      </c>
      <c r="C35">
        <v>80.315799999999996</v>
      </c>
      <c r="D35">
        <v>70.765000000000001</v>
      </c>
      <c r="E35">
        <v>223</v>
      </c>
      <c r="F35" t="s">
        <v>17</v>
      </c>
      <c r="G35">
        <v>24</v>
      </c>
      <c r="H35">
        <v>60.2</v>
      </c>
      <c r="I35" t="s">
        <v>22</v>
      </c>
      <c r="J35">
        <v>45</v>
      </c>
      <c r="K35">
        <v>292</v>
      </c>
      <c r="L35">
        <v>6</v>
      </c>
      <c r="M35" t="s">
        <v>23</v>
      </c>
      <c r="N35">
        <v>78.400000000000006</v>
      </c>
      <c r="O35">
        <v>205</v>
      </c>
      <c r="P35">
        <v>1</v>
      </c>
    </row>
    <row r="36" spans="1:16" x14ac:dyDescent="0.25">
      <c r="A36" s="1">
        <v>45632.795289351852</v>
      </c>
      <c r="B36" t="s">
        <v>30</v>
      </c>
      <c r="C36">
        <v>-19.884699999999999</v>
      </c>
      <c r="D36">
        <v>42.5062</v>
      </c>
      <c r="E36">
        <v>200</v>
      </c>
      <c r="F36" t="s">
        <v>26</v>
      </c>
      <c r="G36">
        <v>28.1</v>
      </c>
      <c r="H36">
        <v>72.099999999999994</v>
      </c>
      <c r="I36" t="s">
        <v>18</v>
      </c>
      <c r="J36">
        <v>28</v>
      </c>
      <c r="K36">
        <v>129</v>
      </c>
      <c r="L36">
        <v>9</v>
      </c>
      <c r="M36" t="s">
        <v>19</v>
      </c>
      <c r="N36">
        <v>74.3</v>
      </c>
      <c r="O36">
        <v>134</v>
      </c>
      <c r="P36">
        <v>0</v>
      </c>
    </row>
    <row r="37" spans="1:16" x14ac:dyDescent="0.25">
      <c r="A37" s="1">
        <v>45412.495335648149</v>
      </c>
      <c r="B37" t="s">
        <v>25</v>
      </c>
      <c r="C37">
        <v>5.4554999999999998</v>
      </c>
      <c r="D37">
        <v>-147.5455</v>
      </c>
      <c r="E37">
        <v>466</v>
      </c>
      <c r="F37" t="s">
        <v>21</v>
      </c>
      <c r="G37">
        <v>26.1</v>
      </c>
      <c r="H37">
        <v>72.099999999999994</v>
      </c>
      <c r="I37" t="s">
        <v>18</v>
      </c>
      <c r="J37">
        <v>54</v>
      </c>
      <c r="K37">
        <v>475</v>
      </c>
      <c r="L37">
        <v>9</v>
      </c>
      <c r="M37" t="s">
        <v>31</v>
      </c>
      <c r="N37">
        <v>83.4</v>
      </c>
      <c r="O37">
        <v>222</v>
      </c>
      <c r="P37">
        <v>0</v>
      </c>
    </row>
    <row r="38" spans="1:16" x14ac:dyDescent="0.25">
      <c r="A38" s="1">
        <v>45554.954062500001</v>
      </c>
      <c r="B38" t="s">
        <v>32</v>
      </c>
      <c r="C38">
        <v>-19.2577</v>
      </c>
      <c r="D38">
        <v>66.744</v>
      </c>
      <c r="E38">
        <v>474</v>
      </c>
      <c r="F38" t="s">
        <v>21</v>
      </c>
      <c r="G38">
        <v>27.7</v>
      </c>
      <c r="H38">
        <v>71.2</v>
      </c>
      <c r="I38" t="s">
        <v>22</v>
      </c>
      <c r="J38">
        <v>50</v>
      </c>
      <c r="K38">
        <v>311</v>
      </c>
      <c r="L38">
        <v>3</v>
      </c>
      <c r="M38" t="s">
        <v>31</v>
      </c>
      <c r="N38">
        <v>91.6</v>
      </c>
      <c r="O38">
        <v>266</v>
      </c>
      <c r="P38">
        <v>1</v>
      </c>
    </row>
    <row r="39" spans="1:16" x14ac:dyDescent="0.25">
      <c r="A39" s="1">
        <v>45648.63071759259</v>
      </c>
      <c r="B39" t="s">
        <v>20</v>
      </c>
      <c r="C39">
        <v>-79.0792</v>
      </c>
      <c r="D39">
        <v>-16.342300000000002</v>
      </c>
      <c r="E39">
        <v>490</v>
      </c>
      <c r="F39" t="s">
        <v>26</v>
      </c>
      <c r="G39">
        <v>23.1</v>
      </c>
      <c r="H39">
        <v>75.2</v>
      </c>
      <c r="I39" t="s">
        <v>22</v>
      </c>
      <c r="J39">
        <v>14</v>
      </c>
      <c r="K39">
        <v>460</v>
      </c>
      <c r="L39">
        <v>7</v>
      </c>
      <c r="M39" t="s">
        <v>19</v>
      </c>
      <c r="N39">
        <v>87.8</v>
      </c>
      <c r="O39">
        <v>261</v>
      </c>
      <c r="P39">
        <v>1</v>
      </c>
    </row>
    <row r="40" spans="1:16" x14ac:dyDescent="0.25">
      <c r="A40" s="1">
        <v>45519.239629629628</v>
      </c>
      <c r="B40" t="s">
        <v>34</v>
      </c>
      <c r="C40">
        <v>-1.6787000000000001</v>
      </c>
      <c r="D40">
        <v>3.2441</v>
      </c>
      <c r="E40">
        <v>126</v>
      </c>
      <c r="F40" t="s">
        <v>26</v>
      </c>
      <c r="G40">
        <v>29.6</v>
      </c>
      <c r="H40">
        <v>67.599999999999994</v>
      </c>
      <c r="I40" t="s">
        <v>18</v>
      </c>
      <c r="J40">
        <v>19</v>
      </c>
      <c r="K40">
        <v>201</v>
      </c>
      <c r="L40">
        <v>9</v>
      </c>
      <c r="M40" t="s">
        <v>23</v>
      </c>
      <c r="N40">
        <v>84.1</v>
      </c>
      <c r="O40">
        <v>255</v>
      </c>
      <c r="P40">
        <v>0</v>
      </c>
    </row>
    <row r="41" spans="1:16" x14ac:dyDescent="0.25">
      <c r="A41" s="1">
        <v>45367.470625000002</v>
      </c>
      <c r="B41" t="s">
        <v>16</v>
      </c>
      <c r="C41">
        <v>-8.2431000000000001</v>
      </c>
      <c r="D41">
        <v>-12.495900000000001</v>
      </c>
      <c r="E41">
        <v>164</v>
      </c>
      <c r="F41" t="s">
        <v>21</v>
      </c>
      <c r="G41">
        <v>18.2</v>
      </c>
      <c r="H41">
        <v>76.400000000000006</v>
      </c>
      <c r="I41" t="s">
        <v>28</v>
      </c>
      <c r="J41">
        <v>45</v>
      </c>
      <c r="K41">
        <v>466</v>
      </c>
      <c r="L41">
        <v>7</v>
      </c>
      <c r="M41" t="s">
        <v>19</v>
      </c>
      <c r="N41">
        <v>98.1</v>
      </c>
      <c r="O41">
        <v>196</v>
      </c>
      <c r="P41">
        <v>0</v>
      </c>
    </row>
    <row r="42" spans="1:16" x14ac:dyDescent="0.25">
      <c r="A42" s="1">
        <v>45654.486747685187</v>
      </c>
      <c r="B42" t="s">
        <v>30</v>
      </c>
      <c r="C42">
        <v>-30.0701</v>
      </c>
      <c r="D42">
        <v>135.6396</v>
      </c>
      <c r="E42">
        <v>477</v>
      </c>
      <c r="F42" t="s">
        <v>17</v>
      </c>
      <c r="G42">
        <v>19.2</v>
      </c>
      <c r="H42">
        <v>79.400000000000006</v>
      </c>
      <c r="I42" t="s">
        <v>28</v>
      </c>
      <c r="J42">
        <v>12</v>
      </c>
      <c r="K42">
        <v>310</v>
      </c>
      <c r="L42">
        <v>5</v>
      </c>
      <c r="M42" t="s">
        <v>31</v>
      </c>
      <c r="N42">
        <v>63.7</v>
      </c>
      <c r="O42">
        <v>129</v>
      </c>
      <c r="P42">
        <v>1</v>
      </c>
    </row>
    <row r="43" spans="1:16" x14ac:dyDescent="0.25">
      <c r="A43" s="1">
        <v>45326.788865740738</v>
      </c>
      <c r="B43" t="s">
        <v>34</v>
      </c>
      <c r="C43">
        <v>61.8444</v>
      </c>
      <c r="D43">
        <v>107.48350000000001</v>
      </c>
      <c r="E43">
        <v>245</v>
      </c>
      <c r="F43" t="s">
        <v>21</v>
      </c>
      <c r="G43">
        <v>24.2</v>
      </c>
      <c r="H43">
        <v>56.9</v>
      </c>
      <c r="I43" t="s">
        <v>18</v>
      </c>
      <c r="J43">
        <v>39</v>
      </c>
      <c r="K43">
        <v>379</v>
      </c>
      <c r="L43">
        <v>2</v>
      </c>
      <c r="M43" t="s">
        <v>27</v>
      </c>
      <c r="N43">
        <v>66.400000000000006</v>
      </c>
      <c r="O43">
        <v>183</v>
      </c>
      <c r="P43">
        <v>0</v>
      </c>
    </row>
    <row r="44" spans="1:16" x14ac:dyDescent="0.25">
      <c r="A44" s="1">
        <v>45482.092291666668</v>
      </c>
      <c r="B44" t="s">
        <v>34</v>
      </c>
      <c r="C44">
        <v>40.783999999999999</v>
      </c>
      <c r="D44">
        <v>77.2346</v>
      </c>
      <c r="E44">
        <v>172</v>
      </c>
      <c r="F44" t="s">
        <v>17</v>
      </c>
      <c r="G44">
        <v>25.2</v>
      </c>
      <c r="H44">
        <v>67.599999999999994</v>
      </c>
      <c r="I44" t="s">
        <v>28</v>
      </c>
      <c r="J44">
        <v>40</v>
      </c>
      <c r="K44">
        <v>274</v>
      </c>
      <c r="L44">
        <v>7</v>
      </c>
      <c r="M44" t="s">
        <v>23</v>
      </c>
      <c r="N44">
        <v>66.3</v>
      </c>
      <c r="O44">
        <v>170</v>
      </c>
      <c r="P44">
        <v>1</v>
      </c>
    </row>
    <row r="45" spans="1:16" x14ac:dyDescent="0.25">
      <c r="A45" s="1">
        <v>45627.996018518519</v>
      </c>
      <c r="B45" t="s">
        <v>16</v>
      </c>
      <c r="C45">
        <v>-68.351500000000001</v>
      </c>
      <c r="D45">
        <v>158.251</v>
      </c>
      <c r="E45">
        <v>206</v>
      </c>
      <c r="F45" t="s">
        <v>17</v>
      </c>
      <c r="G45">
        <v>20.7</v>
      </c>
      <c r="H45">
        <v>77.5</v>
      </c>
      <c r="I45" t="s">
        <v>28</v>
      </c>
      <c r="J45">
        <v>15</v>
      </c>
      <c r="K45">
        <v>308</v>
      </c>
      <c r="L45">
        <v>2</v>
      </c>
      <c r="M45" t="s">
        <v>31</v>
      </c>
      <c r="N45">
        <v>63.9</v>
      </c>
      <c r="O45">
        <v>209</v>
      </c>
      <c r="P45">
        <v>1</v>
      </c>
    </row>
    <row r="46" spans="1:16" x14ac:dyDescent="0.25">
      <c r="A46" s="1">
        <v>45465.559745370374</v>
      </c>
      <c r="B46" t="s">
        <v>20</v>
      </c>
      <c r="C46">
        <v>-33.837800000000001</v>
      </c>
      <c r="D46">
        <v>73.322100000000006</v>
      </c>
      <c r="E46">
        <v>310</v>
      </c>
      <c r="F46" t="s">
        <v>21</v>
      </c>
      <c r="G46">
        <v>18.7</v>
      </c>
      <c r="H46">
        <v>54.7</v>
      </c>
      <c r="I46" t="s">
        <v>28</v>
      </c>
      <c r="J46">
        <v>52</v>
      </c>
      <c r="K46">
        <v>232</v>
      </c>
      <c r="L46">
        <v>9</v>
      </c>
      <c r="M46" t="s">
        <v>27</v>
      </c>
      <c r="N46">
        <v>72.599999999999994</v>
      </c>
      <c r="O46">
        <v>113</v>
      </c>
      <c r="P46">
        <v>0</v>
      </c>
    </row>
    <row r="47" spans="1:16" x14ac:dyDescent="0.25">
      <c r="A47" s="1">
        <v>45500.660254629627</v>
      </c>
      <c r="B47" t="s">
        <v>30</v>
      </c>
      <c r="C47">
        <v>69.660899999999998</v>
      </c>
      <c r="D47">
        <v>38.446399999999997</v>
      </c>
      <c r="E47">
        <v>225</v>
      </c>
      <c r="F47" t="s">
        <v>26</v>
      </c>
      <c r="G47">
        <v>19</v>
      </c>
      <c r="H47">
        <v>63</v>
      </c>
      <c r="I47" t="s">
        <v>22</v>
      </c>
      <c r="J47">
        <v>17</v>
      </c>
      <c r="K47">
        <v>282</v>
      </c>
      <c r="L47">
        <v>6</v>
      </c>
      <c r="M47" t="s">
        <v>23</v>
      </c>
      <c r="N47">
        <v>99.6</v>
      </c>
      <c r="O47">
        <v>265</v>
      </c>
      <c r="P47">
        <v>1</v>
      </c>
    </row>
    <row r="48" spans="1:16" x14ac:dyDescent="0.25">
      <c r="A48" s="1">
        <v>45540.591666666667</v>
      </c>
      <c r="B48" t="s">
        <v>33</v>
      </c>
      <c r="C48">
        <v>20.8843</v>
      </c>
      <c r="D48">
        <v>1.3947000000000001</v>
      </c>
      <c r="E48">
        <v>303</v>
      </c>
      <c r="F48" t="s">
        <v>17</v>
      </c>
      <c r="G48">
        <v>20.7</v>
      </c>
      <c r="H48">
        <v>70.599999999999994</v>
      </c>
      <c r="I48" t="s">
        <v>28</v>
      </c>
      <c r="J48">
        <v>47</v>
      </c>
      <c r="K48">
        <v>143</v>
      </c>
      <c r="L48">
        <v>10</v>
      </c>
      <c r="M48" t="s">
        <v>19</v>
      </c>
      <c r="N48">
        <v>98.1</v>
      </c>
      <c r="O48">
        <v>123</v>
      </c>
      <c r="P48">
        <v>1</v>
      </c>
    </row>
    <row r="49" spans="1:16" x14ac:dyDescent="0.25">
      <c r="A49" s="1">
        <v>45607.923530092594</v>
      </c>
      <c r="B49" t="s">
        <v>35</v>
      </c>
      <c r="C49">
        <v>-14.8081</v>
      </c>
      <c r="D49">
        <v>-177.30029999999999</v>
      </c>
      <c r="E49">
        <v>237</v>
      </c>
      <c r="F49" t="s">
        <v>17</v>
      </c>
      <c r="G49">
        <v>20.7</v>
      </c>
      <c r="H49">
        <v>78.3</v>
      </c>
      <c r="I49" t="s">
        <v>22</v>
      </c>
      <c r="J49">
        <v>35</v>
      </c>
      <c r="K49">
        <v>491</v>
      </c>
      <c r="L49">
        <v>2</v>
      </c>
      <c r="M49" t="s">
        <v>19</v>
      </c>
      <c r="N49">
        <v>80.7</v>
      </c>
      <c r="O49">
        <v>189</v>
      </c>
      <c r="P49">
        <v>1</v>
      </c>
    </row>
    <row r="50" spans="1:16" x14ac:dyDescent="0.25">
      <c r="A50" s="1">
        <v>45413.934849537036</v>
      </c>
      <c r="B50" t="s">
        <v>20</v>
      </c>
      <c r="C50">
        <v>4.1399999999999999E-2</v>
      </c>
      <c r="D50">
        <v>-130.65049999999999</v>
      </c>
      <c r="E50">
        <v>172</v>
      </c>
      <c r="F50" t="s">
        <v>26</v>
      </c>
      <c r="G50">
        <v>18.2</v>
      </c>
      <c r="H50">
        <v>79.900000000000006</v>
      </c>
      <c r="I50" t="s">
        <v>28</v>
      </c>
      <c r="J50">
        <v>46</v>
      </c>
      <c r="K50">
        <v>258</v>
      </c>
      <c r="L50">
        <v>3</v>
      </c>
      <c r="M50" t="s">
        <v>31</v>
      </c>
      <c r="N50">
        <v>60.1</v>
      </c>
      <c r="O50">
        <v>154</v>
      </c>
      <c r="P50">
        <v>0</v>
      </c>
    </row>
    <row r="51" spans="1:16" x14ac:dyDescent="0.25">
      <c r="A51" s="1">
        <v>45499.846539351849</v>
      </c>
      <c r="B51" t="s">
        <v>25</v>
      </c>
      <c r="C51">
        <v>-79.914599999999993</v>
      </c>
      <c r="D51">
        <v>-3.8553999999999999</v>
      </c>
      <c r="E51">
        <v>214</v>
      </c>
      <c r="F51" t="s">
        <v>21</v>
      </c>
      <c r="G51">
        <v>21.7</v>
      </c>
      <c r="H51">
        <v>77</v>
      </c>
      <c r="I51" t="s">
        <v>22</v>
      </c>
      <c r="J51">
        <v>47</v>
      </c>
      <c r="K51">
        <v>187</v>
      </c>
      <c r="L51">
        <v>10</v>
      </c>
      <c r="M51" t="s">
        <v>19</v>
      </c>
      <c r="N51">
        <v>97.4</v>
      </c>
      <c r="O51">
        <v>175</v>
      </c>
      <c r="P51">
        <v>1</v>
      </c>
    </row>
    <row r="52" spans="1:16" x14ac:dyDescent="0.25">
      <c r="A52" s="1">
        <v>45513.05327546296</v>
      </c>
      <c r="B52" t="s">
        <v>33</v>
      </c>
      <c r="C52">
        <v>76.4465</v>
      </c>
      <c r="D52">
        <v>173.14930000000001</v>
      </c>
      <c r="E52">
        <v>330</v>
      </c>
      <c r="F52" t="s">
        <v>17</v>
      </c>
      <c r="G52">
        <v>24</v>
      </c>
      <c r="H52">
        <v>52.9</v>
      </c>
      <c r="I52" t="s">
        <v>22</v>
      </c>
      <c r="J52">
        <v>14</v>
      </c>
      <c r="K52">
        <v>425</v>
      </c>
      <c r="L52">
        <v>1</v>
      </c>
      <c r="M52" t="s">
        <v>31</v>
      </c>
      <c r="N52">
        <v>89.8</v>
      </c>
      <c r="O52">
        <v>289</v>
      </c>
      <c r="P52">
        <v>1</v>
      </c>
    </row>
    <row r="53" spans="1:16" x14ac:dyDescent="0.25">
      <c r="A53" s="1">
        <v>45320.877870370372</v>
      </c>
      <c r="B53" t="s">
        <v>34</v>
      </c>
      <c r="C53">
        <v>-15.6005</v>
      </c>
      <c r="D53">
        <v>-92.197400000000002</v>
      </c>
      <c r="E53">
        <v>130</v>
      </c>
      <c r="F53" t="s">
        <v>26</v>
      </c>
      <c r="G53">
        <v>18.100000000000001</v>
      </c>
      <c r="H53">
        <v>78.3</v>
      </c>
      <c r="I53" t="s">
        <v>22</v>
      </c>
      <c r="J53">
        <v>39</v>
      </c>
      <c r="K53">
        <v>424</v>
      </c>
      <c r="L53">
        <v>9</v>
      </c>
      <c r="M53" t="s">
        <v>27</v>
      </c>
      <c r="N53">
        <v>92.3</v>
      </c>
      <c r="O53">
        <v>143</v>
      </c>
      <c r="P53">
        <v>1</v>
      </c>
    </row>
    <row r="54" spans="1:16" x14ac:dyDescent="0.25">
      <c r="A54" s="1">
        <v>45374.533032407409</v>
      </c>
      <c r="B54" t="s">
        <v>30</v>
      </c>
      <c r="C54">
        <v>67.396000000000001</v>
      </c>
      <c r="D54">
        <v>170.15369999999999</v>
      </c>
      <c r="E54">
        <v>364</v>
      </c>
      <c r="F54" t="s">
        <v>17</v>
      </c>
      <c r="G54">
        <v>26.9</v>
      </c>
      <c r="H54">
        <v>67.8</v>
      </c>
      <c r="I54" t="s">
        <v>28</v>
      </c>
      <c r="J54">
        <v>55</v>
      </c>
      <c r="K54">
        <v>467</v>
      </c>
      <c r="L54">
        <v>7</v>
      </c>
      <c r="M54" t="s">
        <v>23</v>
      </c>
      <c r="N54">
        <v>95.2</v>
      </c>
      <c r="O54">
        <v>128</v>
      </c>
      <c r="P54">
        <v>1</v>
      </c>
    </row>
    <row r="55" spans="1:16" x14ac:dyDescent="0.25">
      <c r="A55" s="1">
        <v>45582.557303240741</v>
      </c>
      <c r="B55" t="s">
        <v>32</v>
      </c>
      <c r="C55">
        <v>33.617899999999999</v>
      </c>
      <c r="D55">
        <v>-67.275800000000004</v>
      </c>
      <c r="E55">
        <v>430</v>
      </c>
      <c r="F55" t="s">
        <v>17</v>
      </c>
      <c r="G55">
        <v>26.4</v>
      </c>
      <c r="H55">
        <v>68.400000000000006</v>
      </c>
      <c r="I55" t="s">
        <v>22</v>
      </c>
      <c r="J55">
        <v>16</v>
      </c>
      <c r="K55">
        <v>277</v>
      </c>
      <c r="L55">
        <v>8</v>
      </c>
      <c r="M55" t="s">
        <v>19</v>
      </c>
      <c r="N55">
        <v>71.900000000000006</v>
      </c>
      <c r="O55">
        <v>137</v>
      </c>
      <c r="P55">
        <v>1</v>
      </c>
    </row>
    <row r="56" spans="1:16" x14ac:dyDescent="0.25">
      <c r="A56" s="1">
        <v>45484.296840277777</v>
      </c>
      <c r="B56" t="s">
        <v>32</v>
      </c>
      <c r="C56">
        <v>-50.817399999999999</v>
      </c>
      <c r="D56">
        <v>-40.340899999999998</v>
      </c>
      <c r="E56">
        <v>187</v>
      </c>
      <c r="F56" t="s">
        <v>21</v>
      </c>
      <c r="G56">
        <v>18.600000000000001</v>
      </c>
      <c r="H56">
        <v>67.7</v>
      </c>
      <c r="I56" t="s">
        <v>28</v>
      </c>
      <c r="J56">
        <v>12</v>
      </c>
      <c r="K56">
        <v>375</v>
      </c>
      <c r="L56">
        <v>5</v>
      </c>
      <c r="M56" t="s">
        <v>19</v>
      </c>
      <c r="N56">
        <v>85.4</v>
      </c>
      <c r="O56">
        <v>140</v>
      </c>
      <c r="P56">
        <v>0</v>
      </c>
    </row>
    <row r="57" spans="1:16" x14ac:dyDescent="0.25">
      <c r="A57" s="1">
        <v>45637.706805555557</v>
      </c>
      <c r="B57" t="s">
        <v>34</v>
      </c>
      <c r="C57">
        <v>50.270899999999997</v>
      </c>
      <c r="D57">
        <v>125.6915</v>
      </c>
      <c r="E57">
        <v>323</v>
      </c>
      <c r="F57" t="s">
        <v>17</v>
      </c>
      <c r="G57">
        <v>28.3</v>
      </c>
      <c r="H57">
        <v>61.2</v>
      </c>
      <c r="I57" t="s">
        <v>18</v>
      </c>
      <c r="J57">
        <v>52</v>
      </c>
      <c r="K57">
        <v>139</v>
      </c>
      <c r="L57">
        <v>4</v>
      </c>
      <c r="M57" t="s">
        <v>23</v>
      </c>
      <c r="N57">
        <v>72.400000000000006</v>
      </c>
      <c r="O57">
        <v>127</v>
      </c>
      <c r="P57">
        <v>1</v>
      </c>
    </row>
    <row r="58" spans="1:16" x14ac:dyDescent="0.25">
      <c r="A58" s="1">
        <v>45301.045428240737</v>
      </c>
      <c r="B58" t="s">
        <v>25</v>
      </c>
      <c r="C58">
        <v>-73.821100000000001</v>
      </c>
      <c r="D58">
        <v>3.1869999999999998</v>
      </c>
      <c r="E58">
        <v>386</v>
      </c>
      <c r="F58" t="s">
        <v>26</v>
      </c>
      <c r="G58">
        <v>26.6</v>
      </c>
      <c r="H58">
        <v>78.2</v>
      </c>
      <c r="I58" t="s">
        <v>18</v>
      </c>
      <c r="J58">
        <v>19</v>
      </c>
      <c r="K58">
        <v>456</v>
      </c>
      <c r="L58">
        <v>7</v>
      </c>
      <c r="M58" t="s">
        <v>27</v>
      </c>
      <c r="N58">
        <v>87.6</v>
      </c>
      <c r="O58">
        <v>290</v>
      </c>
      <c r="P58">
        <v>0</v>
      </c>
    </row>
    <row r="59" spans="1:16" x14ac:dyDescent="0.25">
      <c r="A59" s="1">
        <v>45460.332916666666</v>
      </c>
      <c r="B59" t="s">
        <v>25</v>
      </c>
      <c r="C59">
        <v>79.117199999999997</v>
      </c>
      <c r="D59">
        <v>178.49340000000001</v>
      </c>
      <c r="E59">
        <v>422</v>
      </c>
      <c r="F59" t="s">
        <v>17</v>
      </c>
      <c r="G59">
        <v>19.600000000000001</v>
      </c>
      <c r="H59">
        <v>53.3</v>
      </c>
      <c r="I59" t="s">
        <v>22</v>
      </c>
      <c r="J59">
        <v>40</v>
      </c>
      <c r="K59">
        <v>205</v>
      </c>
      <c r="L59">
        <v>5</v>
      </c>
      <c r="M59" t="s">
        <v>23</v>
      </c>
      <c r="N59">
        <v>86.1</v>
      </c>
      <c r="O59">
        <v>242</v>
      </c>
      <c r="P59">
        <v>1</v>
      </c>
    </row>
    <row r="60" spans="1:16" x14ac:dyDescent="0.25">
      <c r="A60" s="1">
        <v>45468.078101851854</v>
      </c>
      <c r="B60" t="s">
        <v>25</v>
      </c>
      <c r="C60">
        <v>27.4253</v>
      </c>
      <c r="D60">
        <v>90.138599999999997</v>
      </c>
      <c r="E60">
        <v>433</v>
      </c>
      <c r="F60" t="s">
        <v>17</v>
      </c>
      <c r="G60">
        <v>24</v>
      </c>
      <c r="H60">
        <v>77.8</v>
      </c>
      <c r="I60" t="s">
        <v>28</v>
      </c>
      <c r="J60">
        <v>37</v>
      </c>
      <c r="K60">
        <v>173</v>
      </c>
      <c r="L60">
        <v>9</v>
      </c>
      <c r="M60" t="s">
        <v>23</v>
      </c>
      <c r="N60">
        <v>89.6</v>
      </c>
      <c r="O60">
        <v>143</v>
      </c>
      <c r="P60">
        <v>1</v>
      </c>
    </row>
    <row r="61" spans="1:16" x14ac:dyDescent="0.25">
      <c r="A61" s="1">
        <v>45399.842569444445</v>
      </c>
      <c r="B61" t="s">
        <v>25</v>
      </c>
      <c r="C61">
        <v>67.908600000000007</v>
      </c>
      <c r="D61">
        <v>-140.0283</v>
      </c>
      <c r="E61">
        <v>318</v>
      </c>
      <c r="F61" t="s">
        <v>26</v>
      </c>
      <c r="G61">
        <v>26</v>
      </c>
      <c r="H61">
        <v>77.400000000000006</v>
      </c>
      <c r="I61" t="s">
        <v>28</v>
      </c>
      <c r="J61">
        <v>19</v>
      </c>
      <c r="K61">
        <v>314</v>
      </c>
      <c r="L61">
        <v>2</v>
      </c>
      <c r="M61" t="s">
        <v>19</v>
      </c>
      <c r="N61">
        <v>70.2</v>
      </c>
      <c r="O61">
        <v>250</v>
      </c>
      <c r="P61">
        <v>0</v>
      </c>
    </row>
    <row r="62" spans="1:16" x14ac:dyDescent="0.25">
      <c r="A62" s="1">
        <v>45574.768182870372</v>
      </c>
      <c r="B62" t="s">
        <v>25</v>
      </c>
      <c r="C62">
        <v>-72.895799999999994</v>
      </c>
      <c r="D62">
        <v>129.8921</v>
      </c>
      <c r="E62">
        <v>176</v>
      </c>
      <c r="F62" t="s">
        <v>21</v>
      </c>
      <c r="G62">
        <v>22.6</v>
      </c>
      <c r="H62">
        <v>73.3</v>
      </c>
      <c r="I62" t="s">
        <v>22</v>
      </c>
      <c r="J62">
        <v>37</v>
      </c>
      <c r="K62">
        <v>154</v>
      </c>
      <c r="L62">
        <v>4</v>
      </c>
      <c r="M62" t="s">
        <v>31</v>
      </c>
      <c r="N62">
        <v>91.4</v>
      </c>
      <c r="O62">
        <v>169</v>
      </c>
      <c r="P62">
        <v>1</v>
      </c>
    </row>
    <row r="63" spans="1:16" x14ac:dyDescent="0.25">
      <c r="A63" s="1">
        <v>45623.720682870371</v>
      </c>
      <c r="B63" t="s">
        <v>29</v>
      </c>
      <c r="C63">
        <v>-58.680199999999999</v>
      </c>
      <c r="D63">
        <v>-62.747399999999999</v>
      </c>
      <c r="E63">
        <v>125</v>
      </c>
      <c r="F63" t="s">
        <v>17</v>
      </c>
      <c r="G63">
        <v>23.4</v>
      </c>
      <c r="H63">
        <v>57.6</v>
      </c>
      <c r="I63" t="s">
        <v>22</v>
      </c>
      <c r="J63">
        <v>23</v>
      </c>
      <c r="K63">
        <v>191</v>
      </c>
      <c r="L63">
        <v>2</v>
      </c>
      <c r="M63" t="s">
        <v>27</v>
      </c>
      <c r="N63">
        <v>72</v>
      </c>
      <c r="O63">
        <v>241</v>
      </c>
      <c r="P63">
        <v>1</v>
      </c>
    </row>
    <row r="64" spans="1:16" x14ac:dyDescent="0.25">
      <c r="A64" s="1">
        <v>45455.117673611108</v>
      </c>
      <c r="B64" t="s">
        <v>20</v>
      </c>
      <c r="C64">
        <v>64.039500000000004</v>
      </c>
      <c r="D64">
        <v>-151.7045</v>
      </c>
      <c r="E64">
        <v>336</v>
      </c>
      <c r="F64" t="s">
        <v>21</v>
      </c>
      <c r="G64">
        <v>27.4</v>
      </c>
      <c r="H64">
        <v>58.9</v>
      </c>
      <c r="I64" t="s">
        <v>18</v>
      </c>
      <c r="J64">
        <v>49</v>
      </c>
      <c r="K64">
        <v>100</v>
      </c>
      <c r="L64">
        <v>10</v>
      </c>
      <c r="M64" t="s">
        <v>23</v>
      </c>
      <c r="N64">
        <v>70.7</v>
      </c>
      <c r="O64">
        <v>236</v>
      </c>
      <c r="P64">
        <v>0</v>
      </c>
    </row>
    <row r="65" spans="1:16" x14ac:dyDescent="0.25">
      <c r="A65" s="1">
        <v>45598.888726851852</v>
      </c>
      <c r="B65" t="s">
        <v>16</v>
      </c>
      <c r="C65">
        <v>-24.1402</v>
      </c>
      <c r="D65">
        <v>-168.60130000000001</v>
      </c>
      <c r="E65">
        <v>244</v>
      </c>
      <c r="F65" t="s">
        <v>26</v>
      </c>
      <c r="G65">
        <v>21.3</v>
      </c>
      <c r="H65">
        <v>73.8</v>
      </c>
      <c r="I65" t="s">
        <v>22</v>
      </c>
      <c r="J65">
        <v>39</v>
      </c>
      <c r="K65">
        <v>229</v>
      </c>
      <c r="L65">
        <v>7</v>
      </c>
      <c r="M65" t="s">
        <v>19</v>
      </c>
      <c r="N65">
        <v>98.1</v>
      </c>
      <c r="O65">
        <v>197</v>
      </c>
      <c r="P65">
        <v>1</v>
      </c>
    </row>
    <row r="66" spans="1:16" x14ac:dyDescent="0.25">
      <c r="A66" s="1">
        <v>45351.633958333332</v>
      </c>
      <c r="B66" t="s">
        <v>29</v>
      </c>
      <c r="C66">
        <v>72.857399999999998</v>
      </c>
      <c r="D66">
        <v>179.01</v>
      </c>
      <c r="E66">
        <v>391</v>
      </c>
      <c r="F66" t="s">
        <v>21</v>
      </c>
      <c r="G66">
        <v>20.5</v>
      </c>
      <c r="H66">
        <v>71.2</v>
      </c>
      <c r="I66" t="s">
        <v>18</v>
      </c>
      <c r="J66">
        <v>12</v>
      </c>
      <c r="K66">
        <v>112</v>
      </c>
      <c r="L66">
        <v>7</v>
      </c>
      <c r="M66" t="s">
        <v>19</v>
      </c>
      <c r="N66">
        <v>78.3</v>
      </c>
      <c r="O66">
        <v>267</v>
      </c>
      <c r="P66">
        <v>0</v>
      </c>
    </row>
    <row r="67" spans="1:16" x14ac:dyDescent="0.25">
      <c r="A67" s="1">
        <v>45368.99114583333</v>
      </c>
      <c r="B67" t="s">
        <v>20</v>
      </c>
      <c r="C67">
        <v>7.3574999999999999</v>
      </c>
      <c r="D67">
        <v>86.644199999999998</v>
      </c>
      <c r="E67">
        <v>425</v>
      </c>
      <c r="F67" t="s">
        <v>26</v>
      </c>
      <c r="G67">
        <v>24.2</v>
      </c>
      <c r="H67">
        <v>54.6</v>
      </c>
      <c r="I67" t="s">
        <v>18</v>
      </c>
      <c r="J67">
        <v>32</v>
      </c>
      <c r="K67">
        <v>193</v>
      </c>
      <c r="L67">
        <v>3</v>
      </c>
      <c r="M67" t="s">
        <v>23</v>
      </c>
      <c r="N67">
        <v>69.900000000000006</v>
      </c>
      <c r="O67">
        <v>260</v>
      </c>
      <c r="P67">
        <v>0</v>
      </c>
    </row>
    <row r="68" spans="1:16" x14ac:dyDescent="0.25">
      <c r="A68" s="1">
        <v>45621.443854166668</v>
      </c>
      <c r="B68" t="s">
        <v>34</v>
      </c>
      <c r="C68">
        <v>68.959400000000002</v>
      </c>
      <c r="D68">
        <v>-123.5048</v>
      </c>
      <c r="E68">
        <v>403</v>
      </c>
      <c r="F68" t="s">
        <v>21</v>
      </c>
      <c r="G68">
        <v>26.9</v>
      </c>
      <c r="H68">
        <v>60.6</v>
      </c>
      <c r="I68" t="s">
        <v>28</v>
      </c>
      <c r="J68">
        <v>50</v>
      </c>
      <c r="K68">
        <v>418</v>
      </c>
      <c r="L68">
        <v>1</v>
      </c>
      <c r="M68" t="s">
        <v>27</v>
      </c>
      <c r="N68">
        <v>67.8</v>
      </c>
      <c r="O68">
        <v>182</v>
      </c>
      <c r="P68">
        <v>0</v>
      </c>
    </row>
    <row r="69" spans="1:16" x14ac:dyDescent="0.25">
      <c r="A69" s="1">
        <v>45477.765648148146</v>
      </c>
      <c r="B69" t="s">
        <v>29</v>
      </c>
      <c r="C69">
        <v>14.9079</v>
      </c>
      <c r="D69">
        <v>50.160600000000002</v>
      </c>
      <c r="E69">
        <v>438</v>
      </c>
      <c r="F69" t="s">
        <v>17</v>
      </c>
      <c r="G69">
        <v>26.5</v>
      </c>
      <c r="H69">
        <v>69.3</v>
      </c>
      <c r="I69" t="s">
        <v>22</v>
      </c>
      <c r="J69">
        <v>34</v>
      </c>
      <c r="K69">
        <v>378</v>
      </c>
      <c r="L69">
        <v>5</v>
      </c>
      <c r="M69" t="s">
        <v>23</v>
      </c>
      <c r="N69">
        <v>88.7</v>
      </c>
      <c r="O69">
        <v>256</v>
      </c>
      <c r="P69">
        <v>1</v>
      </c>
    </row>
    <row r="70" spans="1:16" x14ac:dyDescent="0.25">
      <c r="A70" s="1">
        <v>45370.224942129629</v>
      </c>
      <c r="B70" t="s">
        <v>35</v>
      </c>
      <c r="C70">
        <v>66.235299999999995</v>
      </c>
      <c r="D70">
        <v>10.8345</v>
      </c>
      <c r="E70">
        <v>339</v>
      </c>
      <c r="F70" t="s">
        <v>21</v>
      </c>
      <c r="G70">
        <v>26.8</v>
      </c>
      <c r="H70">
        <v>64.5</v>
      </c>
      <c r="I70" t="s">
        <v>18</v>
      </c>
      <c r="J70">
        <v>24</v>
      </c>
      <c r="K70">
        <v>235</v>
      </c>
      <c r="L70">
        <v>6</v>
      </c>
      <c r="M70" t="s">
        <v>27</v>
      </c>
      <c r="N70">
        <v>69.3</v>
      </c>
      <c r="O70">
        <v>212</v>
      </c>
      <c r="P70">
        <v>0</v>
      </c>
    </row>
    <row r="71" spans="1:16" x14ac:dyDescent="0.25">
      <c r="A71" s="1">
        <v>45371.059293981481</v>
      </c>
      <c r="B71" t="s">
        <v>25</v>
      </c>
      <c r="C71">
        <v>70.189899999999994</v>
      </c>
      <c r="D71">
        <v>-65.679199999999994</v>
      </c>
      <c r="E71">
        <v>203</v>
      </c>
      <c r="F71" t="s">
        <v>21</v>
      </c>
      <c r="G71">
        <v>18</v>
      </c>
      <c r="H71">
        <v>68.900000000000006</v>
      </c>
      <c r="I71" t="s">
        <v>22</v>
      </c>
      <c r="J71">
        <v>19</v>
      </c>
      <c r="K71">
        <v>370</v>
      </c>
      <c r="L71">
        <v>3</v>
      </c>
      <c r="M71" t="s">
        <v>27</v>
      </c>
      <c r="N71">
        <v>74.400000000000006</v>
      </c>
      <c r="O71">
        <v>254</v>
      </c>
      <c r="P71">
        <v>1</v>
      </c>
    </row>
    <row r="72" spans="1:16" x14ac:dyDescent="0.25">
      <c r="A72" s="1">
        <v>45491.47011574074</v>
      </c>
      <c r="B72" t="s">
        <v>29</v>
      </c>
      <c r="C72">
        <v>51.453899999999997</v>
      </c>
      <c r="D72">
        <v>-20.825299999999999</v>
      </c>
      <c r="E72">
        <v>313</v>
      </c>
      <c r="F72" t="s">
        <v>26</v>
      </c>
      <c r="G72">
        <v>23.6</v>
      </c>
      <c r="H72">
        <v>65.2</v>
      </c>
      <c r="I72" t="s">
        <v>28</v>
      </c>
      <c r="J72">
        <v>49</v>
      </c>
      <c r="K72">
        <v>137</v>
      </c>
      <c r="L72">
        <v>6</v>
      </c>
      <c r="M72" t="s">
        <v>19</v>
      </c>
      <c r="N72">
        <v>100</v>
      </c>
      <c r="O72">
        <v>122</v>
      </c>
      <c r="P72">
        <v>0</v>
      </c>
    </row>
    <row r="73" spans="1:16" x14ac:dyDescent="0.25">
      <c r="A73" s="1">
        <v>45514.36141203704</v>
      </c>
      <c r="B73" t="s">
        <v>30</v>
      </c>
      <c r="C73">
        <v>-39.880000000000003</v>
      </c>
      <c r="D73">
        <v>55.179200000000002</v>
      </c>
      <c r="E73">
        <v>261</v>
      </c>
      <c r="F73" t="s">
        <v>26</v>
      </c>
      <c r="G73">
        <v>27.1</v>
      </c>
      <c r="H73">
        <v>67.3</v>
      </c>
      <c r="I73" t="s">
        <v>18</v>
      </c>
      <c r="J73">
        <v>35</v>
      </c>
      <c r="K73">
        <v>496</v>
      </c>
      <c r="L73">
        <v>2</v>
      </c>
      <c r="M73" t="s">
        <v>23</v>
      </c>
      <c r="N73">
        <v>71.3</v>
      </c>
      <c r="O73">
        <v>264</v>
      </c>
      <c r="P73">
        <v>0</v>
      </c>
    </row>
    <row r="74" spans="1:16" x14ac:dyDescent="0.25">
      <c r="A74" s="1">
        <v>45342.341134259259</v>
      </c>
      <c r="B74" t="s">
        <v>32</v>
      </c>
      <c r="C74">
        <v>-17.235499999999998</v>
      </c>
      <c r="D74">
        <v>-130.69149999999999</v>
      </c>
      <c r="E74">
        <v>179</v>
      </c>
      <c r="F74" t="s">
        <v>21</v>
      </c>
      <c r="G74">
        <v>28.5</v>
      </c>
      <c r="H74">
        <v>51</v>
      </c>
      <c r="I74" t="s">
        <v>18</v>
      </c>
      <c r="J74">
        <v>12</v>
      </c>
      <c r="K74">
        <v>354</v>
      </c>
      <c r="L74">
        <v>3</v>
      </c>
      <c r="M74" t="s">
        <v>23</v>
      </c>
      <c r="N74">
        <v>92.8</v>
      </c>
      <c r="O74">
        <v>225</v>
      </c>
      <c r="P74">
        <v>0</v>
      </c>
    </row>
    <row r="75" spans="1:16" x14ac:dyDescent="0.25">
      <c r="A75" s="1">
        <v>45644.099594907406</v>
      </c>
      <c r="B75" t="s">
        <v>20</v>
      </c>
      <c r="C75">
        <v>-44.257599999999996</v>
      </c>
      <c r="D75">
        <v>-86.507300000000001</v>
      </c>
      <c r="E75">
        <v>442</v>
      </c>
      <c r="F75" t="s">
        <v>21</v>
      </c>
      <c r="G75">
        <v>18.3</v>
      </c>
      <c r="H75">
        <v>50.3</v>
      </c>
      <c r="I75" t="s">
        <v>28</v>
      </c>
      <c r="J75">
        <v>56</v>
      </c>
      <c r="K75">
        <v>469</v>
      </c>
      <c r="L75">
        <v>2</v>
      </c>
      <c r="M75" t="s">
        <v>19</v>
      </c>
      <c r="N75">
        <v>96.3</v>
      </c>
      <c r="O75">
        <v>192</v>
      </c>
      <c r="P75">
        <v>0</v>
      </c>
    </row>
    <row r="76" spans="1:16" x14ac:dyDescent="0.25">
      <c r="A76" s="1">
        <v>45524.679594907408</v>
      </c>
      <c r="B76" t="s">
        <v>34</v>
      </c>
      <c r="C76">
        <v>19.925699999999999</v>
      </c>
      <c r="D76">
        <v>116.0526</v>
      </c>
      <c r="E76">
        <v>291</v>
      </c>
      <c r="F76" t="s">
        <v>26</v>
      </c>
      <c r="G76">
        <v>28.5</v>
      </c>
      <c r="H76">
        <v>54.6</v>
      </c>
      <c r="I76" t="s">
        <v>22</v>
      </c>
      <c r="J76">
        <v>14</v>
      </c>
      <c r="K76">
        <v>316</v>
      </c>
      <c r="L76">
        <v>7</v>
      </c>
      <c r="M76" t="s">
        <v>19</v>
      </c>
      <c r="N76">
        <v>77.5</v>
      </c>
      <c r="O76">
        <v>288</v>
      </c>
      <c r="P76">
        <v>1</v>
      </c>
    </row>
    <row r="77" spans="1:16" x14ac:dyDescent="0.25">
      <c r="A77" s="1">
        <v>45602.319918981484</v>
      </c>
      <c r="B77" t="s">
        <v>34</v>
      </c>
      <c r="C77">
        <v>-47.209400000000002</v>
      </c>
      <c r="D77">
        <v>15.632400000000001</v>
      </c>
      <c r="E77">
        <v>348</v>
      </c>
      <c r="F77" t="s">
        <v>26</v>
      </c>
      <c r="G77">
        <v>28.2</v>
      </c>
      <c r="H77">
        <v>68.3</v>
      </c>
      <c r="I77" t="s">
        <v>28</v>
      </c>
      <c r="J77">
        <v>22</v>
      </c>
      <c r="K77">
        <v>415</v>
      </c>
      <c r="L77">
        <v>4</v>
      </c>
      <c r="M77" t="s">
        <v>27</v>
      </c>
      <c r="N77">
        <v>67.400000000000006</v>
      </c>
      <c r="O77">
        <v>204</v>
      </c>
      <c r="P77">
        <v>0</v>
      </c>
    </row>
    <row r="78" spans="1:16" x14ac:dyDescent="0.25">
      <c r="A78" s="1">
        <v>45640.631261574075</v>
      </c>
      <c r="B78" t="s">
        <v>20</v>
      </c>
      <c r="C78">
        <v>-58.424900000000001</v>
      </c>
      <c r="D78">
        <v>-57.660899999999998</v>
      </c>
      <c r="E78">
        <v>454</v>
      </c>
      <c r="F78" t="s">
        <v>21</v>
      </c>
      <c r="G78">
        <v>23.7</v>
      </c>
      <c r="H78">
        <v>51.9</v>
      </c>
      <c r="I78" t="s">
        <v>28</v>
      </c>
      <c r="J78">
        <v>51</v>
      </c>
      <c r="K78">
        <v>232</v>
      </c>
      <c r="L78">
        <v>7</v>
      </c>
      <c r="M78" t="s">
        <v>23</v>
      </c>
      <c r="N78">
        <v>78.7</v>
      </c>
      <c r="O78">
        <v>172</v>
      </c>
      <c r="P78">
        <v>0</v>
      </c>
    </row>
    <row r="79" spans="1:16" x14ac:dyDescent="0.25">
      <c r="A79" s="1">
        <v>45306.500983796293</v>
      </c>
      <c r="B79" t="s">
        <v>35</v>
      </c>
      <c r="C79">
        <v>-20.069600000000001</v>
      </c>
      <c r="D79">
        <v>-73.268900000000002</v>
      </c>
      <c r="E79">
        <v>486</v>
      </c>
      <c r="F79" t="s">
        <v>26</v>
      </c>
      <c r="G79">
        <v>29.1</v>
      </c>
      <c r="H79">
        <v>78.400000000000006</v>
      </c>
      <c r="I79" t="s">
        <v>28</v>
      </c>
      <c r="J79">
        <v>21</v>
      </c>
      <c r="K79">
        <v>158</v>
      </c>
      <c r="L79">
        <v>7</v>
      </c>
      <c r="M79" t="s">
        <v>19</v>
      </c>
      <c r="N79">
        <v>62.6</v>
      </c>
      <c r="O79">
        <v>243</v>
      </c>
      <c r="P79">
        <v>0</v>
      </c>
    </row>
    <row r="80" spans="1:16" x14ac:dyDescent="0.25">
      <c r="A80" s="1">
        <v>45430.417268518519</v>
      </c>
      <c r="B80" t="s">
        <v>24</v>
      </c>
      <c r="C80">
        <v>-36.854900000000001</v>
      </c>
      <c r="D80">
        <v>164.76179999999999</v>
      </c>
      <c r="E80">
        <v>483</v>
      </c>
      <c r="F80" t="s">
        <v>21</v>
      </c>
      <c r="G80">
        <v>29.2</v>
      </c>
      <c r="H80">
        <v>65</v>
      </c>
      <c r="I80" t="s">
        <v>22</v>
      </c>
      <c r="J80">
        <v>57</v>
      </c>
      <c r="K80">
        <v>167</v>
      </c>
      <c r="L80">
        <v>8</v>
      </c>
      <c r="M80" t="s">
        <v>31</v>
      </c>
      <c r="N80">
        <v>96.8</v>
      </c>
      <c r="O80">
        <v>245</v>
      </c>
      <c r="P80">
        <v>1</v>
      </c>
    </row>
    <row r="81" spans="1:16" x14ac:dyDescent="0.25">
      <c r="A81" s="1">
        <v>45613.085046296299</v>
      </c>
      <c r="B81" t="s">
        <v>29</v>
      </c>
      <c r="C81">
        <v>-86.660899999999998</v>
      </c>
      <c r="D81">
        <v>-128.03540000000001</v>
      </c>
      <c r="E81">
        <v>472</v>
      </c>
      <c r="F81" t="s">
        <v>26</v>
      </c>
      <c r="G81">
        <v>23.5</v>
      </c>
      <c r="H81">
        <v>72</v>
      </c>
      <c r="I81" t="s">
        <v>28</v>
      </c>
      <c r="J81">
        <v>59</v>
      </c>
      <c r="K81">
        <v>485</v>
      </c>
      <c r="L81">
        <v>3</v>
      </c>
      <c r="M81" t="s">
        <v>23</v>
      </c>
      <c r="N81">
        <v>67.2</v>
      </c>
      <c r="O81">
        <v>248</v>
      </c>
      <c r="P81">
        <v>0</v>
      </c>
    </row>
    <row r="82" spans="1:16" x14ac:dyDescent="0.25">
      <c r="A82" s="1">
        <v>45526.841631944444</v>
      </c>
      <c r="B82" t="s">
        <v>34</v>
      </c>
      <c r="C82">
        <v>-53.373199999999997</v>
      </c>
      <c r="D82">
        <v>-99.637</v>
      </c>
      <c r="E82">
        <v>186</v>
      </c>
      <c r="F82" t="s">
        <v>21</v>
      </c>
      <c r="G82">
        <v>18.899999999999999</v>
      </c>
      <c r="H82">
        <v>70.5</v>
      </c>
      <c r="I82" t="s">
        <v>28</v>
      </c>
      <c r="J82">
        <v>38</v>
      </c>
      <c r="K82">
        <v>344</v>
      </c>
      <c r="L82">
        <v>1</v>
      </c>
      <c r="M82" t="s">
        <v>27</v>
      </c>
      <c r="N82">
        <v>95.6</v>
      </c>
      <c r="O82">
        <v>252</v>
      </c>
      <c r="P82">
        <v>0</v>
      </c>
    </row>
    <row r="83" spans="1:16" x14ac:dyDescent="0.25">
      <c r="A83" s="1">
        <v>45547.333877314813</v>
      </c>
      <c r="B83" t="s">
        <v>20</v>
      </c>
      <c r="C83">
        <v>-58.796300000000002</v>
      </c>
      <c r="D83">
        <v>-150.41220000000001</v>
      </c>
      <c r="E83">
        <v>366</v>
      </c>
      <c r="F83" t="s">
        <v>21</v>
      </c>
      <c r="G83">
        <v>22.8</v>
      </c>
      <c r="H83">
        <v>66.7</v>
      </c>
      <c r="I83" t="s">
        <v>28</v>
      </c>
      <c r="J83">
        <v>39</v>
      </c>
      <c r="K83">
        <v>219</v>
      </c>
      <c r="L83">
        <v>7</v>
      </c>
      <c r="M83" t="s">
        <v>27</v>
      </c>
      <c r="N83">
        <v>91</v>
      </c>
      <c r="O83">
        <v>211</v>
      </c>
      <c r="P83">
        <v>0</v>
      </c>
    </row>
    <row r="84" spans="1:16" x14ac:dyDescent="0.25">
      <c r="A84" s="1">
        <v>45513.912858796299</v>
      </c>
      <c r="B84" t="s">
        <v>34</v>
      </c>
      <c r="C84">
        <v>-46.1616</v>
      </c>
      <c r="D84">
        <v>-46.640099999999997</v>
      </c>
      <c r="E84">
        <v>359</v>
      </c>
      <c r="F84" t="s">
        <v>26</v>
      </c>
      <c r="G84">
        <v>23</v>
      </c>
      <c r="H84">
        <v>71.7</v>
      </c>
      <c r="I84" t="s">
        <v>18</v>
      </c>
      <c r="J84">
        <v>50</v>
      </c>
      <c r="K84">
        <v>486</v>
      </c>
      <c r="L84">
        <v>10</v>
      </c>
      <c r="M84" t="s">
        <v>27</v>
      </c>
      <c r="N84">
        <v>64</v>
      </c>
      <c r="O84">
        <v>169</v>
      </c>
      <c r="P84">
        <v>0</v>
      </c>
    </row>
    <row r="85" spans="1:16" x14ac:dyDescent="0.25">
      <c r="A85" s="1">
        <v>45401.118391203701</v>
      </c>
      <c r="B85" t="s">
        <v>16</v>
      </c>
      <c r="C85">
        <v>33.871600000000001</v>
      </c>
      <c r="D85">
        <v>36.875300000000003</v>
      </c>
      <c r="E85">
        <v>422</v>
      </c>
      <c r="F85" t="s">
        <v>17</v>
      </c>
      <c r="G85">
        <v>26.5</v>
      </c>
      <c r="H85">
        <v>75</v>
      </c>
      <c r="I85" t="s">
        <v>22</v>
      </c>
      <c r="J85">
        <v>39</v>
      </c>
      <c r="K85">
        <v>100</v>
      </c>
      <c r="L85">
        <v>6</v>
      </c>
      <c r="M85" t="s">
        <v>19</v>
      </c>
      <c r="N85">
        <v>67.2</v>
      </c>
      <c r="O85">
        <v>127</v>
      </c>
      <c r="P85">
        <v>1</v>
      </c>
    </row>
    <row r="86" spans="1:16" x14ac:dyDescent="0.25">
      <c r="A86" s="1">
        <v>45565.471226851849</v>
      </c>
      <c r="B86" t="s">
        <v>20</v>
      </c>
      <c r="C86">
        <v>35.7136</v>
      </c>
      <c r="D86">
        <v>-23.1356</v>
      </c>
      <c r="E86">
        <v>209</v>
      </c>
      <c r="F86" t="s">
        <v>21</v>
      </c>
      <c r="G86">
        <v>24.9</v>
      </c>
      <c r="H86">
        <v>76.8</v>
      </c>
      <c r="I86" t="s">
        <v>28</v>
      </c>
      <c r="J86">
        <v>51</v>
      </c>
      <c r="K86">
        <v>214</v>
      </c>
      <c r="L86">
        <v>2</v>
      </c>
      <c r="M86" t="s">
        <v>31</v>
      </c>
      <c r="N86">
        <v>86.5</v>
      </c>
      <c r="O86">
        <v>156</v>
      </c>
      <c r="P86">
        <v>0</v>
      </c>
    </row>
    <row r="87" spans="1:16" x14ac:dyDescent="0.25">
      <c r="A87" s="1">
        <v>45373.697013888886</v>
      </c>
      <c r="B87" t="s">
        <v>34</v>
      </c>
      <c r="C87">
        <v>36.385800000000003</v>
      </c>
      <c r="D87">
        <v>-107.38939999999999</v>
      </c>
      <c r="E87">
        <v>324</v>
      </c>
      <c r="F87" t="s">
        <v>17</v>
      </c>
      <c r="G87">
        <v>20.7</v>
      </c>
      <c r="H87">
        <v>77.5</v>
      </c>
      <c r="I87" t="s">
        <v>22</v>
      </c>
      <c r="J87">
        <v>39</v>
      </c>
      <c r="K87">
        <v>387</v>
      </c>
      <c r="L87">
        <v>1</v>
      </c>
      <c r="M87" t="s">
        <v>19</v>
      </c>
      <c r="N87">
        <v>69.099999999999994</v>
      </c>
      <c r="O87">
        <v>138</v>
      </c>
      <c r="P87">
        <v>1</v>
      </c>
    </row>
    <row r="88" spans="1:16" x14ac:dyDescent="0.25">
      <c r="A88" s="1">
        <v>45580.168703703705</v>
      </c>
      <c r="B88" t="s">
        <v>16</v>
      </c>
      <c r="C88">
        <v>26.612500000000001</v>
      </c>
      <c r="D88">
        <v>25.4788</v>
      </c>
      <c r="E88">
        <v>199</v>
      </c>
      <c r="F88" t="s">
        <v>21</v>
      </c>
      <c r="G88">
        <v>27.4</v>
      </c>
      <c r="H88">
        <v>57.1</v>
      </c>
      <c r="I88" t="s">
        <v>22</v>
      </c>
      <c r="J88">
        <v>28</v>
      </c>
      <c r="K88">
        <v>383</v>
      </c>
      <c r="L88">
        <v>6</v>
      </c>
      <c r="M88" t="s">
        <v>19</v>
      </c>
      <c r="N88">
        <v>61.9</v>
      </c>
      <c r="O88">
        <v>105</v>
      </c>
      <c r="P88">
        <v>1</v>
      </c>
    </row>
    <row r="89" spans="1:16" x14ac:dyDescent="0.25">
      <c r="A89" s="1">
        <v>45644.792708333334</v>
      </c>
      <c r="B89" t="s">
        <v>34</v>
      </c>
      <c r="C89">
        <v>-84.891499999999994</v>
      </c>
      <c r="D89">
        <v>57.571399999999997</v>
      </c>
      <c r="E89">
        <v>213</v>
      </c>
      <c r="F89" t="s">
        <v>17</v>
      </c>
      <c r="G89">
        <v>27.7</v>
      </c>
      <c r="H89">
        <v>58.1</v>
      </c>
      <c r="I89" t="s">
        <v>28</v>
      </c>
      <c r="J89">
        <v>41</v>
      </c>
      <c r="K89">
        <v>267</v>
      </c>
      <c r="L89">
        <v>7</v>
      </c>
      <c r="M89" t="s">
        <v>31</v>
      </c>
      <c r="N89">
        <v>60.9</v>
      </c>
      <c r="O89">
        <v>254</v>
      </c>
      <c r="P89">
        <v>1</v>
      </c>
    </row>
    <row r="90" spans="1:16" x14ac:dyDescent="0.25">
      <c r="A90" s="1">
        <v>45452.716805555552</v>
      </c>
      <c r="B90" t="s">
        <v>29</v>
      </c>
      <c r="C90">
        <v>-49.684600000000003</v>
      </c>
      <c r="D90">
        <v>-63.289200000000001</v>
      </c>
      <c r="E90">
        <v>257</v>
      </c>
      <c r="F90" t="s">
        <v>17</v>
      </c>
      <c r="G90">
        <v>23.1</v>
      </c>
      <c r="H90">
        <v>59.1</v>
      </c>
      <c r="I90" t="s">
        <v>28</v>
      </c>
      <c r="J90">
        <v>56</v>
      </c>
      <c r="K90">
        <v>451</v>
      </c>
      <c r="L90">
        <v>3</v>
      </c>
      <c r="M90" t="s">
        <v>23</v>
      </c>
      <c r="N90">
        <v>93.8</v>
      </c>
      <c r="O90">
        <v>248</v>
      </c>
      <c r="P90">
        <v>1</v>
      </c>
    </row>
    <row r="91" spans="1:16" x14ac:dyDescent="0.25">
      <c r="A91" s="1">
        <v>45595.084560185183</v>
      </c>
      <c r="B91" t="s">
        <v>34</v>
      </c>
      <c r="C91">
        <v>14.747400000000001</v>
      </c>
      <c r="D91">
        <v>-2.5245000000000002</v>
      </c>
      <c r="E91">
        <v>475</v>
      </c>
      <c r="F91" t="s">
        <v>21</v>
      </c>
      <c r="G91">
        <v>22.2</v>
      </c>
      <c r="H91">
        <v>79.400000000000006</v>
      </c>
      <c r="I91" t="s">
        <v>18</v>
      </c>
      <c r="J91">
        <v>25</v>
      </c>
      <c r="K91">
        <v>268</v>
      </c>
      <c r="L91">
        <v>3</v>
      </c>
      <c r="M91" t="s">
        <v>23</v>
      </c>
      <c r="N91">
        <v>60.3</v>
      </c>
      <c r="O91">
        <v>151</v>
      </c>
      <c r="P91">
        <v>0</v>
      </c>
    </row>
    <row r="92" spans="1:16" x14ac:dyDescent="0.25">
      <c r="A92" s="1">
        <v>45466.128680555557</v>
      </c>
      <c r="B92" t="s">
        <v>16</v>
      </c>
      <c r="C92">
        <v>-8.6011000000000006</v>
      </c>
      <c r="D92">
        <v>-63.127400000000002</v>
      </c>
      <c r="E92">
        <v>377</v>
      </c>
      <c r="F92" t="s">
        <v>21</v>
      </c>
      <c r="G92">
        <v>22.7</v>
      </c>
      <c r="H92">
        <v>75.5</v>
      </c>
      <c r="I92" t="s">
        <v>28</v>
      </c>
      <c r="J92">
        <v>59</v>
      </c>
      <c r="K92">
        <v>445</v>
      </c>
      <c r="L92">
        <v>7</v>
      </c>
      <c r="M92" t="s">
        <v>19</v>
      </c>
      <c r="N92">
        <v>99.1</v>
      </c>
      <c r="O92">
        <v>272</v>
      </c>
      <c r="P92">
        <v>0</v>
      </c>
    </row>
    <row r="93" spans="1:16" x14ac:dyDescent="0.25">
      <c r="A93" s="1">
        <v>45523.717847222222</v>
      </c>
      <c r="B93" t="s">
        <v>30</v>
      </c>
      <c r="C93">
        <v>67.2149</v>
      </c>
      <c r="D93">
        <v>117.9203</v>
      </c>
      <c r="E93">
        <v>456</v>
      </c>
      <c r="F93" t="s">
        <v>17</v>
      </c>
      <c r="G93">
        <v>26.4</v>
      </c>
      <c r="H93">
        <v>51.4</v>
      </c>
      <c r="I93" t="s">
        <v>22</v>
      </c>
      <c r="J93">
        <v>23</v>
      </c>
      <c r="K93">
        <v>100</v>
      </c>
      <c r="L93">
        <v>1</v>
      </c>
      <c r="M93" t="s">
        <v>23</v>
      </c>
      <c r="N93">
        <v>94.2</v>
      </c>
      <c r="O93">
        <v>105</v>
      </c>
      <c r="P93">
        <v>1</v>
      </c>
    </row>
    <row r="94" spans="1:16" x14ac:dyDescent="0.25">
      <c r="A94" s="1">
        <v>45412.527650462966</v>
      </c>
      <c r="B94" t="s">
        <v>35</v>
      </c>
      <c r="C94">
        <v>-11.3392</v>
      </c>
      <c r="D94">
        <v>-69.339500000000001</v>
      </c>
      <c r="E94">
        <v>106</v>
      </c>
      <c r="F94" t="s">
        <v>17</v>
      </c>
      <c r="G94">
        <v>18.3</v>
      </c>
      <c r="H94">
        <v>65.900000000000006</v>
      </c>
      <c r="I94" t="s">
        <v>22</v>
      </c>
      <c r="J94">
        <v>53</v>
      </c>
      <c r="K94">
        <v>244</v>
      </c>
      <c r="L94">
        <v>2</v>
      </c>
      <c r="M94" t="s">
        <v>27</v>
      </c>
      <c r="N94">
        <v>99.5</v>
      </c>
      <c r="O94">
        <v>125</v>
      </c>
      <c r="P94">
        <v>1</v>
      </c>
    </row>
    <row r="95" spans="1:16" x14ac:dyDescent="0.25">
      <c r="A95" s="1">
        <v>45641.162222222221</v>
      </c>
      <c r="B95" t="s">
        <v>24</v>
      </c>
      <c r="C95">
        <v>26.376300000000001</v>
      </c>
      <c r="D95">
        <v>157.09049999999999</v>
      </c>
      <c r="E95">
        <v>234</v>
      </c>
      <c r="F95" t="s">
        <v>17</v>
      </c>
      <c r="G95">
        <v>29.1</v>
      </c>
      <c r="H95">
        <v>65.3</v>
      </c>
      <c r="I95" t="s">
        <v>28</v>
      </c>
      <c r="J95">
        <v>19</v>
      </c>
      <c r="K95">
        <v>432</v>
      </c>
      <c r="L95">
        <v>3</v>
      </c>
      <c r="M95" t="s">
        <v>23</v>
      </c>
      <c r="N95">
        <v>92.7</v>
      </c>
      <c r="O95">
        <v>214</v>
      </c>
      <c r="P95">
        <v>1</v>
      </c>
    </row>
    <row r="96" spans="1:16" x14ac:dyDescent="0.25">
      <c r="A96" s="1">
        <v>45372.622708333336</v>
      </c>
      <c r="B96" t="s">
        <v>32</v>
      </c>
      <c r="C96">
        <v>-13.468999999999999</v>
      </c>
      <c r="D96">
        <v>75.340800000000002</v>
      </c>
      <c r="E96">
        <v>390</v>
      </c>
      <c r="F96" t="s">
        <v>17</v>
      </c>
      <c r="G96">
        <v>19.5</v>
      </c>
      <c r="H96">
        <v>79.2</v>
      </c>
      <c r="I96" t="s">
        <v>22</v>
      </c>
      <c r="J96">
        <v>26</v>
      </c>
      <c r="K96">
        <v>366</v>
      </c>
      <c r="L96">
        <v>4</v>
      </c>
      <c r="M96" t="s">
        <v>31</v>
      </c>
      <c r="N96">
        <v>69.400000000000006</v>
      </c>
      <c r="O96">
        <v>217</v>
      </c>
      <c r="P96">
        <v>1</v>
      </c>
    </row>
    <row r="97" spans="1:16" x14ac:dyDescent="0.25">
      <c r="A97" s="1">
        <v>45562.755740740744</v>
      </c>
      <c r="B97" t="s">
        <v>29</v>
      </c>
      <c r="C97">
        <v>-11.2424</v>
      </c>
      <c r="D97">
        <v>-4.5637999999999996</v>
      </c>
      <c r="E97">
        <v>203</v>
      </c>
      <c r="F97" t="s">
        <v>26</v>
      </c>
      <c r="G97">
        <v>20.399999999999999</v>
      </c>
      <c r="H97">
        <v>78.3</v>
      </c>
      <c r="I97" t="s">
        <v>18</v>
      </c>
      <c r="J97">
        <v>21</v>
      </c>
      <c r="K97">
        <v>187</v>
      </c>
      <c r="L97">
        <v>5</v>
      </c>
      <c r="M97" t="s">
        <v>19</v>
      </c>
      <c r="N97">
        <v>87.9</v>
      </c>
      <c r="O97">
        <v>262</v>
      </c>
      <c r="P97">
        <v>0</v>
      </c>
    </row>
    <row r="98" spans="1:16" x14ac:dyDescent="0.25">
      <c r="A98" s="1">
        <v>45613.357662037037</v>
      </c>
      <c r="B98" t="s">
        <v>20</v>
      </c>
      <c r="C98">
        <v>62.655900000000003</v>
      </c>
      <c r="D98">
        <v>18.8474</v>
      </c>
      <c r="E98">
        <v>297</v>
      </c>
      <c r="F98" t="s">
        <v>17</v>
      </c>
      <c r="G98">
        <v>23.1</v>
      </c>
      <c r="H98">
        <v>59.4</v>
      </c>
      <c r="I98" t="s">
        <v>18</v>
      </c>
      <c r="J98">
        <v>29</v>
      </c>
      <c r="K98">
        <v>268</v>
      </c>
      <c r="L98">
        <v>10</v>
      </c>
      <c r="M98" t="s">
        <v>27</v>
      </c>
      <c r="N98">
        <v>71.2</v>
      </c>
      <c r="O98">
        <v>151</v>
      </c>
      <c r="P98">
        <v>1</v>
      </c>
    </row>
    <row r="99" spans="1:16" x14ac:dyDescent="0.25">
      <c r="A99" s="1">
        <v>45415.148935185185</v>
      </c>
      <c r="B99" t="s">
        <v>25</v>
      </c>
      <c r="C99">
        <v>60.803199999999997</v>
      </c>
      <c r="D99">
        <v>-179.59059999999999</v>
      </c>
      <c r="E99">
        <v>238</v>
      </c>
      <c r="F99" t="s">
        <v>21</v>
      </c>
      <c r="G99">
        <v>25</v>
      </c>
      <c r="H99">
        <v>75.8</v>
      </c>
      <c r="I99" t="s">
        <v>22</v>
      </c>
      <c r="J99">
        <v>26</v>
      </c>
      <c r="K99">
        <v>330</v>
      </c>
      <c r="L99">
        <v>9</v>
      </c>
      <c r="M99" t="s">
        <v>23</v>
      </c>
      <c r="N99">
        <v>99.2</v>
      </c>
      <c r="O99">
        <v>165</v>
      </c>
      <c r="P99">
        <v>1</v>
      </c>
    </row>
    <row r="100" spans="1:16" x14ac:dyDescent="0.25">
      <c r="A100" s="1">
        <v>45356.038043981483</v>
      </c>
      <c r="B100" t="s">
        <v>29</v>
      </c>
      <c r="C100">
        <v>-10.0451</v>
      </c>
      <c r="D100">
        <v>79.895600000000002</v>
      </c>
      <c r="E100">
        <v>126</v>
      </c>
      <c r="F100" t="s">
        <v>26</v>
      </c>
      <c r="G100">
        <v>28.2</v>
      </c>
      <c r="H100">
        <v>54.5</v>
      </c>
      <c r="I100" t="s">
        <v>18</v>
      </c>
      <c r="J100">
        <v>35</v>
      </c>
      <c r="K100">
        <v>320</v>
      </c>
      <c r="L100">
        <v>4</v>
      </c>
      <c r="M100" t="s">
        <v>31</v>
      </c>
      <c r="N100">
        <v>93.7</v>
      </c>
      <c r="O100">
        <v>136</v>
      </c>
      <c r="P100">
        <v>0</v>
      </c>
    </row>
    <row r="101" spans="1:16" x14ac:dyDescent="0.25">
      <c r="A101" s="1">
        <v>45305.390740740739</v>
      </c>
      <c r="B101" t="s">
        <v>30</v>
      </c>
      <c r="C101">
        <v>17.648299999999999</v>
      </c>
      <c r="D101">
        <v>114.2638</v>
      </c>
      <c r="E101">
        <v>455</v>
      </c>
      <c r="F101" t="s">
        <v>26</v>
      </c>
      <c r="G101">
        <v>22.9</v>
      </c>
      <c r="H101">
        <v>79.599999999999994</v>
      </c>
      <c r="I101" t="s">
        <v>18</v>
      </c>
      <c r="J101">
        <v>51</v>
      </c>
      <c r="K101">
        <v>410</v>
      </c>
      <c r="L101">
        <v>9</v>
      </c>
      <c r="M101" t="s">
        <v>23</v>
      </c>
      <c r="N101">
        <v>84.9</v>
      </c>
      <c r="O101">
        <v>233</v>
      </c>
      <c r="P101">
        <v>0</v>
      </c>
    </row>
    <row r="102" spans="1:16" x14ac:dyDescent="0.25">
      <c r="A102" s="1">
        <v>45339.879224537035</v>
      </c>
      <c r="B102" t="s">
        <v>29</v>
      </c>
      <c r="C102">
        <v>-51.923299999999998</v>
      </c>
      <c r="D102">
        <v>-57.585799999999999</v>
      </c>
      <c r="E102">
        <v>220</v>
      </c>
      <c r="F102" t="s">
        <v>17</v>
      </c>
      <c r="G102">
        <v>29.4</v>
      </c>
      <c r="H102">
        <v>52.4</v>
      </c>
      <c r="I102" t="s">
        <v>28</v>
      </c>
      <c r="J102">
        <v>18</v>
      </c>
      <c r="K102">
        <v>468</v>
      </c>
      <c r="L102">
        <v>9</v>
      </c>
      <c r="M102" t="s">
        <v>31</v>
      </c>
      <c r="N102">
        <v>63.1</v>
      </c>
      <c r="O102">
        <v>137</v>
      </c>
      <c r="P102">
        <v>1</v>
      </c>
    </row>
    <row r="103" spans="1:16" x14ac:dyDescent="0.25">
      <c r="A103" s="1">
        <v>45479.470462962963</v>
      </c>
      <c r="B103" t="s">
        <v>34</v>
      </c>
      <c r="C103">
        <v>22.389800000000001</v>
      </c>
      <c r="D103">
        <v>3.8948</v>
      </c>
      <c r="E103">
        <v>403</v>
      </c>
      <c r="F103" t="s">
        <v>21</v>
      </c>
      <c r="G103">
        <v>22.5</v>
      </c>
      <c r="H103">
        <v>62.5</v>
      </c>
      <c r="I103" t="s">
        <v>28</v>
      </c>
      <c r="J103">
        <v>38</v>
      </c>
      <c r="K103">
        <v>225</v>
      </c>
      <c r="L103">
        <v>3</v>
      </c>
      <c r="M103" t="s">
        <v>23</v>
      </c>
      <c r="N103">
        <v>81.400000000000006</v>
      </c>
      <c r="O103">
        <v>169</v>
      </c>
      <c r="P103">
        <v>0</v>
      </c>
    </row>
    <row r="104" spans="1:16" x14ac:dyDescent="0.25">
      <c r="A104" s="1">
        <v>45422.926608796297</v>
      </c>
      <c r="B104" t="s">
        <v>24</v>
      </c>
      <c r="C104">
        <v>86.336799999999997</v>
      </c>
      <c r="D104">
        <v>29.447800000000001</v>
      </c>
      <c r="E104">
        <v>448</v>
      </c>
      <c r="F104" t="s">
        <v>17</v>
      </c>
      <c r="G104">
        <v>23.4</v>
      </c>
      <c r="H104">
        <v>59.9</v>
      </c>
      <c r="I104" t="s">
        <v>18</v>
      </c>
      <c r="J104">
        <v>41</v>
      </c>
      <c r="K104">
        <v>120</v>
      </c>
      <c r="L104">
        <v>10</v>
      </c>
      <c r="M104" t="s">
        <v>23</v>
      </c>
      <c r="N104">
        <v>70.8</v>
      </c>
      <c r="O104">
        <v>150</v>
      </c>
      <c r="P104">
        <v>1</v>
      </c>
    </row>
    <row r="105" spans="1:16" x14ac:dyDescent="0.25">
      <c r="A105" s="1">
        <v>45649.7890162037</v>
      </c>
      <c r="B105" t="s">
        <v>34</v>
      </c>
      <c r="C105">
        <v>-14.6662</v>
      </c>
      <c r="D105">
        <v>-88.367400000000004</v>
      </c>
      <c r="E105">
        <v>168</v>
      </c>
      <c r="F105" t="s">
        <v>21</v>
      </c>
      <c r="G105">
        <v>22.4</v>
      </c>
      <c r="H105">
        <v>57.9</v>
      </c>
      <c r="I105" t="s">
        <v>22</v>
      </c>
      <c r="J105">
        <v>43</v>
      </c>
      <c r="K105">
        <v>377</v>
      </c>
      <c r="L105">
        <v>4</v>
      </c>
      <c r="M105" t="s">
        <v>31</v>
      </c>
      <c r="N105">
        <v>71.099999999999994</v>
      </c>
      <c r="O105">
        <v>140</v>
      </c>
      <c r="P105">
        <v>1</v>
      </c>
    </row>
    <row r="106" spans="1:16" x14ac:dyDescent="0.25">
      <c r="A106" s="1">
        <v>45328.352800925924</v>
      </c>
      <c r="B106" t="s">
        <v>16</v>
      </c>
      <c r="C106">
        <v>-71.905699999999996</v>
      </c>
      <c r="D106">
        <v>-41.431399999999996</v>
      </c>
      <c r="E106">
        <v>409</v>
      </c>
      <c r="F106" t="s">
        <v>26</v>
      </c>
      <c r="G106">
        <v>18</v>
      </c>
      <c r="H106">
        <v>53.5</v>
      </c>
      <c r="I106" t="s">
        <v>22</v>
      </c>
      <c r="J106">
        <v>47</v>
      </c>
      <c r="K106">
        <v>153</v>
      </c>
      <c r="L106">
        <v>9</v>
      </c>
      <c r="M106" t="s">
        <v>19</v>
      </c>
      <c r="N106">
        <v>74.099999999999994</v>
      </c>
      <c r="O106">
        <v>117</v>
      </c>
      <c r="P106">
        <v>1</v>
      </c>
    </row>
    <row r="107" spans="1:16" x14ac:dyDescent="0.25">
      <c r="A107" s="1">
        <v>45551.422824074078</v>
      </c>
      <c r="B107" t="s">
        <v>30</v>
      </c>
      <c r="C107">
        <v>54.888800000000003</v>
      </c>
      <c r="D107">
        <v>7.4287000000000001</v>
      </c>
      <c r="E107">
        <v>469</v>
      </c>
      <c r="F107" t="s">
        <v>21</v>
      </c>
      <c r="G107">
        <v>20.7</v>
      </c>
      <c r="H107">
        <v>70.400000000000006</v>
      </c>
      <c r="I107" t="s">
        <v>28</v>
      </c>
      <c r="J107">
        <v>31</v>
      </c>
      <c r="K107">
        <v>335</v>
      </c>
      <c r="L107">
        <v>7</v>
      </c>
      <c r="M107" t="s">
        <v>27</v>
      </c>
      <c r="N107">
        <v>86.1</v>
      </c>
      <c r="O107">
        <v>298</v>
      </c>
      <c r="P107">
        <v>0</v>
      </c>
    </row>
    <row r="108" spans="1:16" x14ac:dyDescent="0.25">
      <c r="A108" s="1">
        <v>45317.539236111108</v>
      </c>
      <c r="B108" t="s">
        <v>34</v>
      </c>
      <c r="C108">
        <v>-89.791499999999999</v>
      </c>
      <c r="D108">
        <v>85.803600000000003</v>
      </c>
      <c r="E108">
        <v>305</v>
      </c>
      <c r="F108" t="s">
        <v>21</v>
      </c>
      <c r="G108">
        <v>20.5</v>
      </c>
      <c r="H108">
        <v>71.2</v>
      </c>
      <c r="I108" t="s">
        <v>18</v>
      </c>
      <c r="J108">
        <v>44</v>
      </c>
      <c r="K108">
        <v>302</v>
      </c>
      <c r="L108">
        <v>10</v>
      </c>
      <c r="M108" t="s">
        <v>23</v>
      </c>
      <c r="N108">
        <v>71.900000000000006</v>
      </c>
      <c r="O108">
        <v>141</v>
      </c>
      <c r="P108">
        <v>0</v>
      </c>
    </row>
    <row r="109" spans="1:16" x14ac:dyDescent="0.25">
      <c r="A109" s="1">
        <v>45625.273981481485</v>
      </c>
      <c r="B109" t="s">
        <v>34</v>
      </c>
      <c r="C109">
        <v>39.908799999999999</v>
      </c>
      <c r="D109">
        <v>71.959500000000006</v>
      </c>
      <c r="E109">
        <v>219</v>
      </c>
      <c r="F109" t="s">
        <v>17</v>
      </c>
      <c r="G109">
        <v>26.6</v>
      </c>
      <c r="H109">
        <v>79.8</v>
      </c>
      <c r="I109" t="s">
        <v>22</v>
      </c>
      <c r="J109">
        <v>46</v>
      </c>
      <c r="K109">
        <v>245</v>
      </c>
      <c r="L109">
        <v>1</v>
      </c>
      <c r="M109" t="s">
        <v>19</v>
      </c>
      <c r="N109">
        <v>70.5</v>
      </c>
      <c r="O109">
        <v>202</v>
      </c>
      <c r="P109">
        <v>1</v>
      </c>
    </row>
    <row r="110" spans="1:16" x14ac:dyDescent="0.25">
      <c r="A110" s="1">
        <v>45445.803344907406</v>
      </c>
      <c r="B110" t="s">
        <v>32</v>
      </c>
      <c r="C110">
        <v>30.7119</v>
      </c>
      <c r="D110">
        <v>111.5767</v>
      </c>
      <c r="E110">
        <v>167</v>
      </c>
      <c r="F110" t="s">
        <v>17</v>
      </c>
      <c r="G110">
        <v>23.8</v>
      </c>
      <c r="H110">
        <v>71.599999999999994</v>
      </c>
      <c r="I110" t="s">
        <v>28</v>
      </c>
      <c r="J110">
        <v>55</v>
      </c>
      <c r="K110">
        <v>416</v>
      </c>
      <c r="L110">
        <v>8</v>
      </c>
      <c r="M110" t="s">
        <v>27</v>
      </c>
      <c r="N110">
        <v>60.7</v>
      </c>
      <c r="O110">
        <v>263</v>
      </c>
      <c r="P110">
        <v>1</v>
      </c>
    </row>
    <row r="111" spans="1:16" x14ac:dyDescent="0.25">
      <c r="A111" s="1">
        <v>45330.421805555554</v>
      </c>
      <c r="B111" t="s">
        <v>29</v>
      </c>
      <c r="C111">
        <v>5.7076000000000002</v>
      </c>
      <c r="D111">
        <v>-79.925600000000003</v>
      </c>
      <c r="E111">
        <v>100</v>
      </c>
      <c r="F111" t="s">
        <v>17</v>
      </c>
      <c r="G111">
        <v>24.1</v>
      </c>
      <c r="H111">
        <v>50.9</v>
      </c>
      <c r="I111" t="s">
        <v>18</v>
      </c>
      <c r="J111">
        <v>39</v>
      </c>
      <c r="K111">
        <v>340</v>
      </c>
      <c r="L111">
        <v>4</v>
      </c>
      <c r="M111" t="s">
        <v>19</v>
      </c>
      <c r="N111">
        <v>96.9</v>
      </c>
      <c r="O111">
        <v>274</v>
      </c>
      <c r="P111">
        <v>1</v>
      </c>
    </row>
    <row r="112" spans="1:16" x14ac:dyDescent="0.25">
      <c r="A112" s="1">
        <v>45521.295312499999</v>
      </c>
      <c r="B112" t="s">
        <v>25</v>
      </c>
      <c r="C112">
        <v>69.050899999999999</v>
      </c>
      <c r="D112">
        <v>91.847999999999999</v>
      </c>
      <c r="E112">
        <v>321</v>
      </c>
      <c r="F112" t="s">
        <v>21</v>
      </c>
      <c r="G112">
        <v>25.4</v>
      </c>
      <c r="H112">
        <v>53.8</v>
      </c>
      <c r="I112" t="s">
        <v>28</v>
      </c>
      <c r="J112">
        <v>24</v>
      </c>
      <c r="K112">
        <v>340</v>
      </c>
      <c r="L112">
        <v>5</v>
      </c>
      <c r="M112" t="s">
        <v>27</v>
      </c>
      <c r="N112">
        <v>84.6</v>
      </c>
      <c r="O112">
        <v>223</v>
      </c>
      <c r="P112">
        <v>0</v>
      </c>
    </row>
    <row r="113" spans="1:16" x14ac:dyDescent="0.25">
      <c r="A113" s="1">
        <v>45318.173043981478</v>
      </c>
      <c r="B113" t="s">
        <v>16</v>
      </c>
      <c r="C113">
        <v>52.782800000000002</v>
      </c>
      <c r="D113">
        <v>176.06710000000001</v>
      </c>
      <c r="E113">
        <v>244</v>
      </c>
      <c r="F113" t="s">
        <v>26</v>
      </c>
      <c r="G113">
        <v>23.6</v>
      </c>
      <c r="H113">
        <v>64.900000000000006</v>
      </c>
      <c r="I113" t="s">
        <v>28</v>
      </c>
      <c r="J113">
        <v>24</v>
      </c>
      <c r="K113">
        <v>145</v>
      </c>
      <c r="L113">
        <v>4</v>
      </c>
      <c r="M113" t="s">
        <v>31</v>
      </c>
      <c r="N113">
        <v>67.599999999999994</v>
      </c>
      <c r="O113">
        <v>285</v>
      </c>
      <c r="P113">
        <v>0</v>
      </c>
    </row>
    <row r="114" spans="1:16" x14ac:dyDescent="0.25">
      <c r="A114" s="1">
        <v>45639.038321759261</v>
      </c>
      <c r="B114" t="s">
        <v>25</v>
      </c>
      <c r="C114">
        <v>42.966999999999999</v>
      </c>
      <c r="D114">
        <v>146.13579999999999</v>
      </c>
      <c r="E114">
        <v>281</v>
      </c>
      <c r="F114" t="s">
        <v>26</v>
      </c>
      <c r="G114">
        <v>18.399999999999999</v>
      </c>
      <c r="H114">
        <v>74.599999999999994</v>
      </c>
      <c r="I114" t="s">
        <v>18</v>
      </c>
      <c r="J114">
        <v>41</v>
      </c>
      <c r="K114">
        <v>419</v>
      </c>
      <c r="L114">
        <v>6</v>
      </c>
      <c r="M114" t="s">
        <v>19</v>
      </c>
      <c r="N114">
        <v>69.099999999999994</v>
      </c>
      <c r="O114">
        <v>242</v>
      </c>
      <c r="P114">
        <v>0</v>
      </c>
    </row>
    <row r="115" spans="1:16" x14ac:dyDescent="0.25">
      <c r="A115" s="1">
        <v>45591.913437499999</v>
      </c>
      <c r="B115" t="s">
        <v>16</v>
      </c>
      <c r="C115">
        <v>-11.994300000000001</v>
      </c>
      <c r="D115">
        <v>-126.87430000000001</v>
      </c>
      <c r="E115">
        <v>301</v>
      </c>
      <c r="F115" t="s">
        <v>26</v>
      </c>
      <c r="G115">
        <v>18.3</v>
      </c>
      <c r="H115">
        <v>60</v>
      </c>
      <c r="I115" t="s">
        <v>18</v>
      </c>
      <c r="J115">
        <v>42</v>
      </c>
      <c r="K115">
        <v>243</v>
      </c>
      <c r="L115">
        <v>3</v>
      </c>
      <c r="M115" t="s">
        <v>31</v>
      </c>
      <c r="N115">
        <v>99</v>
      </c>
      <c r="O115">
        <v>273</v>
      </c>
      <c r="P115">
        <v>0</v>
      </c>
    </row>
    <row r="116" spans="1:16" x14ac:dyDescent="0.25">
      <c r="A116" s="1">
        <v>45370.238078703704</v>
      </c>
      <c r="B116" t="s">
        <v>32</v>
      </c>
      <c r="C116">
        <v>60.590299999999999</v>
      </c>
      <c r="D116">
        <v>-90.041499999999999</v>
      </c>
      <c r="E116">
        <v>437</v>
      </c>
      <c r="F116" t="s">
        <v>21</v>
      </c>
      <c r="G116">
        <v>25.5</v>
      </c>
      <c r="H116">
        <v>73.2</v>
      </c>
      <c r="I116" t="s">
        <v>28</v>
      </c>
      <c r="J116">
        <v>59</v>
      </c>
      <c r="K116">
        <v>310</v>
      </c>
      <c r="L116">
        <v>2</v>
      </c>
      <c r="M116" t="s">
        <v>19</v>
      </c>
      <c r="N116">
        <v>83.9</v>
      </c>
      <c r="O116">
        <v>228</v>
      </c>
      <c r="P116">
        <v>0</v>
      </c>
    </row>
    <row r="117" spans="1:16" x14ac:dyDescent="0.25">
      <c r="A117" s="1">
        <v>45588.594039351854</v>
      </c>
      <c r="B117" t="s">
        <v>16</v>
      </c>
      <c r="C117">
        <v>-23.298200000000001</v>
      </c>
      <c r="D117">
        <v>143.86340000000001</v>
      </c>
      <c r="E117">
        <v>253</v>
      </c>
      <c r="F117" t="s">
        <v>21</v>
      </c>
      <c r="G117">
        <v>22.8</v>
      </c>
      <c r="H117">
        <v>78.7</v>
      </c>
      <c r="I117" t="s">
        <v>28</v>
      </c>
      <c r="J117">
        <v>49</v>
      </c>
      <c r="K117">
        <v>180</v>
      </c>
      <c r="L117">
        <v>3</v>
      </c>
      <c r="M117" t="s">
        <v>23</v>
      </c>
      <c r="N117">
        <v>74</v>
      </c>
      <c r="O117">
        <v>296</v>
      </c>
      <c r="P117">
        <v>0</v>
      </c>
    </row>
    <row r="118" spans="1:16" x14ac:dyDescent="0.25">
      <c r="A118" s="1">
        <v>45309.357233796298</v>
      </c>
      <c r="B118" t="s">
        <v>30</v>
      </c>
      <c r="C118">
        <v>-34.218899999999998</v>
      </c>
      <c r="D118">
        <v>-36.628799999999998</v>
      </c>
      <c r="E118">
        <v>491</v>
      </c>
      <c r="F118" t="s">
        <v>26</v>
      </c>
      <c r="G118">
        <v>25.5</v>
      </c>
      <c r="H118">
        <v>50.3</v>
      </c>
      <c r="I118" t="s">
        <v>22</v>
      </c>
      <c r="J118">
        <v>18</v>
      </c>
      <c r="K118">
        <v>111</v>
      </c>
      <c r="L118">
        <v>1</v>
      </c>
      <c r="M118" t="s">
        <v>23</v>
      </c>
      <c r="N118">
        <v>97.1</v>
      </c>
      <c r="O118">
        <v>100</v>
      </c>
      <c r="P118">
        <v>1</v>
      </c>
    </row>
    <row r="119" spans="1:16" x14ac:dyDescent="0.25">
      <c r="A119" s="1">
        <v>45611.487951388888</v>
      </c>
      <c r="B119" t="s">
        <v>33</v>
      </c>
      <c r="C119">
        <v>19.545000000000002</v>
      </c>
      <c r="D119">
        <v>73.096800000000002</v>
      </c>
      <c r="E119">
        <v>172</v>
      </c>
      <c r="F119" t="s">
        <v>17</v>
      </c>
      <c r="G119">
        <v>22.8</v>
      </c>
      <c r="H119">
        <v>60.4</v>
      </c>
      <c r="I119" t="s">
        <v>18</v>
      </c>
      <c r="J119">
        <v>38</v>
      </c>
      <c r="K119">
        <v>187</v>
      </c>
      <c r="L119">
        <v>9</v>
      </c>
      <c r="M119" t="s">
        <v>23</v>
      </c>
      <c r="N119">
        <v>83.3</v>
      </c>
      <c r="O119">
        <v>106</v>
      </c>
      <c r="P119">
        <v>1</v>
      </c>
    </row>
    <row r="120" spans="1:16" x14ac:dyDescent="0.25">
      <c r="A120" s="1">
        <v>45474.692974537036</v>
      </c>
      <c r="B120" t="s">
        <v>16</v>
      </c>
      <c r="C120">
        <v>33.335099999999997</v>
      </c>
      <c r="D120">
        <v>-103.926</v>
      </c>
      <c r="E120">
        <v>252</v>
      </c>
      <c r="F120" t="s">
        <v>17</v>
      </c>
      <c r="G120">
        <v>24.4</v>
      </c>
      <c r="H120">
        <v>72.3</v>
      </c>
      <c r="I120" t="s">
        <v>18</v>
      </c>
      <c r="J120">
        <v>54</v>
      </c>
      <c r="K120">
        <v>156</v>
      </c>
      <c r="L120">
        <v>6</v>
      </c>
      <c r="M120" t="s">
        <v>31</v>
      </c>
      <c r="N120">
        <v>86.8</v>
      </c>
      <c r="O120">
        <v>225</v>
      </c>
      <c r="P120">
        <v>1</v>
      </c>
    </row>
    <row r="121" spans="1:16" x14ac:dyDescent="0.25">
      <c r="A121" s="1">
        <v>45454.336215277777</v>
      </c>
      <c r="B121" t="s">
        <v>29</v>
      </c>
      <c r="C121">
        <v>-63.206400000000002</v>
      </c>
      <c r="D121">
        <v>30.081800000000001</v>
      </c>
      <c r="E121">
        <v>118</v>
      </c>
      <c r="F121" t="s">
        <v>17</v>
      </c>
      <c r="G121">
        <v>21.8</v>
      </c>
      <c r="H121">
        <v>52.1</v>
      </c>
      <c r="I121" t="s">
        <v>28</v>
      </c>
      <c r="J121">
        <v>19</v>
      </c>
      <c r="K121">
        <v>421</v>
      </c>
      <c r="L121">
        <v>8</v>
      </c>
      <c r="M121" t="s">
        <v>31</v>
      </c>
      <c r="N121">
        <v>99.1</v>
      </c>
      <c r="O121">
        <v>284</v>
      </c>
      <c r="P121">
        <v>1</v>
      </c>
    </row>
    <row r="122" spans="1:16" x14ac:dyDescent="0.25">
      <c r="A122" s="1">
        <v>45476.631064814814</v>
      </c>
      <c r="B122" t="s">
        <v>29</v>
      </c>
      <c r="C122">
        <v>83.285799999999995</v>
      </c>
      <c r="D122">
        <v>-66.106899999999996</v>
      </c>
      <c r="E122">
        <v>179</v>
      </c>
      <c r="F122" t="s">
        <v>17</v>
      </c>
      <c r="G122">
        <v>25</v>
      </c>
      <c r="H122">
        <v>71.099999999999994</v>
      </c>
      <c r="I122" t="s">
        <v>18</v>
      </c>
      <c r="J122">
        <v>60</v>
      </c>
      <c r="K122">
        <v>325</v>
      </c>
      <c r="L122">
        <v>1</v>
      </c>
      <c r="M122" t="s">
        <v>23</v>
      </c>
      <c r="N122">
        <v>66.8</v>
      </c>
      <c r="O122">
        <v>226</v>
      </c>
      <c r="P122">
        <v>1</v>
      </c>
    </row>
    <row r="123" spans="1:16" x14ac:dyDescent="0.25">
      <c r="A123" s="1">
        <v>45327.028819444444</v>
      </c>
      <c r="B123" t="s">
        <v>20</v>
      </c>
      <c r="C123">
        <v>-23.2424</v>
      </c>
      <c r="D123">
        <v>18.6206</v>
      </c>
      <c r="E123">
        <v>119</v>
      </c>
      <c r="F123" t="s">
        <v>26</v>
      </c>
      <c r="G123">
        <v>25.9</v>
      </c>
      <c r="H123">
        <v>77.7</v>
      </c>
      <c r="I123" t="s">
        <v>28</v>
      </c>
      <c r="J123">
        <v>38</v>
      </c>
      <c r="K123">
        <v>189</v>
      </c>
      <c r="L123">
        <v>7</v>
      </c>
      <c r="M123" t="s">
        <v>23</v>
      </c>
      <c r="N123">
        <v>79.3</v>
      </c>
      <c r="O123">
        <v>149</v>
      </c>
      <c r="P123">
        <v>0</v>
      </c>
    </row>
    <row r="124" spans="1:16" x14ac:dyDescent="0.25">
      <c r="A124" s="1">
        <v>45363.162569444445</v>
      </c>
      <c r="B124" t="s">
        <v>34</v>
      </c>
      <c r="C124">
        <v>-89.079300000000003</v>
      </c>
      <c r="D124">
        <v>130.33619999999999</v>
      </c>
      <c r="E124">
        <v>221</v>
      </c>
      <c r="F124" t="s">
        <v>17</v>
      </c>
      <c r="G124">
        <v>22.8</v>
      </c>
      <c r="H124">
        <v>76.099999999999994</v>
      </c>
      <c r="I124" t="s">
        <v>18</v>
      </c>
      <c r="J124">
        <v>35</v>
      </c>
      <c r="K124">
        <v>233</v>
      </c>
      <c r="L124">
        <v>4</v>
      </c>
      <c r="M124" t="s">
        <v>19</v>
      </c>
      <c r="N124">
        <v>61.5</v>
      </c>
      <c r="O124">
        <v>281</v>
      </c>
      <c r="P124">
        <v>1</v>
      </c>
    </row>
    <row r="125" spans="1:16" x14ac:dyDescent="0.25">
      <c r="A125" s="1">
        <v>45613.276689814818</v>
      </c>
      <c r="B125" t="s">
        <v>16</v>
      </c>
      <c r="C125">
        <v>-11.290800000000001</v>
      </c>
      <c r="D125">
        <v>-105.25149999999999</v>
      </c>
      <c r="E125">
        <v>261</v>
      </c>
      <c r="F125" t="s">
        <v>17</v>
      </c>
      <c r="G125">
        <v>24.5</v>
      </c>
      <c r="H125">
        <v>74.2</v>
      </c>
      <c r="I125" t="s">
        <v>18</v>
      </c>
      <c r="J125">
        <v>36</v>
      </c>
      <c r="K125">
        <v>201</v>
      </c>
      <c r="L125">
        <v>10</v>
      </c>
      <c r="M125" t="s">
        <v>31</v>
      </c>
      <c r="N125">
        <v>67</v>
      </c>
      <c r="O125">
        <v>226</v>
      </c>
      <c r="P125">
        <v>1</v>
      </c>
    </row>
    <row r="126" spans="1:16" x14ac:dyDescent="0.25">
      <c r="A126" s="1">
        <v>45503.432673611111</v>
      </c>
      <c r="B126" t="s">
        <v>34</v>
      </c>
      <c r="C126">
        <v>0.37730000000000002</v>
      </c>
      <c r="D126">
        <v>-13.6838</v>
      </c>
      <c r="E126">
        <v>226</v>
      </c>
      <c r="F126" t="s">
        <v>26</v>
      </c>
      <c r="G126">
        <v>25.4</v>
      </c>
      <c r="H126">
        <v>73.7</v>
      </c>
      <c r="I126" t="s">
        <v>18</v>
      </c>
      <c r="J126">
        <v>46</v>
      </c>
      <c r="K126">
        <v>138</v>
      </c>
      <c r="L126">
        <v>8</v>
      </c>
      <c r="M126" t="s">
        <v>27</v>
      </c>
      <c r="N126">
        <v>75.5</v>
      </c>
      <c r="O126">
        <v>298</v>
      </c>
      <c r="P126">
        <v>0</v>
      </c>
    </row>
    <row r="127" spans="1:16" x14ac:dyDescent="0.25">
      <c r="A127" s="1">
        <v>45633.674305555556</v>
      </c>
      <c r="B127" t="s">
        <v>24</v>
      </c>
      <c r="C127">
        <v>-7.77</v>
      </c>
      <c r="D127">
        <v>163.5958</v>
      </c>
      <c r="E127">
        <v>226</v>
      </c>
      <c r="F127" t="s">
        <v>21</v>
      </c>
      <c r="G127">
        <v>21.1</v>
      </c>
      <c r="H127">
        <v>56.1</v>
      </c>
      <c r="I127" t="s">
        <v>22</v>
      </c>
      <c r="J127">
        <v>50</v>
      </c>
      <c r="K127">
        <v>160</v>
      </c>
      <c r="L127">
        <v>5</v>
      </c>
      <c r="M127" t="s">
        <v>19</v>
      </c>
      <c r="N127">
        <v>77.3</v>
      </c>
      <c r="O127">
        <v>174</v>
      </c>
      <c r="P127">
        <v>1</v>
      </c>
    </row>
    <row r="128" spans="1:16" x14ac:dyDescent="0.25">
      <c r="A128" s="1">
        <v>45366.745925925927</v>
      </c>
      <c r="B128" t="s">
        <v>16</v>
      </c>
      <c r="C128">
        <v>-80.122200000000007</v>
      </c>
      <c r="D128">
        <v>-56.149700000000003</v>
      </c>
      <c r="E128">
        <v>415</v>
      </c>
      <c r="F128" t="s">
        <v>21</v>
      </c>
      <c r="G128">
        <v>25.3</v>
      </c>
      <c r="H128">
        <v>54.4</v>
      </c>
      <c r="I128" t="s">
        <v>22</v>
      </c>
      <c r="J128">
        <v>53</v>
      </c>
      <c r="K128">
        <v>345</v>
      </c>
      <c r="L128">
        <v>2</v>
      </c>
      <c r="M128" t="s">
        <v>31</v>
      </c>
      <c r="N128">
        <v>87.4</v>
      </c>
      <c r="O128">
        <v>181</v>
      </c>
      <c r="P128">
        <v>1</v>
      </c>
    </row>
    <row r="129" spans="1:16" x14ac:dyDescent="0.25">
      <c r="A129" s="1">
        <v>45580.284398148149</v>
      </c>
      <c r="B129" t="s">
        <v>33</v>
      </c>
      <c r="C129">
        <v>-84.804100000000005</v>
      </c>
      <c r="D129">
        <v>57.167999999999999</v>
      </c>
      <c r="E129">
        <v>422</v>
      </c>
      <c r="F129" t="s">
        <v>26</v>
      </c>
      <c r="G129">
        <v>29.7</v>
      </c>
      <c r="H129">
        <v>68.3</v>
      </c>
      <c r="I129" t="s">
        <v>22</v>
      </c>
      <c r="J129">
        <v>45</v>
      </c>
      <c r="K129">
        <v>246</v>
      </c>
      <c r="L129">
        <v>1</v>
      </c>
      <c r="M129" t="s">
        <v>23</v>
      </c>
      <c r="N129">
        <v>85.6</v>
      </c>
      <c r="O129">
        <v>136</v>
      </c>
      <c r="P129">
        <v>1</v>
      </c>
    </row>
    <row r="130" spans="1:16" x14ac:dyDescent="0.25">
      <c r="A130" s="1">
        <v>45531.286516203705</v>
      </c>
      <c r="B130" t="s">
        <v>32</v>
      </c>
      <c r="C130">
        <v>-13.147500000000001</v>
      </c>
      <c r="D130">
        <v>-1.0702</v>
      </c>
      <c r="E130">
        <v>413</v>
      </c>
      <c r="F130" t="s">
        <v>17</v>
      </c>
      <c r="G130">
        <v>23.4</v>
      </c>
      <c r="H130">
        <v>67.099999999999994</v>
      </c>
      <c r="I130" t="s">
        <v>22</v>
      </c>
      <c r="J130">
        <v>32</v>
      </c>
      <c r="K130">
        <v>325</v>
      </c>
      <c r="L130">
        <v>3</v>
      </c>
      <c r="M130" t="s">
        <v>31</v>
      </c>
      <c r="N130">
        <v>93.3</v>
      </c>
      <c r="O130">
        <v>109</v>
      </c>
      <c r="P130">
        <v>1</v>
      </c>
    </row>
    <row r="131" spans="1:16" x14ac:dyDescent="0.25">
      <c r="A131" s="1">
        <v>45506.084317129629</v>
      </c>
      <c r="B131" t="s">
        <v>35</v>
      </c>
      <c r="C131">
        <v>-87.554699999999997</v>
      </c>
      <c r="D131">
        <v>113.4629</v>
      </c>
      <c r="E131">
        <v>269</v>
      </c>
      <c r="F131" t="s">
        <v>21</v>
      </c>
      <c r="G131">
        <v>25.2</v>
      </c>
      <c r="H131">
        <v>57.7</v>
      </c>
      <c r="I131" t="s">
        <v>18</v>
      </c>
      <c r="J131">
        <v>20</v>
      </c>
      <c r="K131">
        <v>247</v>
      </c>
      <c r="L131">
        <v>2</v>
      </c>
      <c r="M131" t="s">
        <v>23</v>
      </c>
      <c r="N131">
        <v>60.9</v>
      </c>
      <c r="O131">
        <v>177</v>
      </c>
      <c r="P131">
        <v>0</v>
      </c>
    </row>
    <row r="132" spans="1:16" x14ac:dyDescent="0.25">
      <c r="A132" s="1">
        <v>45623.783958333333</v>
      </c>
      <c r="B132" t="s">
        <v>29</v>
      </c>
      <c r="C132">
        <v>72.906599999999997</v>
      </c>
      <c r="D132">
        <v>36.1965</v>
      </c>
      <c r="E132">
        <v>489</v>
      </c>
      <c r="F132" t="s">
        <v>26</v>
      </c>
      <c r="G132">
        <v>25.7</v>
      </c>
      <c r="H132">
        <v>50.1</v>
      </c>
      <c r="I132" t="s">
        <v>22</v>
      </c>
      <c r="J132">
        <v>51</v>
      </c>
      <c r="K132">
        <v>204</v>
      </c>
      <c r="L132">
        <v>1</v>
      </c>
      <c r="M132" t="s">
        <v>23</v>
      </c>
      <c r="N132">
        <v>65.099999999999994</v>
      </c>
      <c r="O132">
        <v>184</v>
      </c>
      <c r="P132">
        <v>1</v>
      </c>
    </row>
    <row r="133" spans="1:16" x14ac:dyDescent="0.25">
      <c r="A133" s="1">
        <v>45629.226666666669</v>
      </c>
      <c r="B133" t="s">
        <v>20</v>
      </c>
      <c r="C133">
        <v>16.1951</v>
      </c>
      <c r="D133">
        <v>-119.4492</v>
      </c>
      <c r="E133">
        <v>426</v>
      </c>
      <c r="F133" t="s">
        <v>21</v>
      </c>
      <c r="G133">
        <v>28.8</v>
      </c>
      <c r="H133">
        <v>56.2</v>
      </c>
      <c r="I133" t="s">
        <v>28</v>
      </c>
      <c r="J133">
        <v>30</v>
      </c>
      <c r="K133">
        <v>145</v>
      </c>
      <c r="L133">
        <v>3</v>
      </c>
      <c r="M133" t="s">
        <v>27</v>
      </c>
      <c r="N133">
        <v>81.2</v>
      </c>
      <c r="O133">
        <v>220</v>
      </c>
      <c r="P133">
        <v>0</v>
      </c>
    </row>
    <row r="134" spans="1:16" x14ac:dyDescent="0.25">
      <c r="A134" s="1">
        <v>45327.138692129629</v>
      </c>
      <c r="B134" t="s">
        <v>34</v>
      </c>
      <c r="C134">
        <v>28.3461</v>
      </c>
      <c r="D134">
        <v>-1.5547</v>
      </c>
      <c r="E134">
        <v>457</v>
      </c>
      <c r="F134" t="s">
        <v>26</v>
      </c>
      <c r="G134">
        <v>27.9</v>
      </c>
      <c r="H134">
        <v>78.599999999999994</v>
      </c>
      <c r="I134" t="s">
        <v>22</v>
      </c>
      <c r="J134">
        <v>18</v>
      </c>
      <c r="K134">
        <v>461</v>
      </c>
      <c r="L134">
        <v>6</v>
      </c>
      <c r="M134" t="s">
        <v>23</v>
      </c>
      <c r="N134">
        <v>69.099999999999994</v>
      </c>
      <c r="O134">
        <v>137</v>
      </c>
      <c r="P134">
        <v>1</v>
      </c>
    </row>
    <row r="135" spans="1:16" x14ac:dyDescent="0.25">
      <c r="A135" s="1">
        <v>45645.957048611112</v>
      </c>
      <c r="B135" t="s">
        <v>35</v>
      </c>
      <c r="C135">
        <v>-35.566299999999998</v>
      </c>
      <c r="D135">
        <v>47.402799999999999</v>
      </c>
      <c r="E135">
        <v>270</v>
      </c>
      <c r="F135" t="s">
        <v>26</v>
      </c>
      <c r="G135">
        <v>21.7</v>
      </c>
      <c r="H135">
        <v>53.6</v>
      </c>
      <c r="I135" t="s">
        <v>28</v>
      </c>
      <c r="J135">
        <v>15</v>
      </c>
      <c r="K135">
        <v>499</v>
      </c>
      <c r="L135">
        <v>8</v>
      </c>
      <c r="M135" t="s">
        <v>31</v>
      </c>
      <c r="N135">
        <v>94.9</v>
      </c>
      <c r="O135">
        <v>111</v>
      </c>
      <c r="P135">
        <v>0</v>
      </c>
    </row>
    <row r="136" spans="1:16" x14ac:dyDescent="0.25">
      <c r="A136" s="1">
        <v>45619.364016203705</v>
      </c>
      <c r="B136" t="s">
        <v>16</v>
      </c>
      <c r="C136">
        <v>-33.246000000000002</v>
      </c>
      <c r="D136">
        <v>106.3248</v>
      </c>
      <c r="E136">
        <v>267</v>
      </c>
      <c r="F136" t="s">
        <v>21</v>
      </c>
      <c r="G136">
        <v>29.8</v>
      </c>
      <c r="H136">
        <v>79.8</v>
      </c>
      <c r="I136" t="s">
        <v>22</v>
      </c>
      <c r="J136">
        <v>55</v>
      </c>
      <c r="K136">
        <v>282</v>
      </c>
      <c r="L136">
        <v>5</v>
      </c>
      <c r="M136" t="s">
        <v>19</v>
      </c>
      <c r="N136">
        <v>90.5</v>
      </c>
      <c r="O136">
        <v>173</v>
      </c>
      <c r="P136">
        <v>1</v>
      </c>
    </row>
    <row r="137" spans="1:16" x14ac:dyDescent="0.25">
      <c r="A137" s="1">
        <v>45412.617569444446</v>
      </c>
      <c r="B137" t="s">
        <v>34</v>
      </c>
      <c r="C137">
        <v>10.2059</v>
      </c>
      <c r="D137">
        <v>98.617999999999995</v>
      </c>
      <c r="E137">
        <v>381</v>
      </c>
      <c r="F137" t="s">
        <v>26</v>
      </c>
      <c r="G137">
        <v>24.4</v>
      </c>
      <c r="H137">
        <v>50.1</v>
      </c>
      <c r="I137" t="s">
        <v>22</v>
      </c>
      <c r="J137">
        <v>54</v>
      </c>
      <c r="K137">
        <v>243</v>
      </c>
      <c r="L137">
        <v>6</v>
      </c>
      <c r="M137" t="s">
        <v>19</v>
      </c>
      <c r="N137">
        <v>61.5</v>
      </c>
      <c r="O137">
        <v>278</v>
      </c>
      <c r="P137">
        <v>1</v>
      </c>
    </row>
    <row r="138" spans="1:16" x14ac:dyDescent="0.25">
      <c r="A138" s="1">
        <v>45450.28193287037</v>
      </c>
      <c r="B138" t="s">
        <v>33</v>
      </c>
      <c r="C138">
        <v>-6.2310999999999996</v>
      </c>
      <c r="D138">
        <v>173.62639999999999</v>
      </c>
      <c r="E138">
        <v>402</v>
      </c>
      <c r="F138" t="s">
        <v>26</v>
      </c>
      <c r="G138">
        <v>27</v>
      </c>
      <c r="H138">
        <v>74.2</v>
      </c>
      <c r="I138" t="s">
        <v>22</v>
      </c>
      <c r="J138">
        <v>17</v>
      </c>
      <c r="K138">
        <v>155</v>
      </c>
      <c r="L138">
        <v>10</v>
      </c>
      <c r="M138" t="s">
        <v>27</v>
      </c>
      <c r="N138">
        <v>73.400000000000006</v>
      </c>
      <c r="O138">
        <v>281</v>
      </c>
      <c r="P138">
        <v>1</v>
      </c>
    </row>
    <row r="139" spans="1:16" x14ac:dyDescent="0.25">
      <c r="A139" s="1">
        <v>45620.201053240744</v>
      </c>
      <c r="B139" t="s">
        <v>29</v>
      </c>
      <c r="C139">
        <v>-78.109399999999994</v>
      </c>
      <c r="D139">
        <v>-52.543500000000002</v>
      </c>
      <c r="E139">
        <v>331</v>
      </c>
      <c r="F139" t="s">
        <v>26</v>
      </c>
      <c r="G139">
        <v>20.399999999999999</v>
      </c>
      <c r="H139">
        <v>66.099999999999994</v>
      </c>
      <c r="I139" t="s">
        <v>22</v>
      </c>
      <c r="J139">
        <v>25</v>
      </c>
      <c r="K139">
        <v>261</v>
      </c>
      <c r="L139">
        <v>6</v>
      </c>
      <c r="M139" t="s">
        <v>31</v>
      </c>
      <c r="N139">
        <v>77.7</v>
      </c>
      <c r="O139">
        <v>264</v>
      </c>
      <c r="P139">
        <v>1</v>
      </c>
    </row>
    <row r="140" spans="1:16" x14ac:dyDescent="0.25">
      <c r="A140" s="1">
        <v>45502.039004629631</v>
      </c>
      <c r="B140" t="s">
        <v>34</v>
      </c>
      <c r="C140">
        <v>-70.364500000000007</v>
      </c>
      <c r="D140">
        <v>-128.8622</v>
      </c>
      <c r="E140">
        <v>167</v>
      </c>
      <c r="F140" t="s">
        <v>26</v>
      </c>
      <c r="G140">
        <v>25.6</v>
      </c>
      <c r="H140">
        <v>62.5</v>
      </c>
      <c r="I140" t="s">
        <v>18</v>
      </c>
      <c r="J140">
        <v>40</v>
      </c>
      <c r="K140">
        <v>246</v>
      </c>
      <c r="L140">
        <v>9</v>
      </c>
      <c r="M140" t="s">
        <v>27</v>
      </c>
      <c r="N140">
        <v>63.8</v>
      </c>
      <c r="O140">
        <v>126</v>
      </c>
      <c r="P140">
        <v>0</v>
      </c>
    </row>
    <row r="141" spans="1:16" x14ac:dyDescent="0.25">
      <c r="A141" s="1">
        <v>45444.833518518521</v>
      </c>
      <c r="B141" t="s">
        <v>29</v>
      </c>
      <c r="C141">
        <v>18.118300000000001</v>
      </c>
      <c r="D141">
        <v>116.4939</v>
      </c>
      <c r="E141">
        <v>187</v>
      </c>
      <c r="F141" t="s">
        <v>17</v>
      </c>
      <c r="G141">
        <v>23.3</v>
      </c>
      <c r="H141">
        <v>71.7</v>
      </c>
      <c r="I141" t="s">
        <v>22</v>
      </c>
      <c r="J141">
        <v>10</v>
      </c>
      <c r="K141">
        <v>209</v>
      </c>
      <c r="L141">
        <v>10</v>
      </c>
      <c r="M141" t="s">
        <v>27</v>
      </c>
      <c r="N141">
        <v>97.2</v>
      </c>
      <c r="O141">
        <v>151</v>
      </c>
      <c r="P141">
        <v>1</v>
      </c>
    </row>
    <row r="142" spans="1:16" x14ac:dyDescent="0.25">
      <c r="A142" s="1">
        <v>45491.513425925928</v>
      </c>
      <c r="B142" t="s">
        <v>24</v>
      </c>
      <c r="C142">
        <v>20.296900000000001</v>
      </c>
      <c r="D142">
        <v>124.1885</v>
      </c>
      <c r="E142">
        <v>298</v>
      </c>
      <c r="F142" t="s">
        <v>21</v>
      </c>
      <c r="G142">
        <v>18.600000000000001</v>
      </c>
      <c r="H142">
        <v>74.400000000000006</v>
      </c>
      <c r="I142" t="s">
        <v>18</v>
      </c>
      <c r="J142">
        <v>41</v>
      </c>
      <c r="K142">
        <v>248</v>
      </c>
      <c r="L142">
        <v>1</v>
      </c>
      <c r="M142" t="s">
        <v>19</v>
      </c>
      <c r="N142">
        <v>86.3</v>
      </c>
      <c r="O142">
        <v>283</v>
      </c>
      <c r="P142">
        <v>0</v>
      </c>
    </row>
    <row r="143" spans="1:16" x14ac:dyDescent="0.25">
      <c r="A143" s="1">
        <v>45642.492060185185</v>
      </c>
      <c r="B143" t="s">
        <v>20</v>
      </c>
      <c r="C143">
        <v>-27.738700000000001</v>
      </c>
      <c r="D143">
        <v>19.6189</v>
      </c>
      <c r="E143">
        <v>331</v>
      </c>
      <c r="F143" t="s">
        <v>17</v>
      </c>
      <c r="G143">
        <v>21.4</v>
      </c>
      <c r="H143">
        <v>62.9</v>
      </c>
      <c r="I143" t="s">
        <v>18</v>
      </c>
      <c r="J143">
        <v>46</v>
      </c>
      <c r="K143">
        <v>235</v>
      </c>
      <c r="L143">
        <v>8</v>
      </c>
      <c r="M143" t="s">
        <v>31</v>
      </c>
      <c r="N143">
        <v>62.6</v>
      </c>
      <c r="O143">
        <v>298</v>
      </c>
      <c r="P143">
        <v>1</v>
      </c>
    </row>
    <row r="144" spans="1:16" x14ac:dyDescent="0.25">
      <c r="A144" s="1">
        <v>45397.94258101852</v>
      </c>
      <c r="B144" t="s">
        <v>30</v>
      </c>
      <c r="C144">
        <v>-31.1328</v>
      </c>
      <c r="D144">
        <v>175.84530000000001</v>
      </c>
      <c r="E144">
        <v>180</v>
      </c>
      <c r="F144" t="s">
        <v>26</v>
      </c>
      <c r="G144">
        <v>27.2</v>
      </c>
      <c r="H144">
        <v>52.9</v>
      </c>
      <c r="I144" t="s">
        <v>28</v>
      </c>
      <c r="J144">
        <v>29</v>
      </c>
      <c r="K144">
        <v>390</v>
      </c>
      <c r="L144">
        <v>8</v>
      </c>
      <c r="M144" t="s">
        <v>31</v>
      </c>
      <c r="N144">
        <v>68.400000000000006</v>
      </c>
      <c r="O144">
        <v>110</v>
      </c>
      <c r="P144">
        <v>0</v>
      </c>
    </row>
    <row r="145" spans="1:16" x14ac:dyDescent="0.25">
      <c r="A145" s="1">
        <v>45387.437002314815</v>
      </c>
      <c r="B145" t="s">
        <v>24</v>
      </c>
      <c r="C145">
        <v>24.8353</v>
      </c>
      <c r="D145">
        <v>-83.717299999999994</v>
      </c>
      <c r="E145">
        <v>282</v>
      </c>
      <c r="F145" t="s">
        <v>21</v>
      </c>
      <c r="G145">
        <v>19.399999999999999</v>
      </c>
      <c r="H145">
        <v>71.900000000000006</v>
      </c>
      <c r="I145" t="s">
        <v>28</v>
      </c>
      <c r="J145">
        <v>43</v>
      </c>
      <c r="K145">
        <v>464</v>
      </c>
      <c r="L145">
        <v>10</v>
      </c>
      <c r="M145" t="s">
        <v>27</v>
      </c>
      <c r="N145">
        <v>90</v>
      </c>
      <c r="O145">
        <v>107</v>
      </c>
      <c r="P145">
        <v>0</v>
      </c>
    </row>
    <row r="146" spans="1:16" x14ac:dyDescent="0.25">
      <c r="A146" s="1">
        <v>45646.518275462964</v>
      </c>
      <c r="B146" t="s">
        <v>29</v>
      </c>
      <c r="C146">
        <v>-32.723999999999997</v>
      </c>
      <c r="D146">
        <v>82.957700000000003</v>
      </c>
      <c r="E146">
        <v>363</v>
      </c>
      <c r="F146" t="s">
        <v>17</v>
      </c>
      <c r="G146">
        <v>27</v>
      </c>
      <c r="H146">
        <v>70.900000000000006</v>
      </c>
      <c r="I146" t="s">
        <v>18</v>
      </c>
      <c r="J146">
        <v>52</v>
      </c>
      <c r="K146">
        <v>482</v>
      </c>
      <c r="L146">
        <v>6</v>
      </c>
      <c r="M146" t="s">
        <v>23</v>
      </c>
      <c r="N146">
        <v>62.9</v>
      </c>
      <c r="O146">
        <v>248</v>
      </c>
      <c r="P146">
        <v>1</v>
      </c>
    </row>
    <row r="147" spans="1:16" x14ac:dyDescent="0.25">
      <c r="A147" s="1">
        <v>45475.130173611113</v>
      </c>
      <c r="B147" t="s">
        <v>33</v>
      </c>
      <c r="C147">
        <v>72.122</v>
      </c>
      <c r="D147">
        <v>89.972800000000007</v>
      </c>
      <c r="E147">
        <v>212</v>
      </c>
      <c r="F147" t="s">
        <v>26</v>
      </c>
      <c r="G147">
        <v>25.9</v>
      </c>
      <c r="H147">
        <v>68</v>
      </c>
      <c r="I147" t="s">
        <v>22</v>
      </c>
      <c r="J147">
        <v>32</v>
      </c>
      <c r="K147">
        <v>312</v>
      </c>
      <c r="L147">
        <v>6</v>
      </c>
      <c r="M147" t="s">
        <v>31</v>
      </c>
      <c r="N147">
        <v>87.6</v>
      </c>
      <c r="O147">
        <v>296</v>
      </c>
      <c r="P147">
        <v>1</v>
      </c>
    </row>
    <row r="148" spans="1:16" x14ac:dyDescent="0.25">
      <c r="A148" s="1">
        <v>45319.196793981479</v>
      </c>
      <c r="B148" t="s">
        <v>35</v>
      </c>
      <c r="C148">
        <v>-7.6360000000000001</v>
      </c>
      <c r="D148">
        <v>51.061500000000002</v>
      </c>
      <c r="E148">
        <v>317</v>
      </c>
      <c r="F148" t="s">
        <v>21</v>
      </c>
      <c r="G148">
        <v>23.9</v>
      </c>
      <c r="H148">
        <v>69.5</v>
      </c>
      <c r="I148" t="s">
        <v>28</v>
      </c>
      <c r="J148">
        <v>59</v>
      </c>
      <c r="K148">
        <v>447</v>
      </c>
      <c r="L148">
        <v>1</v>
      </c>
      <c r="M148" t="s">
        <v>23</v>
      </c>
      <c r="N148">
        <v>97.1</v>
      </c>
      <c r="O148">
        <v>294</v>
      </c>
      <c r="P148">
        <v>0</v>
      </c>
    </row>
    <row r="149" spans="1:16" x14ac:dyDescent="0.25">
      <c r="A149" s="1">
        <v>45305.860578703701</v>
      </c>
      <c r="B149" t="s">
        <v>30</v>
      </c>
      <c r="C149">
        <v>-24.011800000000001</v>
      </c>
      <c r="D149">
        <v>111.4726</v>
      </c>
      <c r="E149">
        <v>240</v>
      </c>
      <c r="F149" t="s">
        <v>26</v>
      </c>
      <c r="G149">
        <v>18.8</v>
      </c>
      <c r="H149">
        <v>63.9</v>
      </c>
      <c r="I149" t="s">
        <v>18</v>
      </c>
      <c r="J149">
        <v>23</v>
      </c>
      <c r="K149">
        <v>462</v>
      </c>
      <c r="L149">
        <v>1</v>
      </c>
      <c r="M149" t="s">
        <v>19</v>
      </c>
      <c r="N149">
        <v>61.2</v>
      </c>
      <c r="O149">
        <v>276</v>
      </c>
      <c r="P149">
        <v>0</v>
      </c>
    </row>
    <row r="150" spans="1:16" x14ac:dyDescent="0.25">
      <c r="A150" s="1">
        <v>45510.482685185183</v>
      </c>
      <c r="B150" t="s">
        <v>24</v>
      </c>
      <c r="C150">
        <v>77.004199999999997</v>
      </c>
      <c r="D150">
        <v>-12.2919</v>
      </c>
      <c r="E150">
        <v>427</v>
      </c>
      <c r="F150" t="s">
        <v>17</v>
      </c>
      <c r="G150">
        <v>20.3</v>
      </c>
      <c r="H150">
        <v>57.3</v>
      </c>
      <c r="I150" t="s">
        <v>22</v>
      </c>
      <c r="J150">
        <v>18</v>
      </c>
      <c r="K150">
        <v>341</v>
      </c>
      <c r="L150">
        <v>3</v>
      </c>
      <c r="M150" t="s">
        <v>23</v>
      </c>
      <c r="N150">
        <v>85.7</v>
      </c>
      <c r="O150">
        <v>189</v>
      </c>
      <c r="P150">
        <v>1</v>
      </c>
    </row>
    <row r="151" spans="1:16" x14ac:dyDescent="0.25">
      <c r="A151" s="1">
        <v>45634.048877314817</v>
      </c>
      <c r="B151" t="s">
        <v>24</v>
      </c>
      <c r="C151">
        <v>-38.686700000000002</v>
      </c>
      <c r="D151">
        <v>-19.9939</v>
      </c>
      <c r="E151">
        <v>144</v>
      </c>
      <c r="F151" t="s">
        <v>17</v>
      </c>
      <c r="G151">
        <v>18.2</v>
      </c>
      <c r="H151">
        <v>53.1</v>
      </c>
      <c r="I151" t="s">
        <v>28</v>
      </c>
      <c r="J151">
        <v>16</v>
      </c>
      <c r="K151">
        <v>106</v>
      </c>
      <c r="L151">
        <v>5</v>
      </c>
      <c r="M151" t="s">
        <v>23</v>
      </c>
      <c r="N151">
        <v>69.400000000000006</v>
      </c>
      <c r="O151">
        <v>214</v>
      </c>
      <c r="P151">
        <v>1</v>
      </c>
    </row>
    <row r="152" spans="1:16" x14ac:dyDescent="0.25">
      <c r="A152" s="1">
        <v>45349.077766203707</v>
      </c>
      <c r="B152" t="s">
        <v>32</v>
      </c>
      <c r="C152">
        <v>41.375</v>
      </c>
      <c r="D152">
        <v>77.294899999999998</v>
      </c>
      <c r="E152">
        <v>280</v>
      </c>
      <c r="F152" t="s">
        <v>21</v>
      </c>
      <c r="G152">
        <v>25.5</v>
      </c>
      <c r="H152">
        <v>74.2</v>
      </c>
      <c r="I152" t="s">
        <v>28</v>
      </c>
      <c r="J152">
        <v>46</v>
      </c>
      <c r="K152">
        <v>447</v>
      </c>
      <c r="L152">
        <v>2</v>
      </c>
      <c r="M152" t="s">
        <v>27</v>
      </c>
      <c r="N152">
        <v>65.3</v>
      </c>
      <c r="O152">
        <v>236</v>
      </c>
      <c r="P152">
        <v>0</v>
      </c>
    </row>
    <row r="153" spans="1:16" x14ac:dyDescent="0.25">
      <c r="A153" s="1">
        <v>45336.894803240742</v>
      </c>
      <c r="B153" t="s">
        <v>30</v>
      </c>
      <c r="C153">
        <v>-68.465100000000007</v>
      </c>
      <c r="D153">
        <v>179.44329999999999</v>
      </c>
      <c r="E153">
        <v>182</v>
      </c>
      <c r="F153" t="s">
        <v>17</v>
      </c>
      <c r="G153">
        <v>20.3</v>
      </c>
      <c r="H153">
        <v>59.8</v>
      </c>
      <c r="I153" t="s">
        <v>18</v>
      </c>
      <c r="J153">
        <v>30</v>
      </c>
      <c r="K153">
        <v>288</v>
      </c>
      <c r="L153">
        <v>7</v>
      </c>
      <c r="M153" t="s">
        <v>19</v>
      </c>
      <c r="N153">
        <v>83.3</v>
      </c>
      <c r="O153">
        <v>107</v>
      </c>
      <c r="P153">
        <v>1</v>
      </c>
    </row>
    <row r="154" spans="1:16" x14ac:dyDescent="0.25">
      <c r="A154" s="1">
        <v>45372.491956018515</v>
      </c>
      <c r="B154" t="s">
        <v>33</v>
      </c>
      <c r="C154">
        <v>-13.0063</v>
      </c>
      <c r="D154">
        <v>0.53449999999999998</v>
      </c>
      <c r="E154">
        <v>439</v>
      </c>
      <c r="F154" t="s">
        <v>17</v>
      </c>
      <c r="G154">
        <v>21.5</v>
      </c>
      <c r="H154">
        <v>72.8</v>
      </c>
      <c r="I154" t="s">
        <v>22</v>
      </c>
      <c r="J154">
        <v>30</v>
      </c>
      <c r="K154">
        <v>101</v>
      </c>
      <c r="L154">
        <v>10</v>
      </c>
      <c r="M154" t="s">
        <v>31</v>
      </c>
      <c r="N154">
        <v>90.4</v>
      </c>
      <c r="O154">
        <v>114</v>
      </c>
      <c r="P154">
        <v>1</v>
      </c>
    </row>
    <row r="155" spans="1:16" x14ac:dyDescent="0.25">
      <c r="A155" s="1">
        <v>45581.955706018518</v>
      </c>
      <c r="B155" t="s">
        <v>30</v>
      </c>
      <c r="C155">
        <v>41.306600000000003</v>
      </c>
      <c r="D155">
        <v>161.14619999999999</v>
      </c>
      <c r="E155">
        <v>174</v>
      </c>
      <c r="F155" t="s">
        <v>17</v>
      </c>
      <c r="G155">
        <v>27.2</v>
      </c>
      <c r="H155">
        <v>77.900000000000006</v>
      </c>
      <c r="I155" t="s">
        <v>22</v>
      </c>
      <c r="J155">
        <v>39</v>
      </c>
      <c r="K155">
        <v>173</v>
      </c>
      <c r="L155">
        <v>5</v>
      </c>
      <c r="M155" t="s">
        <v>31</v>
      </c>
      <c r="N155">
        <v>91.1</v>
      </c>
      <c r="O155">
        <v>262</v>
      </c>
      <c r="P155">
        <v>1</v>
      </c>
    </row>
    <row r="156" spans="1:16" x14ac:dyDescent="0.25">
      <c r="A156" s="1">
        <v>45343.972696759258</v>
      </c>
      <c r="B156" t="s">
        <v>20</v>
      </c>
      <c r="C156">
        <v>-23.101099999999999</v>
      </c>
      <c r="D156">
        <v>-54.517600000000002</v>
      </c>
      <c r="E156">
        <v>186</v>
      </c>
      <c r="F156" t="s">
        <v>17</v>
      </c>
      <c r="G156">
        <v>24</v>
      </c>
      <c r="H156">
        <v>67.3</v>
      </c>
      <c r="I156" t="s">
        <v>18</v>
      </c>
      <c r="J156">
        <v>44</v>
      </c>
      <c r="K156">
        <v>352</v>
      </c>
      <c r="L156">
        <v>9</v>
      </c>
      <c r="M156" t="s">
        <v>19</v>
      </c>
      <c r="N156">
        <v>85.7</v>
      </c>
      <c r="O156">
        <v>262</v>
      </c>
      <c r="P156">
        <v>1</v>
      </c>
    </row>
    <row r="157" spans="1:16" x14ac:dyDescent="0.25">
      <c r="A157" s="1">
        <v>45559.928587962961</v>
      </c>
      <c r="B157" t="s">
        <v>24</v>
      </c>
      <c r="C157">
        <v>-17.608799999999999</v>
      </c>
      <c r="D157">
        <v>-41.430399999999999</v>
      </c>
      <c r="E157">
        <v>109</v>
      </c>
      <c r="F157" t="s">
        <v>26</v>
      </c>
      <c r="G157">
        <v>26.9</v>
      </c>
      <c r="H157">
        <v>75.3</v>
      </c>
      <c r="I157" t="s">
        <v>18</v>
      </c>
      <c r="J157">
        <v>26</v>
      </c>
      <c r="K157">
        <v>314</v>
      </c>
      <c r="L157">
        <v>7</v>
      </c>
      <c r="M157" t="s">
        <v>19</v>
      </c>
      <c r="N157">
        <v>93.3</v>
      </c>
      <c r="O157">
        <v>176</v>
      </c>
      <c r="P157">
        <v>0</v>
      </c>
    </row>
    <row r="158" spans="1:16" x14ac:dyDescent="0.25">
      <c r="A158" s="1">
        <v>45381.432060185187</v>
      </c>
      <c r="B158" t="s">
        <v>29</v>
      </c>
      <c r="C158">
        <v>-72.449200000000005</v>
      </c>
      <c r="D158">
        <v>131.85239999999999</v>
      </c>
      <c r="E158">
        <v>483</v>
      </c>
      <c r="F158" t="s">
        <v>21</v>
      </c>
      <c r="G158">
        <v>21.9</v>
      </c>
      <c r="H158">
        <v>71.900000000000006</v>
      </c>
      <c r="I158" t="s">
        <v>18</v>
      </c>
      <c r="J158">
        <v>59</v>
      </c>
      <c r="K158">
        <v>226</v>
      </c>
      <c r="L158">
        <v>10</v>
      </c>
      <c r="M158" t="s">
        <v>31</v>
      </c>
      <c r="N158">
        <v>69.2</v>
      </c>
      <c r="O158">
        <v>152</v>
      </c>
      <c r="P158">
        <v>0</v>
      </c>
    </row>
    <row r="159" spans="1:16" x14ac:dyDescent="0.25">
      <c r="A159" s="1">
        <v>45641.317395833335</v>
      </c>
      <c r="B159" t="s">
        <v>30</v>
      </c>
      <c r="C159">
        <v>27.360099999999999</v>
      </c>
      <c r="D159">
        <v>-105.0457</v>
      </c>
      <c r="E159">
        <v>100</v>
      </c>
      <c r="F159" t="s">
        <v>17</v>
      </c>
      <c r="G159">
        <v>27.5</v>
      </c>
      <c r="H159">
        <v>68.599999999999994</v>
      </c>
      <c r="I159" t="s">
        <v>28</v>
      </c>
      <c r="J159">
        <v>49</v>
      </c>
      <c r="K159">
        <v>464</v>
      </c>
      <c r="L159">
        <v>3</v>
      </c>
      <c r="M159" t="s">
        <v>19</v>
      </c>
      <c r="N159">
        <v>61.7</v>
      </c>
      <c r="O159">
        <v>149</v>
      </c>
      <c r="P159">
        <v>1</v>
      </c>
    </row>
    <row r="160" spans="1:16" x14ac:dyDescent="0.25">
      <c r="A160" s="1">
        <v>45377.936990740738</v>
      </c>
      <c r="B160" t="s">
        <v>35</v>
      </c>
      <c r="C160">
        <v>-86.5291</v>
      </c>
      <c r="D160">
        <v>-36.578899999999997</v>
      </c>
      <c r="E160">
        <v>128</v>
      </c>
      <c r="F160" t="s">
        <v>26</v>
      </c>
      <c r="G160">
        <v>28.9</v>
      </c>
      <c r="H160">
        <v>63.7</v>
      </c>
      <c r="I160" t="s">
        <v>28</v>
      </c>
      <c r="J160">
        <v>56</v>
      </c>
      <c r="K160">
        <v>140</v>
      </c>
      <c r="L160">
        <v>1</v>
      </c>
      <c r="M160" t="s">
        <v>23</v>
      </c>
      <c r="N160">
        <v>72.8</v>
      </c>
      <c r="O160">
        <v>127</v>
      </c>
      <c r="P160">
        <v>0</v>
      </c>
    </row>
    <row r="161" spans="1:16" x14ac:dyDescent="0.25">
      <c r="A161" s="1">
        <v>45421.784409722219</v>
      </c>
      <c r="B161" t="s">
        <v>24</v>
      </c>
      <c r="C161">
        <v>10.207800000000001</v>
      </c>
      <c r="D161">
        <v>36.856999999999999</v>
      </c>
      <c r="E161">
        <v>100</v>
      </c>
      <c r="F161" t="s">
        <v>21</v>
      </c>
      <c r="G161">
        <v>21.9</v>
      </c>
      <c r="H161">
        <v>72.099999999999994</v>
      </c>
      <c r="I161" t="s">
        <v>18</v>
      </c>
      <c r="J161">
        <v>22</v>
      </c>
      <c r="K161">
        <v>413</v>
      </c>
      <c r="L161">
        <v>1</v>
      </c>
      <c r="M161" t="s">
        <v>23</v>
      </c>
      <c r="N161">
        <v>67.5</v>
      </c>
      <c r="O161">
        <v>145</v>
      </c>
      <c r="P161">
        <v>0</v>
      </c>
    </row>
    <row r="162" spans="1:16" x14ac:dyDescent="0.25">
      <c r="A162" s="1">
        <v>45615.414594907408</v>
      </c>
      <c r="B162" t="s">
        <v>20</v>
      </c>
      <c r="C162">
        <v>-42.675899999999999</v>
      </c>
      <c r="D162">
        <v>-7.9817999999999998</v>
      </c>
      <c r="E162">
        <v>468</v>
      </c>
      <c r="F162" t="s">
        <v>17</v>
      </c>
      <c r="G162">
        <v>28.6</v>
      </c>
      <c r="H162">
        <v>65.099999999999994</v>
      </c>
      <c r="I162" t="s">
        <v>22</v>
      </c>
      <c r="J162">
        <v>45</v>
      </c>
      <c r="K162">
        <v>419</v>
      </c>
      <c r="L162">
        <v>8</v>
      </c>
      <c r="M162" t="s">
        <v>19</v>
      </c>
      <c r="N162">
        <v>76.099999999999994</v>
      </c>
      <c r="O162">
        <v>119</v>
      </c>
      <c r="P162">
        <v>1</v>
      </c>
    </row>
    <row r="163" spans="1:16" x14ac:dyDescent="0.25">
      <c r="A163" s="1">
        <v>45622.714687500003</v>
      </c>
      <c r="B163" t="s">
        <v>32</v>
      </c>
      <c r="C163">
        <v>36.249400000000001</v>
      </c>
      <c r="D163">
        <v>143.1951</v>
      </c>
      <c r="E163">
        <v>243</v>
      </c>
      <c r="F163" t="s">
        <v>21</v>
      </c>
      <c r="G163">
        <v>27.7</v>
      </c>
      <c r="H163">
        <v>74.8</v>
      </c>
      <c r="I163" t="s">
        <v>18</v>
      </c>
      <c r="J163">
        <v>28</v>
      </c>
      <c r="K163">
        <v>311</v>
      </c>
      <c r="L163">
        <v>9</v>
      </c>
      <c r="M163" t="s">
        <v>19</v>
      </c>
      <c r="N163">
        <v>97.5</v>
      </c>
      <c r="O163">
        <v>272</v>
      </c>
      <c r="P163">
        <v>0</v>
      </c>
    </row>
    <row r="164" spans="1:16" x14ac:dyDescent="0.25">
      <c r="A164" s="1">
        <v>45402.412708333337</v>
      </c>
      <c r="B164" t="s">
        <v>30</v>
      </c>
      <c r="C164">
        <v>28.996400000000001</v>
      </c>
      <c r="D164">
        <v>151.6114</v>
      </c>
      <c r="E164">
        <v>134</v>
      </c>
      <c r="F164" t="s">
        <v>17</v>
      </c>
      <c r="G164">
        <v>29.2</v>
      </c>
      <c r="H164">
        <v>55.5</v>
      </c>
      <c r="I164" t="s">
        <v>18</v>
      </c>
      <c r="J164">
        <v>34</v>
      </c>
      <c r="K164">
        <v>189</v>
      </c>
      <c r="L164">
        <v>1</v>
      </c>
      <c r="M164" t="s">
        <v>23</v>
      </c>
      <c r="N164">
        <v>87.8</v>
      </c>
      <c r="O164">
        <v>270</v>
      </c>
      <c r="P164">
        <v>1</v>
      </c>
    </row>
    <row r="165" spans="1:16" x14ac:dyDescent="0.25">
      <c r="A165" s="1">
        <v>45448.805046296293</v>
      </c>
      <c r="B165" t="s">
        <v>33</v>
      </c>
      <c r="C165">
        <v>-22.1005</v>
      </c>
      <c r="D165">
        <v>-38.844900000000003</v>
      </c>
      <c r="E165">
        <v>484</v>
      </c>
      <c r="F165" t="s">
        <v>26</v>
      </c>
      <c r="G165">
        <v>29.1</v>
      </c>
      <c r="H165">
        <v>54.7</v>
      </c>
      <c r="I165" t="s">
        <v>18</v>
      </c>
      <c r="J165">
        <v>48</v>
      </c>
      <c r="K165">
        <v>320</v>
      </c>
      <c r="L165">
        <v>7</v>
      </c>
      <c r="M165" t="s">
        <v>23</v>
      </c>
      <c r="N165">
        <v>84.6</v>
      </c>
      <c r="O165">
        <v>118</v>
      </c>
      <c r="P165">
        <v>0</v>
      </c>
    </row>
    <row r="166" spans="1:16" x14ac:dyDescent="0.25">
      <c r="A166" s="1">
        <v>45481.185173611113</v>
      </c>
      <c r="B166" t="s">
        <v>20</v>
      </c>
      <c r="C166">
        <v>47.280299999999997</v>
      </c>
      <c r="D166">
        <v>32.135599999999997</v>
      </c>
      <c r="E166">
        <v>300</v>
      </c>
      <c r="F166" t="s">
        <v>26</v>
      </c>
      <c r="G166">
        <v>22.4</v>
      </c>
      <c r="H166">
        <v>54.3</v>
      </c>
      <c r="I166" t="s">
        <v>22</v>
      </c>
      <c r="J166">
        <v>23</v>
      </c>
      <c r="K166">
        <v>323</v>
      </c>
      <c r="L166">
        <v>5</v>
      </c>
      <c r="M166" t="s">
        <v>23</v>
      </c>
      <c r="N166">
        <v>65.5</v>
      </c>
      <c r="O166">
        <v>230</v>
      </c>
      <c r="P166">
        <v>1</v>
      </c>
    </row>
    <row r="167" spans="1:16" x14ac:dyDescent="0.25">
      <c r="A167" s="1">
        <v>45383.164363425924</v>
      </c>
      <c r="B167" t="s">
        <v>24</v>
      </c>
      <c r="C167">
        <v>-25.469200000000001</v>
      </c>
      <c r="D167">
        <v>-70.760300000000001</v>
      </c>
      <c r="E167">
        <v>396</v>
      </c>
      <c r="F167" t="s">
        <v>26</v>
      </c>
      <c r="G167">
        <v>21.9</v>
      </c>
      <c r="H167">
        <v>67.400000000000006</v>
      </c>
      <c r="I167" t="s">
        <v>18</v>
      </c>
      <c r="J167">
        <v>24</v>
      </c>
      <c r="K167">
        <v>238</v>
      </c>
      <c r="L167">
        <v>3</v>
      </c>
      <c r="M167" t="s">
        <v>23</v>
      </c>
      <c r="N167">
        <v>60.4</v>
      </c>
      <c r="O167">
        <v>117</v>
      </c>
      <c r="P167">
        <v>0</v>
      </c>
    </row>
    <row r="168" spans="1:16" x14ac:dyDescent="0.25">
      <c r="A168" s="1">
        <v>45333.203449074077</v>
      </c>
      <c r="B168" t="s">
        <v>29</v>
      </c>
      <c r="C168">
        <v>20.145099999999999</v>
      </c>
      <c r="D168">
        <v>158.74019999999999</v>
      </c>
      <c r="E168">
        <v>135</v>
      </c>
      <c r="F168" t="s">
        <v>26</v>
      </c>
      <c r="G168">
        <v>26.8</v>
      </c>
      <c r="H168">
        <v>79.099999999999994</v>
      </c>
      <c r="I168" t="s">
        <v>18</v>
      </c>
      <c r="J168">
        <v>57</v>
      </c>
      <c r="K168">
        <v>173</v>
      </c>
      <c r="L168">
        <v>7</v>
      </c>
      <c r="M168" t="s">
        <v>31</v>
      </c>
      <c r="N168">
        <v>81.3</v>
      </c>
      <c r="O168">
        <v>115</v>
      </c>
      <c r="P168">
        <v>0</v>
      </c>
    </row>
    <row r="169" spans="1:16" x14ac:dyDescent="0.25">
      <c r="A169" s="1">
        <v>45527.004074074073</v>
      </c>
      <c r="B169" t="s">
        <v>32</v>
      </c>
      <c r="C169">
        <v>-29.272600000000001</v>
      </c>
      <c r="D169">
        <v>149.63290000000001</v>
      </c>
      <c r="E169">
        <v>236</v>
      </c>
      <c r="F169" t="s">
        <v>26</v>
      </c>
      <c r="G169">
        <v>21.9</v>
      </c>
      <c r="H169">
        <v>51.9</v>
      </c>
      <c r="I169" t="s">
        <v>18</v>
      </c>
      <c r="J169">
        <v>21</v>
      </c>
      <c r="K169">
        <v>233</v>
      </c>
      <c r="L169">
        <v>6</v>
      </c>
      <c r="M169" t="s">
        <v>31</v>
      </c>
      <c r="N169">
        <v>72</v>
      </c>
      <c r="O169">
        <v>115</v>
      </c>
      <c r="P169">
        <v>0</v>
      </c>
    </row>
    <row r="170" spans="1:16" x14ac:dyDescent="0.25">
      <c r="A170" s="1">
        <v>45600.020370370374</v>
      </c>
      <c r="B170" t="s">
        <v>35</v>
      </c>
      <c r="C170">
        <v>-82.394199999999998</v>
      </c>
      <c r="D170">
        <v>179.9237</v>
      </c>
      <c r="E170">
        <v>294</v>
      </c>
      <c r="F170" t="s">
        <v>26</v>
      </c>
      <c r="G170">
        <v>27.6</v>
      </c>
      <c r="H170">
        <v>79.7</v>
      </c>
      <c r="I170" t="s">
        <v>22</v>
      </c>
      <c r="J170">
        <v>24</v>
      </c>
      <c r="K170">
        <v>181</v>
      </c>
      <c r="L170">
        <v>5</v>
      </c>
      <c r="M170" t="s">
        <v>23</v>
      </c>
      <c r="N170">
        <v>88.2</v>
      </c>
      <c r="O170">
        <v>191</v>
      </c>
      <c r="P170">
        <v>1</v>
      </c>
    </row>
    <row r="171" spans="1:16" x14ac:dyDescent="0.25">
      <c r="A171" s="1">
        <v>45416.808680555558</v>
      </c>
      <c r="B171" t="s">
        <v>29</v>
      </c>
      <c r="C171">
        <v>37.3932</v>
      </c>
      <c r="D171">
        <v>53.447000000000003</v>
      </c>
      <c r="E171">
        <v>209</v>
      </c>
      <c r="F171" t="s">
        <v>17</v>
      </c>
      <c r="G171">
        <v>29.4</v>
      </c>
      <c r="H171">
        <v>57.8</v>
      </c>
      <c r="I171" t="s">
        <v>18</v>
      </c>
      <c r="J171">
        <v>34</v>
      </c>
      <c r="K171">
        <v>319</v>
      </c>
      <c r="L171">
        <v>4</v>
      </c>
      <c r="M171" t="s">
        <v>31</v>
      </c>
      <c r="N171">
        <v>85</v>
      </c>
      <c r="O171">
        <v>208</v>
      </c>
      <c r="P171">
        <v>1</v>
      </c>
    </row>
    <row r="172" spans="1:16" x14ac:dyDescent="0.25">
      <c r="A172" s="1">
        <v>45609.18</v>
      </c>
      <c r="B172" t="s">
        <v>29</v>
      </c>
      <c r="C172">
        <v>-3.4094000000000002</v>
      </c>
      <c r="D172">
        <v>-85.877399999999994</v>
      </c>
      <c r="E172">
        <v>378</v>
      </c>
      <c r="F172" t="s">
        <v>17</v>
      </c>
      <c r="G172">
        <v>28.2</v>
      </c>
      <c r="H172">
        <v>70.2</v>
      </c>
      <c r="I172" t="s">
        <v>28</v>
      </c>
      <c r="J172">
        <v>60</v>
      </c>
      <c r="K172">
        <v>490</v>
      </c>
      <c r="L172">
        <v>9</v>
      </c>
      <c r="M172" t="s">
        <v>27</v>
      </c>
      <c r="N172">
        <v>66.8</v>
      </c>
      <c r="O172">
        <v>166</v>
      </c>
      <c r="P172">
        <v>1</v>
      </c>
    </row>
    <row r="173" spans="1:16" x14ac:dyDescent="0.25">
      <c r="A173" s="1">
        <v>45335.803680555553</v>
      </c>
      <c r="B173" t="s">
        <v>35</v>
      </c>
      <c r="C173">
        <v>-60.278199999999998</v>
      </c>
      <c r="D173">
        <v>-7.5464000000000002</v>
      </c>
      <c r="E173">
        <v>355</v>
      </c>
      <c r="F173" t="s">
        <v>17</v>
      </c>
      <c r="G173">
        <v>22.5</v>
      </c>
      <c r="H173">
        <v>74</v>
      </c>
      <c r="I173" t="s">
        <v>28</v>
      </c>
      <c r="J173">
        <v>20</v>
      </c>
      <c r="K173">
        <v>321</v>
      </c>
      <c r="L173">
        <v>3</v>
      </c>
      <c r="M173" t="s">
        <v>23</v>
      </c>
      <c r="N173">
        <v>90.6</v>
      </c>
      <c r="O173">
        <v>252</v>
      </c>
      <c r="P173">
        <v>1</v>
      </c>
    </row>
    <row r="174" spans="1:16" x14ac:dyDescent="0.25">
      <c r="A174" s="1">
        <v>45471.303877314815</v>
      </c>
      <c r="B174" t="s">
        <v>25</v>
      </c>
      <c r="C174">
        <v>-1.8123</v>
      </c>
      <c r="D174">
        <v>-156.20699999999999</v>
      </c>
      <c r="E174">
        <v>474</v>
      </c>
      <c r="F174" t="s">
        <v>17</v>
      </c>
      <c r="G174">
        <v>29.2</v>
      </c>
      <c r="H174">
        <v>66.099999999999994</v>
      </c>
      <c r="I174" t="s">
        <v>22</v>
      </c>
      <c r="J174">
        <v>26</v>
      </c>
      <c r="K174">
        <v>318</v>
      </c>
      <c r="L174">
        <v>5</v>
      </c>
      <c r="M174" t="s">
        <v>23</v>
      </c>
      <c r="N174">
        <v>96.2</v>
      </c>
      <c r="O174">
        <v>110</v>
      </c>
      <c r="P174">
        <v>1</v>
      </c>
    </row>
    <row r="175" spans="1:16" x14ac:dyDescent="0.25">
      <c r="A175" s="1">
        <v>45641.921516203707</v>
      </c>
      <c r="B175" t="s">
        <v>20</v>
      </c>
      <c r="C175">
        <v>45.552999999999997</v>
      </c>
      <c r="D175">
        <v>20.901499999999999</v>
      </c>
      <c r="E175">
        <v>218</v>
      </c>
      <c r="F175" t="s">
        <v>26</v>
      </c>
      <c r="G175">
        <v>19.5</v>
      </c>
      <c r="H175">
        <v>67.900000000000006</v>
      </c>
      <c r="I175" t="s">
        <v>18</v>
      </c>
      <c r="J175">
        <v>27</v>
      </c>
      <c r="K175">
        <v>257</v>
      </c>
      <c r="L175">
        <v>10</v>
      </c>
      <c r="M175" t="s">
        <v>31</v>
      </c>
      <c r="N175">
        <v>62.2</v>
      </c>
      <c r="O175">
        <v>150</v>
      </c>
      <c r="P175">
        <v>0</v>
      </c>
    </row>
    <row r="176" spans="1:16" x14ac:dyDescent="0.25">
      <c r="A176" s="1">
        <v>45473.599074074074</v>
      </c>
      <c r="B176" t="s">
        <v>30</v>
      </c>
      <c r="C176">
        <v>-28.382000000000001</v>
      </c>
      <c r="D176">
        <v>-47.823099999999997</v>
      </c>
      <c r="E176">
        <v>357</v>
      </c>
      <c r="F176" t="s">
        <v>21</v>
      </c>
      <c r="G176">
        <v>29.3</v>
      </c>
      <c r="H176">
        <v>73.2</v>
      </c>
      <c r="I176" t="s">
        <v>28</v>
      </c>
      <c r="J176">
        <v>22</v>
      </c>
      <c r="K176">
        <v>229</v>
      </c>
      <c r="L176">
        <v>7</v>
      </c>
      <c r="M176" t="s">
        <v>31</v>
      </c>
      <c r="N176">
        <v>94.3</v>
      </c>
      <c r="O176">
        <v>131</v>
      </c>
      <c r="P176">
        <v>0</v>
      </c>
    </row>
    <row r="177" spans="1:16" x14ac:dyDescent="0.25">
      <c r="A177" s="1">
        <v>45631.691747685189</v>
      </c>
      <c r="B177" t="s">
        <v>34</v>
      </c>
      <c r="C177">
        <v>-71.0852</v>
      </c>
      <c r="D177">
        <v>-12.918699999999999</v>
      </c>
      <c r="E177">
        <v>255</v>
      </c>
      <c r="F177" t="s">
        <v>17</v>
      </c>
      <c r="G177">
        <v>27.4</v>
      </c>
      <c r="H177">
        <v>59.6</v>
      </c>
      <c r="I177" t="s">
        <v>28</v>
      </c>
      <c r="J177">
        <v>20</v>
      </c>
      <c r="K177">
        <v>497</v>
      </c>
      <c r="L177">
        <v>3</v>
      </c>
      <c r="M177" t="s">
        <v>27</v>
      </c>
      <c r="N177">
        <v>98.4</v>
      </c>
      <c r="O177">
        <v>277</v>
      </c>
      <c r="P177">
        <v>1</v>
      </c>
    </row>
    <row r="178" spans="1:16" x14ac:dyDescent="0.25">
      <c r="A178" s="1">
        <v>45456.544768518521</v>
      </c>
      <c r="B178" t="s">
        <v>30</v>
      </c>
      <c r="C178">
        <v>-35.642400000000002</v>
      </c>
      <c r="D178">
        <v>-106.7595</v>
      </c>
      <c r="E178">
        <v>415</v>
      </c>
      <c r="F178" t="s">
        <v>17</v>
      </c>
      <c r="G178">
        <v>22.2</v>
      </c>
      <c r="H178">
        <v>65.8</v>
      </c>
      <c r="I178" t="s">
        <v>22</v>
      </c>
      <c r="J178">
        <v>18</v>
      </c>
      <c r="K178">
        <v>287</v>
      </c>
      <c r="L178">
        <v>2</v>
      </c>
      <c r="M178" t="s">
        <v>27</v>
      </c>
      <c r="N178">
        <v>61.1</v>
      </c>
      <c r="O178">
        <v>256</v>
      </c>
      <c r="P178">
        <v>1</v>
      </c>
    </row>
    <row r="179" spans="1:16" x14ac:dyDescent="0.25">
      <c r="A179" s="1">
        <v>45368.347349537034</v>
      </c>
      <c r="B179" t="s">
        <v>25</v>
      </c>
      <c r="C179">
        <v>-81.622</v>
      </c>
      <c r="D179">
        <v>-152.0754</v>
      </c>
      <c r="E179">
        <v>353</v>
      </c>
      <c r="F179" t="s">
        <v>26</v>
      </c>
      <c r="G179">
        <v>29.5</v>
      </c>
      <c r="H179">
        <v>76.8</v>
      </c>
      <c r="I179" t="s">
        <v>22</v>
      </c>
      <c r="J179">
        <v>41</v>
      </c>
      <c r="K179">
        <v>421</v>
      </c>
      <c r="L179">
        <v>8</v>
      </c>
      <c r="M179" t="s">
        <v>19</v>
      </c>
      <c r="N179">
        <v>97.7</v>
      </c>
      <c r="O179">
        <v>212</v>
      </c>
      <c r="P179">
        <v>1</v>
      </c>
    </row>
    <row r="180" spans="1:16" x14ac:dyDescent="0.25">
      <c r="A180" s="1">
        <v>45556.131701388891</v>
      </c>
      <c r="B180" t="s">
        <v>32</v>
      </c>
      <c r="C180">
        <v>-22.911100000000001</v>
      </c>
      <c r="D180">
        <v>-154.35939999999999</v>
      </c>
      <c r="E180">
        <v>260</v>
      </c>
      <c r="F180" t="s">
        <v>21</v>
      </c>
      <c r="G180">
        <v>23.8</v>
      </c>
      <c r="H180">
        <v>58.4</v>
      </c>
      <c r="I180" t="s">
        <v>28</v>
      </c>
      <c r="J180">
        <v>49</v>
      </c>
      <c r="K180">
        <v>266</v>
      </c>
      <c r="L180">
        <v>7</v>
      </c>
      <c r="M180" t="s">
        <v>31</v>
      </c>
      <c r="N180">
        <v>77.8</v>
      </c>
      <c r="O180">
        <v>131</v>
      </c>
      <c r="P180">
        <v>0</v>
      </c>
    </row>
    <row r="181" spans="1:16" x14ac:dyDescent="0.25">
      <c r="A181" s="1">
        <v>45342.869479166664</v>
      </c>
      <c r="B181" t="s">
        <v>29</v>
      </c>
      <c r="C181">
        <v>-68.793700000000001</v>
      </c>
      <c r="D181">
        <v>-164.38659999999999</v>
      </c>
      <c r="E181">
        <v>447</v>
      </c>
      <c r="F181" t="s">
        <v>26</v>
      </c>
      <c r="G181">
        <v>21.1</v>
      </c>
      <c r="H181">
        <v>75.599999999999994</v>
      </c>
      <c r="I181" t="s">
        <v>22</v>
      </c>
      <c r="J181">
        <v>51</v>
      </c>
      <c r="K181">
        <v>315</v>
      </c>
      <c r="L181">
        <v>1</v>
      </c>
      <c r="M181" t="s">
        <v>31</v>
      </c>
      <c r="N181">
        <v>64.7</v>
      </c>
      <c r="O181">
        <v>186</v>
      </c>
      <c r="P181">
        <v>1</v>
      </c>
    </row>
    <row r="182" spans="1:16" x14ac:dyDescent="0.25">
      <c r="A182" s="1">
        <v>45615.752523148149</v>
      </c>
      <c r="B182" t="s">
        <v>34</v>
      </c>
      <c r="C182">
        <v>-25.5794</v>
      </c>
      <c r="D182">
        <v>132.2662</v>
      </c>
      <c r="E182">
        <v>483</v>
      </c>
      <c r="F182" t="s">
        <v>17</v>
      </c>
      <c r="G182">
        <v>26.6</v>
      </c>
      <c r="H182">
        <v>50</v>
      </c>
      <c r="I182" t="s">
        <v>28</v>
      </c>
      <c r="J182">
        <v>51</v>
      </c>
      <c r="K182">
        <v>466</v>
      </c>
      <c r="L182">
        <v>6</v>
      </c>
      <c r="M182" t="s">
        <v>31</v>
      </c>
      <c r="N182">
        <v>87.9</v>
      </c>
      <c r="O182">
        <v>272</v>
      </c>
      <c r="P182">
        <v>1</v>
      </c>
    </row>
    <row r="183" spans="1:16" x14ac:dyDescent="0.25">
      <c r="A183" s="1">
        <v>45603.678240740737</v>
      </c>
      <c r="B183" t="s">
        <v>24</v>
      </c>
      <c r="C183">
        <v>49.046500000000002</v>
      </c>
      <c r="D183">
        <v>41.342799999999997</v>
      </c>
      <c r="E183">
        <v>363</v>
      </c>
      <c r="F183" t="s">
        <v>26</v>
      </c>
      <c r="G183">
        <v>28.6</v>
      </c>
      <c r="H183">
        <v>75.2</v>
      </c>
      <c r="I183" t="s">
        <v>22</v>
      </c>
      <c r="J183">
        <v>19</v>
      </c>
      <c r="K183">
        <v>358</v>
      </c>
      <c r="L183">
        <v>1</v>
      </c>
      <c r="M183" t="s">
        <v>23</v>
      </c>
      <c r="N183">
        <v>77.400000000000006</v>
      </c>
      <c r="O183">
        <v>272</v>
      </c>
      <c r="P183">
        <v>1</v>
      </c>
    </row>
    <row r="184" spans="1:16" x14ac:dyDescent="0.25">
      <c r="A184" s="1">
        <v>45340.590532407405</v>
      </c>
      <c r="B184" t="s">
        <v>32</v>
      </c>
      <c r="C184">
        <v>-81.667699999999996</v>
      </c>
      <c r="D184">
        <v>-40.832700000000003</v>
      </c>
      <c r="E184">
        <v>313</v>
      </c>
      <c r="F184" t="s">
        <v>17</v>
      </c>
      <c r="G184">
        <v>20.5</v>
      </c>
      <c r="H184">
        <v>79.3</v>
      </c>
      <c r="I184" t="s">
        <v>18</v>
      </c>
      <c r="J184">
        <v>49</v>
      </c>
      <c r="K184">
        <v>229</v>
      </c>
      <c r="L184">
        <v>7</v>
      </c>
      <c r="M184" t="s">
        <v>19</v>
      </c>
      <c r="N184">
        <v>98.5</v>
      </c>
      <c r="O184">
        <v>126</v>
      </c>
      <c r="P184">
        <v>1</v>
      </c>
    </row>
    <row r="185" spans="1:16" x14ac:dyDescent="0.25">
      <c r="A185" s="1">
        <v>45354.036886574075</v>
      </c>
      <c r="B185" t="s">
        <v>24</v>
      </c>
      <c r="C185">
        <v>-69.688699999999997</v>
      </c>
      <c r="D185">
        <v>-34.456299999999999</v>
      </c>
      <c r="E185">
        <v>289</v>
      </c>
      <c r="F185" t="s">
        <v>26</v>
      </c>
      <c r="G185">
        <v>19.3</v>
      </c>
      <c r="H185">
        <v>68.599999999999994</v>
      </c>
      <c r="I185" t="s">
        <v>28</v>
      </c>
      <c r="J185">
        <v>33</v>
      </c>
      <c r="K185">
        <v>149</v>
      </c>
      <c r="L185">
        <v>4</v>
      </c>
      <c r="M185" t="s">
        <v>19</v>
      </c>
      <c r="N185">
        <v>74.3</v>
      </c>
      <c r="O185">
        <v>220</v>
      </c>
      <c r="P185">
        <v>0</v>
      </c>
    </row>
    <row r="186" spans="1:16" x14ac:dyDescent="0.25">
      <c r="A186" s="1">
        <v>45445.381493055553</v>
      </c>
      <c r="B186" t="s">
        <v>29</v>
      </c>
      <c r="C186">
        <v>-49.181100000000001</v>
      </c>
      <c r="D186">
        <v>-94.151499999999999</v>
      </c>
      <c r="E186">
        <v>171</v>
      </c>
      <c r="F186" t="s">
        <v>26</v>
      </c>
      <c r="G186">
        <v>21.3</v>
      </c>
      <c r="H186">
        <v>66.099999999999994</v>
      </c>
      <c r="I186" t="s">
        <v>28</v>
      </c>
      <c r="J186">
        <v>57</v>
      </c>
      <c r="K186">
        <v>125</v>
      </c>
      <c r="L186">
        <v>8</v>
      </c>
      <c r="M186" t="s">
        <v>19</v>
      </c>
      <c r="N186">
        <v>98.9</v>
      </c>
      <c r="O186">
        <v>249</v>
      </c>
      <c r="P186">
        <v>0</v>
      </c>
    </row>
    <row r="187" spans="1:16" x14ac:dyDescent="0.25">
      <c r="A187" s="1">
        <v>45316.506736111114</v>
      </c>
      <c r="B187" t="s">
        <v>20</v>
      </c>
      <c r="C187">
        <v>12.8172</v>
      </c>
      <c r="D187">
        <v>76.140799999999999</v>
      </c>
      <c r="E187">
        <v>401</v>
      </c>
      <c r="F187" t="s">
        <v>21</v>
      </c>
      <c r="G187">
        <v>25.7</v>
      </c>
      <c r="H187">
        <v>71.400000000000006</v>
      </c>
      <c r="I187" t="s">
        <v>28</v>
      </c>
      <c r="J187">
        <v>30</v>
      </c>
      <c r="K187">
        <v>494</v>
      </c>
      <c r="L187">
        <v>4</v>
      </c>
      <c r="M187" t="s">
        <v>23</v>
      </c>
      <c r="N187">
        <v>81.099999999999994</v>
      </c>
      <c r="O187">
        <v>175</v>
      </c>
      <c r="P187">
        <v>0</v>
      </c>
    </row>
    <row r="188" spans="1:16" x14ac:dyDescent="0.25">
      <c r="A188" s="1">
        <v>45569.68005787037</v>
      </c>
      <c r="B188" t="s">
        <v>25</v>
      </c>
      <c r="C188">
        <v>20.114599999999999</v>
      </c>
      <c r="D188">
        <v>19.758299999999998</v>
      </c>
      <c r="E188">
        <v>376</v>
      </c>
      <c r="F188" t="s">
        <v>26</v>
      </c>
      <c r="G188">
        <v>25.1</v>
      </c>
      <c r="H188">
        <v>54.1</v>
      </c>
      <c r="I188" t="s">
        <v>28</v>
      </c>
      <c r="J188">
        <v>55</v>
      </c>
      <c r="K188">
        <v>305</v>
      </c>
      <c r="L188">
        <v>5</v>
      </c>
      <c r="M188" t="s">
        <v>31</v>
      </c>
      <c r="N188">
        <v>83.2</v>
      </c>
      <c r="O188">
        <v>158</v>
      </c>
      <c r="P188">
        <v>0</v>
      </c>
    </row>
    <row r="189" spans="1:16" x14ac:dyDescent="0.25">
      <c r="A189" s="1">
        <v>45598.505254629628</v>
      </c>
      <c r="B189" t="s">
        <v>33</v>
      </c>
      <c r="C189">
        <v>84.131699999999995</v>
      </c>
      <c r="D189">
        <v>-144.78399999999999</v>
      </c>
      <c r="E189">
        <v>371</v>
      </c>
      <c r="F189" t="s">
        <v>17</v>
      </c>
      <c r="G189">
        <v>26.2</v>
      </c>
      <c r="H189">
        <v>58.5</v>
      </c>
      <c r="I189" t="s">
        <v>22</v>
      </c>
      <c r="J189">
        <v>46</v>
      </c>
      <c r="K189">
        <v>168</v>
      </c>
      <c r="L189">
        <v>10</v>
      </c>
      <c r="M189" t="s">
        <v>27</v>
      </c>
      <c r="N189">
        <v>69.5</v>
      </c>
      <c r="O189">
        <v>162</v>
      </c>
      <c r="P189">
        <v>1</v>
      </c>
    </row>
    <row r="190" spans="1:16" x14ac:dyDescent="0.25">
      <c r="A190" s="1">
        <v>45404.081238425926</v>
      </c>
      <c r="B190" t="s">
        <v>29</v>
      </c>
      <c r="C190">
        <v>-53.932899999999997</v>
      </c>
      <c r="D190">
        <v>30.323599999999999</v>
      </c>
      <c r="E190">
        <v>496</v>
      </c>
      <c r="F190" t="s">
        <v>21</v>
      </c>
      <c r="G190">
        <v>23.4</v>
      </c>
      <c r="H190">
        <v>71.599999999999994</v>
      </c>
      <c r="I190" t="s">
        <v>28</v>
      </c>
      <c r="J190">
        <v>15</v>
      </c>
      <c r="K190">
        <v>451</v>
      </c>
      <c r="L190">
        <v>3</v>
      </c>
      <c r="M190" t="s">
        <v>23</v>
      </c>
      <c r="N190">
        <v>76.3</v>
      </c>
      <c r="O190">
        <v>235</v>
      </c>
      <c r="P190">
        <v>0</v>
      </c>
    </row>
    <row r="191" spans="1:16" x14ac:dyDescent="0.25">
      <c r="A191" s="1">
        <v>45397.936643518522</v>
      </c>
      <c r="B191" t="s">
        <v>30</v>
      </c>
      <c r="C191">
        <v>31.857099999999999</v>
      </c>
      <c r="D191">
        <v>-83.169799999999995</v>
      </c>
      <c r="E191">
        <v>149</v>
      </c>
      <c r="F191" t="s">
        <v>21</v>
      </c>
      <c r="G191">
        <v>20.9</v>
      </c>
      <c r="H191">
        <v>68.099999999999994</v>
      </c>
      <c r="I191" t="s">
        <v>18</v>
      </c>
      <c r="J191">
        <v>39</v>
      </c>
      <c r="K191">
        <v>274</v>
      </c>
      <c r="L191">
        <v>9</v>
      </c>
      <c r="M191" t="s">
        <v>27</v>
      </c>
      <c r="N191">
        <v>71.8</v>
      </c>
      <c r="O191">
        <v>138</v>
      </c>
      <c r="P191">
        <v>0</v>
      </c>
    </row>
    <row r="192" spans="1:16" x14ac:dyDescent="0.25">
      <c r="A192" s="1">
        <v>45310.603125000001</v>
      </c>
      <c r="B192" t="s">
        <v>20</v>
      </c>
      <c r="C192">
        <v>67.730199999999996</v>
      </c>
      <c r="D192">
        <v>-70.186099999999996</v>
      </c>
      <c r="E192">
        <v>166</v>
      </c>
      <c r="F192" t="s">
        <v>21</v>
      </c>
      <c r="G192">
        <v>29.4</v>
      </c>
      <c r="H192">
        <v>59.5</v>
      </c>
      <c r="I192" t="s">
        <v>22</v>
      </c>
      <c r="J192">
        <v>40</v>
      </c>
      <c r="K192">
        <v>210</v>
      </c>
      <c r="L192">
        <v>4</v>
      </c>
      <c r="M192" t="s">
        <v>27</v>
      </c>
      <c r="N192">
        <v>82.9</v>
      </c>
      <c r="O192">
        <v>246</v>
      </c>
      <c r="P192">
        <v>1</v>
      </c>
    </row>
    <row r="193" spans="1:16" x14ac:dyDescent="0.25">
      <c r="A193" s="1">
        <v>45557.513287037036</v>
      </c>
      <c r="B193" t="s">
        <v>25</v>
      </c>
      <c r="C193">
        <v>73.372299999999996</v>
      </c>
      <c r="D193">
        <v>93.246399999999994</v>
      </c>
      <c r="E193">
        <v>369</v>
      </c>
      <c r="F193" t="s">
        <v>17</v>
      </c>
      <c r="G193">
        <v>28</v>
      </c>
      <c r="H193">
        <v>52.3</v>
      </c>
      <c r="I193" t="s">
        <v>18</v>
      </c>
      <c r="J193">
        <v>35</v>
      </c>
      <c r="K193">
        <v>481</v>
      </c>
      <c r="L193">
        <v>5</v>
      </c>
      <c r="M193" t="s">
        <v>31</v>
      </c>
      <c r="N193">
        <v>73.400000000000006</v>
      </c>
      <c r="O193">
        <v>179</v>
      </c>
      <c r="P193">
        <v>1</v>
      </c>
    </row>
    <row r="194" spans="1:16" x14ac:dyDescent="0.25">
      <c r="A194" s="1">
        <v>45597.990995370368</v>
      </c>
      <c r="B194" t="s">
        <v>34</v>
      </c>
      <c r="C194">
        <v>68.236099999999993</v>
      </c>
      <c r="D194">
        <v>-85.921599999999998</v>
      </c>
      <c r="E194">
        <v>409</v>
      </c>
      <c r="F194" t="s">
        <v>21</v>
      </c>
      <c r="G194">
        <v>22</v>
      </c>
      <c r="H194">
        <v>68.099999999999994</v>
      </c>
      <c r="I194" t="s">
        <v>28</v>
      </c>
      <c r="J194">
        <v>18</v>
      </c>
      <c r="K194">
        <v>423</v>
      </c>
      <c r="L194">
        <v>10</v>
      </c>
      <c r="M194" t="s">
        <v>23</v>
      </c>
      <c r="N194">
        <v>62.8</v>
      </c>
      <c r="O194">
        <v>282</v>
      </c>
      <c r="P194">
        <v>0</v>
      </c>
    </row>
    <row r="195" spans="1:16" x14ac:dyDescent="0.25">
      <c r="A195" s="1">
        <v>45425.590914351851</v>
      </c>
      <c r="B195" t="s">
        <v>32</v>
      </c>
      <c r="C195">
        <v>40.547800000000002</v>
      </c>
      <c r="D195">
        <v>147.02610000000001</v>
      </c>
      <c r="E195">
        <v>494</v>
      </c>
      <c r="F195" t="s">
        <v>17</v>
      </c>
      <c r="G195">
        <v>19.2</v>
      </c>
      <c r="H195">
        <v>58.4</v>
      </c>
      <c r="I195" t="s">
        <v>28</v>
      </c>
      <c r="J195">
        <v>52</v>
      </c>
      <c r="K195">
        <v>231</v>
      </c>
      <c r="L195">
        <v>10</v>
      </c>
      <c r="M195" t="s">
        <v>23</v>
      </c>
      <c r="N195">
        <v>89.5</v>
      </c>
      <c r="O195">
        <v>201</v>
      </c>
      <c r="P195">
        <v>1</v>
      </c>
    </row>
    <row r="196" spans="1:16" x14ac:dyDescent="0.25">
      <c r="A196" s="1">
        <v>45339.317199074074</v>
      </c>
      <c r="B196" t="s">
        <v>20</v>
      </c>
      <c r="C196">
        <v>-36.429900000000004</v>
      </c>
      <c r="D196">
        <v>58.0595</v>
      </c>
      <c r="E196">
        <v>238</v>
      </c>
      <c r="F196" t="s">
        <v>17</v>
      </c>
      <c r="G196">
        <v>23.8</v>
      </c>
      <c r="H196">
        <v>79.400000000000006</v>
      </c>
      <c r="I196" t="s">
        <v>18</v>
      </c>
      <c r="J196">
        <v>33</v>
      </c>
      <c r="K196">
        <v>416</v>
      </c>
      <c r="L196">
        <v>5</v>
      </c>
      <c r="M196" t="s">
        <v>23</v>
      </c>
      <c r="N196">
        <v>88.2</v>
      </c>
      <c r="O196">
        <v>102</v>
      </c>
      <c r="P196">
        <v>1</v>
      </c>
    </row>
    <row r="197" spans="1:16" x14ac:dyDescent="0.25">
      <c r="A197" s="1">
        <v>45619.815266203703</v>
      </c>
      <c r="B197" t="s">
        <v>32</v>
      </c>
      <c r="C197">
        <v>83.200299999999999</v>
      </c>
      <c r="D197">
        <v>-119.0412</v>
      </c>
      <c r="E197">
        <v>422</v>
      </c>
      <c r="F197" t="s">
        <v>21</v>
      </c>
      <c r="G197">
        <v>19.2</v>
      </c>
      <c r="H197">
        <v>54.5</v>
      </c>
      <c r="I197" t="s">
        <v>28</v>
      </c>
      <c r="J197">
        <v>18</v>
      </c>
      <c r="K197">
        <v>437</v>
      </c>
      <c r="L197">
        <v>3</v>
      </c>
      <c r="M197" t="s">
        <v>19</v>
      </c>
      <c r="N197">
        <v>73.5</v>
      </c>
      <c r="O197">
        <v>103</v>
      </c>
      <c r="P197">
        <v>0</v>
      </c>
    </row>
    <row r="198" spans="1:16" x14ac:dyDescent="0.25">
      <c r="A198" s="1">
        <v>45558.439062500001</v>
      </c>
      <c r="B198" t="s">
        <v>25</v>
      </c>
      <c r="C198">
        <v>74.581599999999995</v>
      </c>
      <c r="D198">
        <v>-19.698599999999999</v>
      </c>
      <c r="E198">
        <v>132</v>
      </c>
      <c r="F198" t="s">
        <v>21</v>
      </c>
      <c r="G198">
        <v>28.2</v>
      </c>
      <c r="H198">
        <v>57.2</v>
      </c>
      <c r="I198" t="s">
        <v>28</v>
      </c>
      <c r="J198">
        <v>23</v>
      </c>
      <c r="K198">
        <v>401</v>
      </c>
      <c r="L198">
        <v>6</v>
      </c>
      <c r="M198" t="s">
        <v>19</v>
      </c>
      <c r="N198">
        <v>93.6</v>
      </c>
      <c r="O198">
        <v>154</v>
      </c>
      <c r="P198">
        <v>0</v>
      </c>
    </row>
    <row r="199" spans="1:16" x14ac:dyDescent="0.25">
      <c r="A199" s="1">
        <v>45529.93917824074</v>
      </c>
      <c r="B199" t="s">
        <v>35</v>
      </c>
      <c r="C199">
        <v>-64.709400000000002</v>
      </c>
      <c r="D199">
        <v>137.791</v>
      </c>
      <c r="E199">
        <v>189</v>
      </c>
      <c r="F199" t="s">
        <v>17</v>
      </c>
      <c r="G199">
        <v>25.2</v>
      </c>
      <c r="H199">
        <v>70</v>
      </c>
      <c r="I199" t="s">
        <v>28</v>
      </c>
      <c r="J199">
        <v>10</v>
      </c>
      <c r="K199">
        <v>360</v>
      </c>
      <c r="L199">
        <v>6</v>
      </c>
      <c r="M199" t="s">
        <v>31</v>
      </c>
      <c r="N199">
        <v>81.900000000000006</v>
      </c>
      <c r="O199">
        <v>191</v>
      </c>
      <c r="P199">
        <v>1</v>
      </c>
    </row>
    <row r="200" spans="1:16" x14ac:dyDescent="0.25">
      <c r="A200" s="1">
        <v>45562.266585648147</v>
      </c>
      <c r="B200" t="s">
        <v>35</v>
      </c>
      <c r="C200">
        <v>-59.601999999999997</v>
      </c>
      <c r="D200">
        <v>62.712000000000003</v>
      </c>
      <c r="E200">
        <v>255</v>
      </c>
      <c r="F200" t="s">
        <v>26</v>
      </c>
      <c r="G200">
        <v>28.5</v>
      </c>
      <c r="H200">
        <v>72.2</v>
      </c>
      <c r="I200" t="s">
        <v>28</v>
      </c>
      <c r="J200">
        <v>60</v>
      </c>
      <c r="K200">
        <v>419</v>
      </c>
      <c r="L200">
        <v>2</v>
      </c>
      <c r="M200" t="s">
        <v>27</v>
      </c>
      <c r="N200">
        <v>68.400000000000006</v>
      </c>
      <c r="O200">
        <v>246</v>
      </c>
      <c r="P200">
        <v>0</v>
      </c>
    </row>
    <row r="201" spans="1:16" x14ac:dyDescent="0.25">
      <c r="A201" s="1">
        <v>45421.168287037035</v>
      </c>
      <c r="B201" t="s">
        <v>16</v>
      </c>
      <c r="C201">
        <v>-68.371200000000002</v>
      </c>
      <c r="D201">
        <v>-65.980199999999996</v>
      </c>
      <c r="E201">
        <v>107</v>
      </c>
      <c r="F201" t="s">
        <v>17</v>
      </c>
      <c r="G201">
        <v>21.9</v>
      </c>
      <c r="H201">
        <v>74.099999999999994</v>
      </c>
      <c r="I201" t="s">
        <v>22</v>
      </c>
      <c r="J201">
        <v>51</v>
      </c>
      <c r="K201">
        <v>413</v>
      </c>
      <c r="L201">
        <v>1</v>
      </c>
      <c r="M201" t="s">
        <v>23</v>
      </c>
      <c r="N201">
        <v>84.9</v>
      </c>
      <c r="O201">
        <v>257</v>
      </c>
      <c r="P201">
        <v>1</v>
      </c>
    </row>
    <row r="202" spans="1:16" x14ac:dyDescent="0.25">
      <c r="A202" s="1">
        <v>45439.45820601852</v>
      </c>
      <c r="B202" t="s">
        <v>20</v>
      </c>
      <c r="C202">
        <v>3.8431000000000002</v>
      </c>
      <c r="D202">
        <v>91.007800000000003</v>
      </c>
      <c r="E202">
        <v>274</v>
      </c>
      <c r="F202" t="s">
        <v>17</v>
      </c>
      <c r="G202">
        <v>19.3</v>
      </c>
      <c r="H202">
        <v>51.4</v>
      </c>
      <c r="I202" t="s">
        <v>22</v>
      </c>
      <c r="J202">
        <v>57</v>
      </c>
      <c r="K202">
        <v>279</v>
      </c>
      <c r="L202">
        <v>10</v>
      </c>
      <c r="M202" t="s">
        <v>19</v>
      </c>
      <c r="N202">
        <v>75.3</v>
      </c>
      <c r="O202">
        <v>127</v>
      </c>
      <c r="P202">
        <v>1</v>
      </c>
    </row>
    <row r="203" spans="1:16" x14ac:dyDescent="0.25">
      <c r="A203" s="1">
        <v>45345.777453703704</v>
      </c>
      <c r="B203" t="s">
        <v>29</v>
      </c>
      <c r="C203">
        <v>76.394599999999997</v>
      </c>
      <c r="D203">
        <v>105.7941</v>
      </c>
      <c r="E203">
        <v>206</v>
      </c>
      <c r="F203" t="s">
        <v>17</v>
      </c>
      <c r="G203">
        <v>21.9</v>
      </c>
      <c r="H203">
        <v>68.599999999999994</v>
      </c>
      <c r="I203" t="s">
        <v>22</v>
      </c>
      <c r="J203">
        <v>42</v>
      </c>
      <c r="K203">
        <v>100</v>
      </c>
      <c r="L203">
        <v>7</v>
      </c>
      <c r="M203" t="s">
        <v>27</v>
      </c>
      <c r="N203">
        <v>63.3</v>
      </c>
      <c r="O203">
        <v>116</v>
      </c>
      <c r="P203">
        <v>1</v>
      </c>
    </row>
    <row r="204" spans="1:16" x14ac:dyDescent="0.25">
      <c r="A204" s="1">
        <v>45501.9371875</v>
      </c>
      <c r="B204" t="s">
        <v>34</v>
      </c>
      <c r="C204">
        <v>-46.187100000000001</v>
      </c>
      <c r="D204">
        <v>9.4679000000000002</v>
      </c>
      <c r="E204">
        <v>270</v>
      </c>
      <c r="F204" t="s">
        <v>21</v>
      </c>
      <c r="G204">
        <v>26.7</v>
      </c>
      <c r="H204">
        <v>72.2</v>
      </c>
      <c r="I204" t="s">
        <v>22</v>
      </c>
      <c r="J204">
        <v>35</v>
      </c>
      <c r="K204">
        <v>107</v>
      </c>
      <c r="L204">
        <v>10</v>
      </c>
      <c r="M204" t="s">
        <v>27</v>
      </c>
      <c r="N204">
        <v>90.8</v>
      </c>
      <c r="O204">
        <v>158</v>
      </c>
      <c r="P204">
        <v>1</v>
      </c>
    </row>
    <row r="205" spans="1:16" x14ac:dyDescent="0.25">
      <c r="A205" s="1">
        <v>45356.437847222223</v>
      </c>
      <c r="B205" t="s">
        <v>24</v>
      </c>
      <c r="C205">
        <v>-10.8849</v>
      </c>
      <c r="D205">
        <v>86.081199999999995</v>
      </c>
      <c r="E205">
        <v>277</v>
      </c>
      <c r="F205" t="s">
        <v>21</v>
      </c>
      <c r="G205">
        <v>23.7</v>
      </c>
      <c r="H205">
        <v>72.099999999999994</v>
      </c>
      <c r="I205" t="s">
        <v>28</v>
      </c>
      <c r="J205">
        <v>12</v>
      </c>
      <c r="K205">
        <v>195</v>
      </c>
      <c r="L205">
        <v>5</v>
      </c>
      <c r="M205" t="s">
        <v>27</v>
      </c>
      <c r="N205">
        <v>64.5</v>
      </c>
      <c r="O205">
        <v>130</v>
      </c>
      <c r="P205">
        <v>0</v>
      </c>
    </row>
    <row r="206" spans="1:16" x14ac:dyDescent="0.25">
      <c r="A206" s="1">
        <v>45297.886145833334</v>
      </c>
      <c r="B206" t="s">
        <v>29</v>
      </c>
      <c r="C206">
        <v>-67.761899999999997</v>
      </c>
      <c r="D206">
        <v>176.40119999999999</v>
      </c>
      <c r="E206">
        <v>454</v>
      </c>
      <c r="F206" t="s">
        <v>17</v>
      </c>
      <c r="G206">
        <v>21</v>
      </c>
      <c r="H206">
        <v>77.3</v>
      </c>
      <c r="I206" t="s">
        <v>28</v>
      </c>
      <c r="J206">
        <v>15</v>
      </c>
      <c r="K206">
        <v>112</v>
      </c>
      <c r="L206">
        <v>10</v>
      </c>
      <c r="M206" t="s">
        <v>23</v>
      </c>
      <c r="N206">
        <v>73.2</v>
      </c>
      <c r="O206">
        <v>237</v>
      </c>
      <c r="P206">
        <v>1</v>
      </c>
    </row>
    <row r="207" spans="1:16" x14ac:dyDescent="0.25">
      <c r="A207" s="1">
        <v>45549.698275462964</v>
      </c>
      <c r="B207" t="s">
        <v>30</v>
      </c>
      <c r="C207">
        <v>-22.110099999999999</v>
      </c>
      <c r="D207">
        <v>-65.135000000000005</v>
      </c>
      <c r="E207">
        <v>197</v>
      </c>
      <c r="F207" t="s">
        <v>21</v>
      </c>
      <c r="G207">
        <v>27.3</v>
      </c>
      <c r="H207">
        <v>71.3</v>
      </c>
      <c r="I207" t="s">
        <v>18</v>
      </c>
      <c r="J207">
        <v>24</v>
      </c>
      <c r="K207">
        <v>460</v>
      </c>
      <c r="L207">
        <v>9</v>
      </c>
      <c r="M207" t="s">
        <v>19</v>
      </c>
      <c r="N207">
        <v>64.7</v>
      </c>
      <c r="O207">
        <v>162</v>
      </c>
      <c r="P207">
        <v>0</v>
      </c>
    </row>
    <row r="208" spans="1:16" x14ac:dyDescent="0.25">
      <c r="A208" s="1">
        <v>45599.970011574071</v>
      </c>
      <c r="B208" t="s">
        <v>34</v>
      </c>
      <c r="C208">
        <v>75.1113</v>
      </c>
      <c r="D208">
        <v>-136.47999999999999</v>
      </c>
      <c r="E208">
        <v>182</v>
      </c>
      <c r="F208" t="s">
        <v>26</v>
      </c>
      <c r="G208">
        <v>19.7</v>
      </c>
      <c r="H208">
        <v>72.3</v>
      </c>
      <c r="I208" t="s">
        <v>28</v>
      </c>
      <c r="J208">
        <v>50</v>
      </c>
      <c r="K208">
        <v>428</v>
      </c>
      <c r="L208">
        <v>3</v>
      </c>
      <c r="M208" t="s">
        <v>19</v>
      </c>
      <c r="N208">
        <v>63.3</v>
      </c>
      <c r="O208">
        <v>280</v>
      </c>
      <c r="P208">
        <v>0</v>
      </c>
    </row>
    <row r="209" spans="1:16" x14ac:dyDescent="0.25">
      <c r="A209" s="1">
        <v>45370.900254629632</v>
      </c>
      <c r="B209" t="s">
        <v>20</v>
      </c>
      <c r="C209">
        <v>-69.343000000000004</v>
      </c>
      <c r="D209">
        <v>131.9033</v>
      </c>
      <c r="E209">
        <v>171</v>
      </c>
      <c r="F209" t="s">
        <v>26</v>
      </c>
      <c r="G209">
        <v>25.1</v>
      </c>
      <c r="H209">
        <v>76.5</v>
      </c>
      <c r="I209" t="s">
        <v>22</v>
      </c>
      <c r="J209">
        <v>55</v>
      </c>
      <c r="K209">
        <v>309</v>
      </c>
      <c r="L209">
        <v>3</v>
      </c>
      <c r="M209" t="s">
        <v>27</v>
      </c>
      <c r="N209">
        <v>94.6</v>
      </c>
      <c r="O209">
        <v>112</v>
      </c>
      <c r="P209">
        <v>1</v>
      </c>
    </row>
    <row r="210" spans="1:16" x14ac:dyDescent="0.25">
      <c r="A210" s="1">
        <v>45323.788310185184</v>
      </c>
      <c r="B210" t="s">
        <v>33</v>
      </c>
      <c r="C210">
        <v>35.652200000000001</v>
      </c>
      <c r="D210">
        <v>-84.702500000000001</v>
      </c>
      <c r="E210">
        <v>159</v>
      </c>
      <c r="F210" t="s">
        <v>26</v>
      </c>
      <c r="G210">
        <v>26.9</v>
      </c>
      <c r="H210">
        <v>69.5</v>
      </c>
      <c r="I210" t="s">
        <v>28</v>
      </c>
      <c r="J210">
        <v>32</v>
      </c>
      <c r="K210">
        <v>272</v>
      </c>
      <c r="L210">
        <v>7</v>
      </c>
      <c r="M210" t="s">
        <v>19</v>
      </c>
      <c r="N210">
        <v>69.7</v>
      </c>
      <c r="O210">
        <v>278</v>
      </c>
      <c r="P210">
        <v>0</v>
      </c>
    </row>
    <row r="211" spans="1:16" x14ac:dyDescent="0.25">
      <c r="A211" s="1">
        <v>45400.503240740742</v>
      </c>
      <c r="B211" t="s">
        <v>32</v>
      </c>
      <c r="C211">
        <v>-86.156999999999996</v>
      </c>
      <c r="D211">
        <v>-92.465199999999996</v>
      </c>
      <c r="E211">
        <v>378</v>
      </c>
      <c r="F211" t="s">
        <v>17</v>
      </c>
      <c r="G211">
        <v>29.5</v>
      </c>
      <c r="H211">
        <v>61.7</v>
      </c>
      <c r="I211" t="s">
        <v>18</v>
      </c>
      <c r="J211">
        <v>13</v>
      </c>
      <c r="K211">
        <v>305</v>
      </c>
      <c r="L211">
        <v>8</v>
      </c>
      <c r="M211" t="s">
        <v>31</v>
      </c>
      <c r="N211">
        <v>98.5</v>
      </c>
      <c r="O211">
        <v>211</v>
      </c>
      <c r="P211">
        <v>1</v>
      </c>
    </row>
    <row r="212" spans="1:16" x14ac:dyDescent="0.25">
      <c r="A212" s="1">
        <v>45438.604247685187</v>
      </c>
      <c r="B212" t="s">
        <v>35</v>
      </c>
      <c r="C212">
        <v>25.1355</v>
      </c>
      <c r="D212">
        <v>-2.6802000000000001</v>
      </c>
      <c r="E212">
        <v>469</v>
      </c>
      <c r="F212" t="s">
        <v>21</v>
      </c>
      <c r="G212">
        <v>26.2</v>
      </c>
      <c r="H212">
        <v>65</v>
      </c>
      <c r="I212" t="s">
        <v>28</v>
      </c>
      <c r="J212">
        <v>19</v>
      </c>
      <c r="K212">
        <v>477</v>
      </c>
      <c r="L212">
        <v>2</v>
      </c>
      <c r="M212" t="s">
        <v>31</v>
      </c>
      <c r="N212">
        <v>96.9</v>
      </c>
      <c r="O212">
        <v>206</v>
      </c>
      <c r="P212">
        <v>0</v>
      </c>
    </row>
    <row r="213" spans="1:16" x14ac:dyDescent="0.25">
      <c r="A213" s="1">
        <v>45502.704780092594</v>
      </c>
      <c r="B213" t="s">
        <v>32</v>
      </c>
      <c r="C213">
        <v>12.0938</v>
      </c>
      <c r="D213">
        <v>96.899600000000007</v>
      </c>
      <c r="E213">
        <v>106</v>
      </c>
      <c r="F213" t="s">
        <v>21</v>
      </c>
      <c r="G213">
        <v>27</v>
      </c>
      <c r="H213">
        <v>56.8</v>
      </c>
      <c r="I213" t="s">
        <v>18</v>
      </c>
      <c r="J213">
        <v>31</v>
      </c>
      <c r="K213">
        <v>120</v>
      </c>
      <c r="L213">
        <v>4</v>
      </c>
      <c r="M213" t="s">
        <v>23</v>
      </c>
      <c r="N213">
        <v>95.7</v>
      </c>
      <c r="O213">
        <v>286</v>
      </c>
      <c r="P213">
        <v>0</v>
      </c>
    </row>
    <row r="214" spans="1:16" x14ac:dyDescent="0.25">
      <c r="A214" s="1">
        <v>45635.570439814815</v>
      </c>
      <c r="B214" t="s">
        <v>33</v>
      </c>
      <c r="C214">
        <v>-77.086200000000005</v>
      </c>
      <c r="D214">
        <v>137.9042</v>
      </c>
      <c r="E214">
        <v>486</v>
      </c>
      <c r="F214" t="s">
        <v>21</v>
      </c>
      <c r="G214">
        <v>21.7</v>
      </c>
      <c r="H214">
        <v>76</v>
      </c>
      <c r="I214" t="s">
        <v>28</v>
      </c>
      <c r="J214">
        <v>42</v>
      </c>
      <c r="K214">
        <v>282</v>
      </c>
      <c r="L214">
        <v>9</v>
      </c>
      <c r="M214" t="s">
        <v>31</v>
      </c>
      <c r="N214">
        <v>80.5</v>
      </c>
      <c r="O214">
        <v>139</v>
      </c>
      <c r="P214">
        <v>0</v>
      </c>
    </row>
    <row r="215" spans="1:16" x14ac:dyDescent="0.25">
      <c r="A215" s="1">
        <v>45549.377708333333</v>
      </c>
      <c r="B215" t="s">
        <v>30</v>
      </c>
      <c r="C215">
        <v>-17.1205</v>
      </c>
      <c r="D215">
        <v>-47.0657</v>
      </c>
      <c r="E215">
        <v>248</v>
      </c>
      <c r="F215" t="s">
        <v>21</v>
      </c>
      <c r="G215">
        <v>26.3</v>
      </c>
      <c r="H215">
        <v>53.7</v>
      </c>
      <c r="I215" t="s">
        <v>18</v>
      </c>
      <c r="J215">
        <v>40</v>
      </c>
      <c r="K215">
        <v>146</v>
      </c>
      <c r="L215">
        <v>10</v>
      </c>
      <c r="M215" t="s">
        <v>23</v>
      </c>
      <c r="N215">
        <v>71.7</v>
      </c>
      <c r="O215">
        <v>246</v>
      </c>
      <c r="P215">
        <v>0</v>
      </c>
    </row>
    <row r="216" spans="1:16" x14ac:dyDescent="0.25">
      <c r="A216" s="1">
        <v>45627.078125</v>
      </c>
      <c r="B216" t="s">
        <v>33</v>
      </c>
      <c r="C216">
        <v>-52.8874</v>
      </c>
      <c r="D216">
        <v>162.74639999999999</v>
      </c>
      <c r="E216">
        <v>157</v>
      </c>
      <c r="F216" t="s">
        <v>21</v>
      </c>
      <c r="G216">
        <v>25.4</v>
      </c>
      <c r="H216">
        <v>79.099999999999994</v>
      </c>
      <c r="I216" t="s">
        <v>18</v>
      </c>
      <c r="J216">
        <v>17</v>
      </c>
      <c r="K216">
        <v>311</v>
      </c>
      <c r="L216">
        <v>9</v>
      </c>
      <c r="M216" t="s">
        <v>23</v>
      </c>
      <c r="N216">
        <v>69.900000000000006</v>
      </c>
      <c r="O216">
        <v>233</v>
      </c>
      <c r="P216">
        <v>0</v>
      </c>
    </row>
    <row r="217" spans="1:16" x14ac:dyDescent="0.25">
      <c r="A217" s="1">
        <v>45523.714861111112</v>
      </c>
      <c r="B217" t="s">
        <v>20</v>
      </c>
      <c r="C217">
        <v>-3.6577999999999999</v>
      </c>
      <c r="D217">
        <v>176.29900000000001</v>
      </c>
      <c r="E217">
        <v>235</v>
      </c>
      <c r="F217" t="s">
        <v>21</v>
      </c>
      <c r="G217">
        <v>23.2</v>
      </c>
      <c r="H217">
        <v>54.6</v>
      </c>
      <c r="I217" t="s">
        <v>28</v>
      </c>
      <c r="J217">
        <v>28</v>
      </c>
      <c r="K217">
        <v>467</v>
      </c>
      <c r="L217">
        <v>9</v>
      </c>
      <c r="M217" t="s">
        <v>31</v>
      </c>
      <c r="N217">
        <v>68.2</v>
      </c>
      <c r="O217">
        <v>206</v>
      </c>
      <c r="P217">
        <v>0</v>
      </c>
    </row>
    <row r="218" spans="1:16" x14ac:dyDescent="0.25">
      <c r="A218" s="1">
        <v>45397.790381944447</v>
      </c>
      <c r="B218" t="s">
        <v>16</v>
      </c>
      <c r="C218">
        <v>-7.6641000000000004</v>
      </c>
      <c r="D218">
        <v>-25.371700000000001</v>
      </c>
      <c r="E218">
        <v>170</v>
      </c>
      <c r="F218" t="s">
        <v>17</v>
      </c>
      <c r="G218">
        <v>25.4</v>
      </c>
      <c r="H218">
        <v>55.8</v>
      </c>
      <c r="I218" t="s">
        <v>22</v>
      </c>
      <c r="J218">
        <v>55</v>
      </c>
      <c r="K218">
        <v>463</v>
      </c>
      <c r="L218">
        <v>10</v>
      </c>
      <c r="M218" t="s">
        <v>23</v>
      </c>
      <c r="N218">
        <v>60.1</v>
      </c>
      <c r="O218">
        <v>112</v>
      </c>
      <c r="P218">
        <v>1</v>
      </c>
    </row>
    <row r="219" spans="1:16" x14ac:dyDescent="0.25">
      <c r="A219" s="1">
        <v>45394.457187499997</v>
      </c>
      <c r="B219" t="s">
        <v>20</v>
      </c>
      <c r="C219">
        <v>-82.141599999999997</v>
      </c>
      <c r="D219">
        <v>-91.892499999999998</v>
      </c>
      <c r="E219">
        <v>342</v>
      </c>
      <c r="F219" t="s">
        <v>26</v>
      </c>
      <c r="G219">
        <v>25.1</v>
      </c>
      <c r="H219">
        <v>52.4</v>
      </c>
      <c r="I219" t="s">
        <v>28</v>
      </c>
      <c r="J219">
        <v>24</v>
      </c>
      <c r="K219">
        <v>103</v>
      </c>
      <c r="L219">
        <v>2</v>
      </c>
      <c r="M219" t="s">
        <v>31</v>
      </c>
      <c r="N219">
        <v>88</v>
      </c>
      <c r="O219">
        <v>209</v>
      </c>
      <c r="P219">
        <v>0</v>
      </c>
    </row>
    <row r="220" spans="1:16" x14ac:dyDescent="0.25">
      <c r="A220" s="1">
        <v>45345.395358796297</v>
      </c>
      <c r="B220" t="s">
        <v>33</v>
      </c>
      <c r="C220">
        <v>87.507900000000006</v>
      </c>
      <c r="D220">
        <v>-125.53189999999999</v>
      </c>
      <c r="E220">
        <v>290</v>
      </c>
      <c r="F220" t="s">
        <v>21</v>
      </c>
      <c r="G220">
        <v>20.5</v>
      </c>
      <c r="H220">
        <v>51.4</v>
      </c>
      <c r="I220" t="s">
        <v>28</v>
      </c>
      <c r="J220">
        <v>22</v>
      </c>
      <c r="K220">
        <v>170</v>
      </c>
      <c r="L220">
        <v>4</v>
      </c>
      <c r="M220" t="s">
        <v>31</v>
      </c>
      <c r="N220">
        <v>74.7</v>
      </c>
      <c r="O220">
        <v>147</v>
      </c>
      <c r="P220">
        <v>0</v>
      </c>
    </row>
    <row r="221" spans="1:16" x14ac:dyDescent="0.25">
      <c r="A221" s="1">
        <v>45349.220555555556</v>
      </c>
      <c r="B221" t="s">
        <v>35</v>
      </c>
      <c r="C221">
        <v>-76.877099999999999</v>
      </c>
      <c r="D221">
        <v>94.616600000000005</v>
      </c>
      <c r="E221">
        <v>260</v>
      </c>
      <c r="F221" t="s">
        <v>17</v>
      </c>
      <c r="G221">
        <v>22.8</v>
      </c>
      <c r="H221">
        <v>71.7</v>
      </c>
      <c r="I221" t="s">
        <v>22</v>
      </c>
      <c r="J221">
        <v>44</v>
      </c>
      <c r="K221">
        <v>393</v>
      </c>
      <c r="L221">
        <v>5</v>
      </c>
      <c r="M221" t="s">
        <v>31</v>
      </c>
      <c r="N221">
        <v>94.1</v>
      </c>
      <c r="O221">
        <v>154</v>
      </c>
      <c r="P221">
        <v>1</v>
      </c>
    </row>
    <row r="222" spans="1:16" x14ac:dyDescent="0.25">
      <c r="A222" s="1">
        <v>45499.799108796295</v>
      </c>
      <c r="B222" t="s">
        <v>34</v>
      </c>
      <c r="C222">
        <v>89.276499999999999</v>
      </c>
      <c r="D222">
        <v>166.65479999999999</v>
      </c>
      <c r="E222">
        <v>378</v>
      </c>
      <c r="F222" t="s">
        <v>17</v>
      </c>
      <c r="G222">
        <v>18.899999999999999</v>
      </c>
      <c r="H222">
        <v>55.5</v>
      </c>
      <c r="I222" t="s">
        <v>22</v>
      </c>
      <c r="J222">
        <v>35</v>
      </c>
      <c r="K222">
        <v>367</v>
      </c>
      <c r="L222">
        <v>4</v>
      </c>
      <c r="M222" t="s">
        <v>23</v>
      </c>
      <c r="N222">
        <v>74.400000000000006</v>
      </c>
      <c r="O222">
        <v>229</v>
      </c>
      <c r="P222">
        <v>1</v>
      </c>
    </row>
    <row r="223" spans="1:16" x14ac:dyDescent="0.25">
      <c r="A223" s="1">
        <v>45472.222500000003</v>
      </c>
      <c r="B223" t="s">
        <v>30</v>
      </c>
      <c r="C223">
        <v>-82.854600000000005</v>
      </c>
      <c r="D223">
        <v>7.8760000000000003</v>
      </c>
      <c r="E223">
        <v>177</v>
      </c>
      <c r="F223" t="s">
        <v>17</v>
      </c>
      <c r="G223">
        <v>19.2</v>
      </c>
      <c r="H223">
        <v>70.099999999999994</v>
      </c>
      <c r="I223" t="s">
        <v>28</v>
      </c>
      <c r="J223">
        <v>57</v>
      </c>
      <c r="K223">
        <v>141</v>
      </c>
      <c r="L223">
        <v>4</v>
      </c>
      <c r="M223" t="s">
        <v>23</v>
      </c>
      <c r="N223">
        <v>86.6</v>
      </c>
      <c r="O223">
        <v>249</v>
      </c>
      <c r="P223">
        <v>1</v>
      </c>
    </row>
    <row r="224" spans="1:16" x14ac:dyDescent="0.25">
      <c r="A224" s="1">
        <v>45397.194525462961</v>
      </c>
      <c r="B224" t="s">
        <v>30</v>
      </c>
      <c r="C224">
        <v>-40.283999999999999</v>
      </c>
      <c r="D224">
        <v>-86.808899999999994</v>
      </c>
      <c r="E224">
        <v>310</v>
      </c>
      <c r="F224" t="s">
        <v>21</v>
      </c>
      <c r="G224">
        <v>22.8</v>
      </c>
      <c r="H224">
        <v>64.400000000000006</v>
      </c>
      <c r="I224" t="s">
        <v>22</v>
      </c>
      <c r="J224">
        <v>33</v>
      </c>
      <c r="K224">
        <v>104</v>
      </c>
      <c r="L224">
        <v>2</v>
      </c>
      <c r="M224" t="s">
        <v>31</v>
      </c>
      <c r="N224">
        <v>98.9</v>
      </c>
      <c r="O224">
        <v>110</v>
      </c>
      <c r="P224">
        <v>1</v>
      </c>
    </row>
    <row r="225" spans="1:16" x14ac:dyDescent="0.25">
      <c r="A225" s="1">
        <v>45497.172939814816</v>
      </c>
      <c r="B225" t="s">
        <v>33</v>
      </c>
      <c r="C225">
        <v>2.2208000000000001</v>
      </c>
      <c r="D225">
        <v>-170.26410000000001</v>
      </c>
      <c r="E225">
        <v>132</v>
      </c>
      <c r="F225" t="s">
        <v>26</v>
      </c>
      <c r="G225">
        <v>27.5</v>
      </c>
      <c r="H225">
        <v>57.2</v>
      </c>
      <c r="I225" t="s">
        <v>22</v>
      </c>
      <c r="J225">
        <v>36</v>
      </c>
      <c r="K225">
        <v>481</v>
      </c>
      <c r="L225">
        <v>5</v>
      </c>
      <c r="M225" t="s">
        <v>27</v>
      </c>
      <c r="N225">
        <v>65.2</v>
      </c>
      <c r="O225">
        <v>140</v>
      </c>
      <c r="P225">
        <v>1</v>
      </c>
    </row>
    <row r="226" spans="1:16" x14ac:dyDescent="0.25">
      <c r="A226" s="1">
        <v>45492.046076388891</v>
      </c>
      <c r="B226" t="s">
        <v>32</v>
      </c>
      <c r="C226">
        <v>54.842300000000002</v>
      </c>
      <c r="D226">
        <v>175.5701</v>
      </c>
      <c r="E226">
        <v>331</v>
      </c>
      <c r="F226" t="s">
        <v>17</v>
      </c>
      <c r="G226">
        <v>25.6</v>
      </c>
      <c r="H226">
        <v>77.8</v>
      </c>
      <c r="I226" t="s">
        <v>22</v>
      </c>
      <c r="J226">
        <v>26</v>
      </c>
      <c r="K226">
        <v>213</v>
      </c>
      <c r="L226">
        <v>9</v>
      </c>
      <c r="M226" t="s">
        <v>27</v>
      </c>
      <c r="N226">
        <v>90.7</v>
      </c>
      <c r="O226">
        <v>269</v>
      </c>
      <c r="P226">
        <v>1</v>
      </c>
    </row>
    <row r="227" spans="1:16" x14ac:dyDescent="0.25">
      <c r="A227" s="1">
        <v>45405.701909722222</v>
      </c>
      <c r="B227" t="s">
        <v>35</v>
      </c>
      <c r="C227">
        <v>-78.472300000000004</v>
      </c>
      <c r="D227">
        <v>-82.614999999999995</v>
      </c>
      <c r="E227">
        <v>294</v>
      </c>
      <c r="F227" t="s">
        <v>26</v>
      </c>
      <c r="G227">
        <v>24.4</v>
      </c>
      <c r="H227">
        <v>65.2</v>
      </c>
      <c r="I227" t="s">
        <v>18</v>
      </c>
      <c r="J227">
        <v>23</v>
      </c>
      <c r="K227">
        <v>439</v>
      </c>
      <c r="L227">
        <v>8</v>
      </c>
      <c r="M227" t="s">
        <v>27</v>
      </c>
      <c r="N227">
        <v>65</v>
      </c>
      <c r="O227">
        <v>213</v>
      </c>
      <c r="P227">
        <v>0</v>
      </c>
    </row>
    <row r="228" spans="1:16" x14ac:dyDescent="0.25">
      <c r="A228" s="1">
        <v>45461.539641203701</v>
      </c>
      <c r="B228" t="s">
        <v>20</v>
      </c>
      <c r="C228">
        <v>4.8495999999999997</v>
      </c>
      <c r="D228">
        <v>-60.7988</v>
      </c>
      <c r="E228">
        <v>277</v>
      </c>
      <c r="F228" t="s">
        <v>26</v>
      </c>
      <c r="G228">
        <v>29.3</v>
      </c>
      <c r="H228">
        <v>50.7</v>
      </c>
      <c r="I228" t="s">
        <v>22</v>
      </c>
      <c r="J228">
        <v>24</v>
      </c>
      <c r="K228">
        <v>242</v>
      </c>
      <c r="L228">
        <v>2</v>
      </c>
      <c r="M228" t="s">
        <v>31</v>
      </c>
      <c r="N228">
        <v>93.4</v>
      </c>
      <c r="O228">
        <v>271</v>
      </c>
      <c r="P228">
        <v>1</v>
      </c>
    </row>
    <row r="229" spans="1:16" x14ac:dyDescent="0.25">
      <c r="A229" s="1">
        <v>45643.174525462964</v>
      </c>
      <c r="B229" t="s">
        <v>34</v>
      </c>
      <c r="C229">
        <v>54.034199999999998</v>
      </c>
      <c r="D229">
        <v>-98.308300000000003</v>
      </c>
      <c r="E229">
        <v>329</v>
      </c>
      <c r="F229" t="s">
        <v>17</v>
      </c>
      <c r="G229">
        <v>29.7</v>
      </c>
      <c r="H229">
        <v>77.900000000000006</v>
      </c>
      <c r="I229" t="s">
        <v>22</v>
      </c>
      <c r="J229">
        <v>33</v>
      </c>
      <c r="K229">
        <v>232</v>
      </c>
      <c r="L229">
        <v>5</v>
      </c>
      <c r="M229" t="s">
        <v>23</v>
      </c>
      <c r="N229">
        <v>91.9</v>
      </c>
      <c r="O229">
        <v>124</v>
      </c>
      <c r="P229">
        <v>1</v>
      </c>
    </row>
    <row r="230" spans="1:16" x14ac:dyDescent="0.25">
      <c r="A230" s="1">
        <v>45613.195347222223</v>
      </c>
      <c r="B230" t="s">
        <v>32</v>
      </c>
      <c r="C230">
        <v>41.43</v>
      </c>
      <c r="D230">
        <v>-128.1678</v>
      </c>
      <c r="E230">
        <v>204</v>
      </c>
      <c r="F230" t="s">
        <v>26</v>
      </c>
      <c r="G230">
        <v>18.7</v>
      </c>
      <c r="H230">
        <v>68.5</v>
      </c>
      <c r="I230" t="s">
        <v>22</v>
      </c>
      <c r="J230">
        <v>27</v>
      </c>
      <c r="K230">
        <v>473</v>
      </c>
      <c r="L230">
        <v>2</v>
      </c>
      <c r="M230" t="s">
        <v>27</v>
      </c>
      <c r="N230">
        <v>76.900000000000006</v>
      </c>
      <c r="O230">
        <v>217</v>
      </c>
      <c r="P230">
        <v>1</v>
      </c>
    </row>
    <row r="231" spans="1:16" x14ac:dyDescent="0.25">
      <c r="A231" s="1">
        <v>45463.471365740741</v>
      </c>
      <c r="B231" t="s">
        <v>35</v>
      </c>
      <c r="C231">
        <v>-56.067399999999999</v>
      </c>
      <c r="D231">
        <v>82.943100000000001</v>
      </c>
      <c r="E231">
        <v>410</v>
      </c>
      <c r="F231" t="s">
        <v>26</v>
      </c>
      <c r="G231">
        <v>28.9</v>
      </c>
      <c r="H231">
        <v>60.3</v>
      </c>
      <c r="I231" t="s">
        <v>28</v>
      </c>
      <c r="J231">
        <v>32</v>
      </c>
      <c r="K231">
        <v>436</v>
      </c>
      <c r="L231">
        <v>1</v>
      </c>
      <c r="M231" t="s">
        <v>19</v>
      </c>
      <c r="N231">
        <v>77.2</v>
      </c>
      <c r="O231">
        <v>272</v>
      </c>
      <c r="P231">
        <v>0</v>
      </c>
    </row>
    <row r="232" spans="1:16" x14ac:dyDescent="0.25">
      <c r="A232" s="1">
        <v>45472.46974537037</v>
      </c>
      <c r="B232" t="s">
        <v>16</v>
      </c>
      <c r="C232">
        <v>-0.85389999999999999</v>
      </c>
      <c r="D232">
        <v>-177.5496</v>
      </c>
      <c r="E232">
        <v>417</v>
      </c>
      <c r="F232" t="s">
        <v>17</v>
      </c>
      <c r="G232">
        <v>26.9</v>
      </c>
      <c r="H232">
        <v>70.8</v>
      </c>
      <c r="I232" t="s">
        <v>28</v>
      </c>
      <c r="J232">
        <v>44</v>
      </c>
      <c r="K232">
        <v>103</v>
      </c>
      <c r="L232">
        <v>7</v>
      </c>
      <c r="M232" t="s">
        <v>31</v>
      </c>
      <c r="N232">
        <v>94.7</v>
      </c>
      <c r="O232">
        <v>181</v>
      </c>
      <c r="P232">
        <v>1</v>
      </c>
    </row>
    <row r="233" spans="1:16" x14ac:dyDescent="0.25">
      <c r="A233" s="1">
        <v>45478.385277777779</v>
      </c>
      <c r="B233" t="s">
        <v>20</v>
      </c>
      <c r="C233">
        <v>54.597299999999997</v>
      </c>
      <c r="D233">
        <v>-128.4974</v>
      </c>
      <c r="E233">
        <v>324</v>
      </c>
      <c r="F233" t="s">
        <v>26</v>
      </c>
      <c r="G233">
        <v>20.7</v>
      </c>
      <c r="H233">
        <v>72.400000000000006</v>
      </c>
      <c r="I233" t="s">
        <v>28</v>
      </c>
      <c r="J233">
        <v>12</v>
      </c>
      <c r="K233">
        <v>173</v>
      </c>
      <c r="L233">
        <v>7</v>
      </c>
      <c r="M233" t="s">
        <v>19</v>
      </c>
      <c r="N233">
        <v>95.1</v>
      </c>
      <c r="O233">
        <v>243</v>
      </c>
      <c r="P233">
        <v>0</v>
      </c>
    </row>
    <row r="234" spans="1:16" x14ac:dyDescent="0.25">
      <c r="A234" s="1">
        <v>45492.840902777774</v>
      </c>
      <c r="B234" t="s">
        <v>32</v>
      </c>
      <c r="C234">
        <v>-46.145699999999998</v>
      </c>
      <c r="D234">
        <v>161.02539999999999</v>
      </c>
      <c r="E234">
        <v>218</v>
      </c>
      <c r="F234" t="s">
        <v>17</v>
      </c>
      <c r="G234">
        <v>23.8</v>
      </c>
      <c r="H234">
        <v>52.3</v>
      </c>
      <c r="I234" t="s">
        <v>18</v>
      </c>
      <c r="J234">
        <v>52</v>
      </c>
      <c r="K234">
        <v>389</v>
      </c>
      <c r="L234">
        <v>2</v>
      </c>
      <c r="M234" t="s">
        <v>27</v>
      </c>
      <c r="N234">
        <v>79.5</v>
      </c>
      <c r="O234">
        <v>231</v>
      </c>
      <c r="P234">
        <v>1</v>
      </c>
    </row>
    <row r="235" spans="1:16" x14ac:dyDescent="0.25">
      <c r="A235" s="1">
        <v>45531.934930555559</v>
      </c>
      <c r="B235" t="s">
        <v>34</v>
      </c>
      <c r="C235">
        <v>76.839100000000002</v>
      </c>
      <c r="D235">
        <v>140.30109999999999</v>
      </c>
      <c r="E235">
        <v>137</v>
      </c>
      <c r="F235" t="s">
        <v>17</v>
      </c>
      <c r="G235">
        <v>23.6</v>
      </c>
      <c r="H235">
        <v>51.7</v>
      </c>
      <c r="I235" t="s">
        <v>18</v>
      </c>
      <c r="J235">
        <v>24</v>
      </c>
      <c r="K235">
        <v>124</v>
      </c>
      <c r="L235">
        <v>6</v>
      </c>
      <c r="M235" t="s">
        <v>27</v>
      </c>
      <c r="N235">
        <v>70.599999999999994</v>
      </c>
      <c r="O235">
        <v>279</v>
      </c>
      <c r="P235">
        <v>1</v>
      </c>
    </row>
    <row r="236" spans="1:16" x14ac:dyDescent="0.25">
      <c r="A236" s="1">
        <v>45460.113553240742</v>
      </c>
      <c r="B236" t="s">
        <v>29</v>
      </c>
      <c r="C236">
        <v>-59.191400000000002</v>
      </c>
      <c r="D236">
        <v>-125.4515</v>
      </c>
      <c r="E236">
        <v>414</v>
      </c>
      <c r="F236" t="s">
        <v>17</v>
      </c>
      <c r="G236">
        <v>18.3</v>
      </c>
      <c r="H236">
        <v>76.400000000000006</v>
      </c>
      <c r="I236" t="s">
        <v>18</v>
      </c>
      <c r="J236">
        <v>42</v>
      </c>
      <c r="K236">
        <v>332</v>
      </c>
      <c r="L236">
        <v>10</v>
      </c>
      <c r="M236" t="s">
        <v>27</v>
      </c>
      <c r="N236">
        <v>66.3</v>
      </c>
      <c r="O236">
        <v>249</v>
      </c>
      <c r="P236">
        <v>1</v>
      </c>
    </row>
    <row r="237" spans="1:16" x14ac:dyDescent="0.25">
      <c r="A237" s="1">
        <v>45433.104375000003</v>
      </c>
      <c r="B237" t="s">
        <v>35</v>
      </c>
      <c r="C237">
        <v>-75.617699999999999</v>
      </c>
      <c r="D237">
        <v>-156.976</v>
      </c>
      <c r="E237">
        <v>216</v>
      </c>
      <c r="F237" t="s">
        <v>21</v>
      </c>
      <c r="G237">
        <v>26.9</v>
      </c>
      <c r="H237">
        <v>67.2</v>
      </c>
      <c r="I237" t="s">
        <v>18</v>
      </c>
      <c r="J237">
        <v>35</v>
      </c>
      <c r="K237">
        <v>181</v>
      </c>
      <c r="L237">
        <v>10</v>
      </c>
      <c r="M237" t="s">
        <v>23</v>
      </c>
      <c r="N237">
        <v>86.2</v>
      </c>
      <c r="O237">
        <v>185</v>
      </c>
      <c r="P237">
        <v>0</v>
      </c>
    </row>
    <row r="238" spans="1:16" x14ac:dyDescent="0.25">
      <c r="A238" s="1">
        <v>45420.092928240738</v>
      </c>
      <c r="B238" t="s">
        <v>32</v>
      </c>
      <c r="C238">
        <v>-24.1694</v>
      </c>
      <c r="D238">
        <v>30.0335</v>
      </c>
      <c r="E238">
        <v>170</v>
      </c>
      <c r="F238" t="s">
        <v>17</v>
      </c>
      <c r="G238">
        <v>26.4</v>
      </c>
      <c r="H238">
        <v>51.6</v>
      </c>
      <c r="I238" t="s">
        <v>18</v>
      </c>
      <c r="J238">
        <v>47</v>
      </c>
      <c r="K238">
        <v>278</v>
      </c>
      <c r="L238">
        <v>3</v>
      </c>
      <c r="M238" t="s">
        <v>19</v>
      </c>
      <c r="N238">
        <v>96.4</v>
      </c>
      <c r="O238">
        <v>105</v>
      </c>
      <c r="P238">
        <v>1</v>
      </c>
    </row>
    <row r="239" spans="1:16" x14ac:dyDescent="0.25">
      <c r="A239" s="1">
        <v>45414.409456018519</v>
      </c>
      <c r="B239" t="s">
        <v>30</v>
      </c>
      <c r="C239">
        <v>-6.8583999999999996</v>
      </c>
      <c r="D239">
        <v>150.61269999999999</v>
      </c>
      <c r="E239">
        <v>154</v>
      </c>
      <c r="F239" t="s">
        <v>26</v>
      </c>
      <c r="G239">
        <v>28.6</v>
      </c>
      <c r="H239">
        <v>66.8</v>
      </c>
      <c r="I239" t="s">
        <v>28</v>
      </c>
      <c r="J239">
        <v>18</v>
      </c>
      <c r="K239">
        <v>384</v>
      </c>
      <c r="L239">
        <v>9</v>
      </c>
      <c r="M239" t="s">
        <v>23</v>
      </c>
      <c r="N239">
        <v>60.4</v>
      </c>
      <c r="O239">
        <v>263</v>
      </c>
      <c r="P239">
        <v>0</v>
      </c>
    </row>
    <row r="240" spans="1:16" x14ac:dyDescent="0.25">
      <c r="A240" s="1">
        <v>45316.843900462962</v>
      </c>
      <c r="B240" t="s">
        <v>30</v>
      </c>
      <c r="C240">
        <v>-32.214599999999997</v>
      </c>
      <c r="D240">
        <v>166.79409999999999</v>
      </c>
      <c r="E240">
        <v>213</v>
      </c>
      <c r="F240" t="s">
        <v>26</v>
      </c>
      <c r="G240">
        <v>25</v>
      </c>
      <c r="H240">
        <v>72.7</v>
      </c>
      <c r="I240" t="s">
        <v>18</v>
      </c>
      <c r="J240">
        <v>51</v>
      </c>
      <c r="K240">
        <v>353</v>
      </c>
      <c r="L240">
        <v>8</v>
      </c>
      <c r="M240" t="s">
        <v>19</v>
      </c>
      <c r="N240">
        <v>82.6</v>
      </c>
      <c r="O240">
        <v>227</v>
      </c>
      <c r="P240">
        <v>0</v>
      </c>
    </row>
    <row r="241" spans="1:16" x14ac:dyDescent="0.25">
      <c r="A241" s="1">
        <v>45298.534166666665</v>
      </c>
      <c r="B241" t="s">
        <v>29</v>
      </c>
      <c r="C241">
        <v>-46.305100000000003</v>
      </c>
      <c r="D241">
        <v>-93.1541</v>
      </c>
      <c r="E241">
        <v>276</v>
      </c>
      <c r="F241" t="s">
        <v>26</v>
      </c>
      <c r="G241">
        <v>24.9</v>
      </c>
      <c r="H241">
        <v>77</v>
      </c>
      <c r="I241" t="s">
        <v>18</v>
      </c>
      <c r="J241">
        <v>60</v>
      </c>
      <c r="K241">
        <v>467</v>
      </c>
      <c r="L241">
        <v>4</v>
      </c>
      <c r="M241" t="s">
        <v>23</v>
      </c>
      <c r="N241">
        <v>84.6</v>
      </c>
      <c r="O241">
        <v>292</v>
      </c>
      <c r="P241">
        <v>0</v>
      </c>
    </row>
    <row r="242" spans="1:16" x14ac:dyDescent="0.25">
      <c r="A242" s="1">
        <v>45359.423344907409</v>
      </c>
      <c r="B242" t="s">
        <v>24</v>
      </c>
      <c r="C242">
        <v>-85.085899999999995</v>
      </c>
      <c r="D242">
        <v>41.137999999999998</v>
      </c>
      <c r="E242">
        <v>382</v>
      </c>
      <c r="F242" t="s">
        <v>21</v>
      </c>
      <c r="G242">
        <v>22</v>
      </c>
      <c r="H242">
        <v>77.8</v>
      </c>
      <c r="I242" t="s">
        <v>28</v>
      </c>
      <c r="J242">
        <v>47</v>
      </c>
      <c r="K242">
        <v>448</v>
      </c>
      <c r="L242">
        <v>5</v>
      </c>
      <c r="M242" t="s">
        <v>23</v>
      </c>
      <c r="N242">
        <v>81.400000000000006</v>
      </c>
      <c r="O242">
        <v>246</v>
      </c>
      <c r="P242">
        <v>0</v>
      </c>
    </row>
    <row r="243" spans="1:16" x14ac:dyDescent="0.25">
      <c r="A243" s="1">
        <v>45648.625914351855</v>
      </c>
      <c r="B243" t="s">
        <v>32</v>
      </c>
      <c r="C243">
        <v>89.1858</v>
      </c>
      <c r="D243">
        <v>-159.32419999999999</v>
      </c>
      <c r="E243">
        <v>383</v>
      </c>
      <c r="F243" t="s">
        <v>21</v>
      </c>
      <c r="G243">
        <v>19.100000000000001</v>
      </c>
      <c r="H243">
        <v>69</v>
      </c>
      <c r="I243" t="s">
        <v>18</v>
      </c>
      <c r="J243">
        <v>16</v>
      </c>
      <c r="K243">
        <v>238</v>
      </c>
      <c r="L243">
        <v>3</v>
      </c>
      <c r="M243" t="s">
        <v>23</v>
      </c>
      <c r="N243">
        <v>90.7</v>
      </c>
      <c r="O243">
        <v>290</v>
      </c>
      <c r="P243">
        <v>0</v>
      </c>
    </row>
    <row r="244" spans="1:16" x14ac:dyDescent="0.25">
      <c r="A244" s="1">
        <v>45312.553506944445</v>
      </c>
      <c r="B244" t="s">
        <v>35</v>
      </c>
      <c r="C244">
        <v>1.429</v>
      </c>
      <c r="D244">
        <v>-119.0925</v>
      </c>
      <c r="E244">
        <v>334</v>
      </c>
      <c r="F244" t="s">
        <v>17</v>
      </c>
      <c r="G244">
        <v>26.6</v>
      </c>
      <c r="H244">
        <v>74.099999999999994</v>
      </c>
      <c r="I244" t="s">
        <v>18</v>
      </c>
      <c r="J244">
        <v>10</v>
      </c>
      <c r="K244">
        <v>317</v>
      </c>
      <c r="L244">
        <v>3</v>
      </c>
      <c r="M244" t="s">
        <v>27</v>
      </c>
      <c r="N244">
        <v>73</v>
      </c>
      <c r="O244">
        <v>184</v>
      </c>
      <c r="P244">
        <v>1</v>
      </c>
    </row>
    <row r="245" spans="1:16" x14ac:dyDescent="0.25">
      <c r="A245" s="1">
        <v>45468.107800925929</v>
      </c>
      <c r="B245" t="s">
        <v>25</v>
      </c>
      <c r="C245">
        <v>78.325199999999995</v>
      </c>
      <c r="D245">
        <v>15.2758</v>
      </c>
      <c r="E245">
        <v>421</v>
      </c>
      <c r="F245" t="s">
        <v>17</v>
      </c>
      <c r="G245">
        <v>26.3</v>
      </c>
      <c r="H245">
        <v>68.8</v>
      </c>
      <c r="I245" t="s">
        <v>22</v>
      </c>
      <c r="J245">
        <v>53</v>
      </c>
      <c r="K245">
        <v>128</v>
      </c>
      <c r="L245">
        <v>6</v>
      </c>
      <c r="M245" t="s">
        <v>19</v>
      </c>
      <c r="N245">
        <v>76.599999999999994</v>
      </c>
      <c r="O245">
        <v>100</v>
      </c>
      <c r="P245">
        <v>1</v>
      </c>
    </row>
    <row r="246" spans="1:16" x14ac:dyDescent="0.25">
      <c r="A246" s="1">
        <v>45439.217743055553</v>
      </c>
      <c r="B246" t="s">
        <v>30</v>
      </c>
      <c r="C246">
        <v>-9.2286999999999999</v>
      </c>
      <c r="D246">
        <v>107.9306</v>
      </c>
      <c r="E246">
        <v>329</v>
      </c>
      <c r="F246" t="s">
        <v>26</v>
      </c>
      <c r="G246">
        <v>25</v>
      </c>
      <c r="H246">
        <v>51.2</v>
      </c>
      <c r="I246" t="s">
        <v>18</v>
      </c>
      <c r="J246">
        <v>53</v>
      </c>
      <c r="K246">
        <v>233</v>
      </c>
      <c r="L246">
        <v>5</v>
      </c>
      <c r="M246" t="s">
        <v>31</v>
      </c>
      <c r="N246">
        <v>67.2</v>
      </c>
      <c r="O246">
        <v>188</v>
      </c>
      <c r="P246">
        <v>0</v>
      </c>
    </row>
    <row r="247" spans="1:16" x14ac:dyDescent="0.25">
      <c r="A247" s="1">
        <v>45318.045578703706</v>
      </c>
      <c r="B247" t="s">
        <v>24</v>
      </c>
      <c r="C247">
        <v>71.432699999999997</v>
      </c>
      <c r="D247">
        <v>127.3664</v>
      </c>
      <c r="E247">
        <v>284</v>
      </c>
      <c r="F247" t="s">
        <v>21</v>
      </c>
      <c r="G247">
        <v>22.1</v>
      </c>
      <c r="H247">
        <v>77.2</v>
      </c>
      <c r="I247" t="s">
        <v>22</v>
      </c>
      <c r="J247">
        <v>16</v>
      </c>
      <c r="K247">
        <v>226</v>
      </c>
      <c r="L247">
        <v>4</v>
      </c>
      <c r="M247" t="s">
        <v>19</v>
      </c>
      <c r="N247">
        <v>95.8</v>
      </c>
      <c r="O247">
        <v>206</v>
      </c>
      <c r="P247">
        <v>1</v>
      </c>
    </row>
    <row r="248" spans="1:16" x14ac:dyDescent="0.25">
      <c r="A248" s="1">
        <v>45312.133275462962</v>
      </c>
      <c r="B248" t="s">
        <v>30</v>
      </c>
      <c r="C248">
        <v>-84.004900000000006</v>
      </c>
      <c r="D248">
        <v>111.8327</v>
      </c>
      <c r="E248">
        <v>184</v>
      </c>
      <c r="F248" t="s">
        <v>17</v>
      </c>
      <c r="G248">
        <v>19.2</v>
      </c>
      <c r="H248">
        <v>59.8</v>
      </c>
      <c r="I248" t="s">
        <v>22</v>
      </c>
      <c r="J248">
        <v>23</v>
      </c>
      <c r="K248">
        <v>126</v>
      </c>
      <c r="L248">
        <v>4</v>
      </c>
      <c r="M248" t="s">
        <v>31</v>
      </c>
      <c r="N248">
        <v>90.4</v>
      </c>
      <c r="O248">
        <v>200</v>
      </c>
      <c r="P248">
        <v>1</v>
      </c>
    </row>
    <row r="249" spans="1:16" x14ac:dyDescent="0.25">
      <c r="A249" s="1">
        <v>45507.560034722221</v>
      </c>
      <c r="B249" t="s">
        <v>34</v>
      </c>
      <c r="C249">
        <v>7.0778999999999996</v>
      </c>
      <c r="D249">
        <v>-165.136</v>
      </c>
      <c r="E249">
        <v>403</v>
      </c>
      <c r="F249" t="s">
        <v>26</v>
      </c>
      <c r="G249">
        <v>20.6</v>
      </c>
      <c r="H249">
        <v>66.099999999999994</v>
      </c>
      <c r="I249" t="s">
        <v>28</v>
      </c>
      <c r="J249">
        <v>15</v>
      </c>
      <c r="K249">
        <v>461</v>
      </c>
      <c r="L249">
        <v>4</v>
      </c>
      <c r="M249" t="s">
        <v>19</v>
      </c>
      <c r="N249">
        <v>77.099999999999994</v>
      </c>
      <c r="O249">
        <v>263</v>
      </c>
      <c r="P249">
        <v>0</v>
      </c>
    </row>
    <row r="250" spans="1:16" x14ac:dyDescent="0.25">
      <c r="A250" s="1">
        <v>45448.756643518522</v>
      </c>
      <c r="B250" t="s">
        <v>20</v>
      </c>
      <c r="C250">
        <v>-86.085800000000006</v>
      </c>
      <c r="D250">
        <v>117.86969999999999</v>
      </c>
      <c r="E250">
        <v>100</v>
      </c>
      <c r="F250" t="s">
        <v>21</v>
      </c>
      <c r="G250">
        <v>22.3</v>
      </c>
      <c r="H250">
        <v>72.3</v>
      </c>
      <c r="I250" t="s">
        <v>18</v>
      </c>
      <c r="J250">
        <v>43</v>
      </c>
      <c r="K250">
        <v>256</v>
      </c>
      <c r="L250">
        <v>5</v>
      </c>
      <c r="M250" t="s">
        <v>19</v>
      </c>
      <c r="N250">
        <v>92.8</v>
      </c>
      <c r="O250">
        <v>101</v>
      </c>
      <c r="P250">
        <v>0</v>
      </c>
    </row>
    <row r="251" spans="1:16" x14ac:dyDescent="0.25">
      <c r="A251" s="1">
        <v>45592.50644675926</v>
      </c>
      <c r="B251" t="s">
        <v>33</v>
      </c>
      <c r="C251">
        <v>59.243200000000002</v>
      </c>
      <c r="D251">
        <v>175.9873</v>
      </c>
      <c r="E251">
        <v>135</v>
      </c>
      <c r="F251" t="s">
        <v>17</v>
      </c>
      <c r="G251">
        <v>18.899999999999999</v>
      </c>
      <c r="H251">
        <v>55.5</v>
      </c>
      <c r="I251" t="s">
        <v>22</v>
      </c>
      <c r="J251">
        <v>57</v>
      </c>
      <c r="K251">
        <v>162</v>
      </c>
      <c r="L251">
        <v>9</v>
      </c>
      <c r="M251" t="s">
        <v>19</v>
      </c>
      <c r="N251">
        <v>75.3</v>
      </c>
      <c r="O251">
        <v>127</v>
      </c>
      <c r="P251">
        <v>1</v>
      </c>
    </row>
    <row r="252" spans="1:16" x14ac:dyDescent="0.25">
      <c r="A252" s="1">
        <v>45587.603321759256</v>
      </c>
      <c r="B252" t="s">
        <v>35</v>
      </c>
      <c r="C252">
        <v>-39.3003</v>
      </c>
      <c r="D252">
        <v>-121.6771</v>
      </c>
      <c r="E252">
        <v>220</v>
      </c>
      <c r="F252" t="s">
        <v>21</v>
      </c>
      <c r="G252">
        <v>25</v>
      </c>
      <c r="H252">
        <v>79</v>
      </c>
      <c r="I252" t="s">
        <v>22</v>
      </c>
      <c r="J252">
        <v>51</v>
      </c>
      <c r="K252">
        <v>481</v>
      </c>
      <c r="L252">
        <v>2</v>
      </c>
      <c r="M252" t="s">
        <v>23</v>
      </c>
      <c r="N252">
        <v>64.3</v>
      </c>
      <c r="O252">
        <v>268</v>
      </c>
      <c r="P252">
        <v>1</v>
      </c>
    </row>
    <row r="253" spans="1:16" x14ac:dyDescent="0.25">
      <c r="A253" s="1">
        <v>45538.404143518521</v>
      </c>
      <c r="B253" t="s">
        <v>32</v>
      </c>
      <c r="C253">
        <v>-83.671999999999997</v>
      </c>
      <c r="D253">
        <v>164.25219999999999</v>
      </c>
      <c r="E253">
        <v>318</v>
      </c>
      <c r="F253" t="s">
        <v>21</v>
      </c>
      <c r="G253">
        <v>29.8</v>
      </c>
      <c r="H253">
        <v>51.4</v>
      </c>
      <c r="I253" t="s">
        <v>28</v>
      </c>
      <c r="J253">
        <v>24</v>
      </c>
      <c r="K253">
        <v>216</v>
      </c>
      <c r="L253">
        <v>3</v>
      </c>
      <c r="M253" t="s">
        <v>23</v>
      </c>
      <c r="N253">
        <v>83.8</v>
      </c>
      <c r="O253">
        <v>221</v>
      </c>
      <c r="P253">
        <v>0</v>
      </c>
    </row>
    <row r="254" spans="1:16" x14ac:dyDescent="0.25">
      <c r="A254" s="1">
        <v>45294.472604166665</v>
      </c>
      <c r="B254" t="s">
        <v>16</v>
      </c>
      <c r="C254">
        <v>5.9541000000000004</v>
      </c>
      <c r="D254">
        <v>-156.4873</v>
      </c>
      <c r="E254">
        <v>237</v>
      </c>
      <c r="F254" t="s">
        <v>26</v>
      </c>
      <c r="G254">
        <v>29.2</v>
      </c>
      <c r="H254">
        <v>56.2</v>
      </c>
      <c r="I254" t="s">
        <v>18</v>
      </c>
      <c r="J254">
        <v>15</v>
      </c>
      <c r="K254">
        <v>251</v>
      </c>
      <c r="L254">
        <v>3</v>
      </c>
      <c r="M254" t="s">
        <v>23</v>
      </c>
      <c r="N254">
        <v>76.3</v>
      </c>
      <c r="O254">
        <v>198</v>
      </c>
      <c r="P254">
        <v>0</v>
      </c>
    </row>
    <row r="255" spans="1:16" x14ac:dyDescent="0.25">
      <c r="A255" s="1">
        <v>45454.985335648147</v>
      </c>
      <c r="B255" t="s">
        <v>30</v>
      </c>
      <c r="C255">
        <v>-16.380400000000002</v>
      </c>
      <c r="D255">
        <v>-119.05459999999999</v>
      </c>
      <c r="E255">
        <v>459</v>
      </c>
      <c r="F255" t="s">
        <v>21</v>
      </c>
      <c r="G255">
        <v>27.2</v>
      </c>
      <c r="H255">
        <v>78.5</v>
      </c>
      <c r="I255" t="s">
        <v>22</v>
      </c>
      <c r="J255">
        <v>22</v>
      </c>
      <c r="K255">
        <v>323</v>
      </c>
      <c r="L255">
        <v>7</v>
      </c>
      <c r="M255" t="s">
        <v>19</v>
      </c>
      <c r="N255">
        <v>87.3</v>
      </c>
      <c r="O255">
        <v>271</v>
      </c>
      <c r="P255">
        <v>1</v>
      </c>
    </row>
    <row r="256" spans="1:16" x14ac:dyDescent="0.25">
      <c r="A256" s="1">
        <v>45295.98101851852</v>
      </c>
      <c r="B256" t="s">
        <v>20</v>
      </c>
      <c r="C256">
        <v>-27.491299999999999</v>
      </c>
      <c r="D256">
        <v>-1.8571</v>
      </c>
      <c r="E256">
        <v>332</v>
      </c>
      <c r="F256" t="s">
        <v>21</v>
      </c>
      <c r="G256">
        <v>21.7</v>
      </c>
      <c r="H256">
        <v>58.9</v>
      </c>
      <c r="I256" t="s">
        <v>22</v>
      </c>
      <c r="J256">
        <v>33</v>
      </c>
      <c r="K256">
        <v>363</v>
      </c>
      <c r="L256">
        <v>6</v>
      </c>
      <c r="M256" t="s">
        <v>23</v>
      </c>
      <c r="N256">
        <v>90.1</v>
      </c>
      <c r="O256">
        <v>131</v>
      </c>
      <c r="P256">
        <v>1</v>
      </c>
    </row>
    <row r="257" spans="1:16" x14ac:dyDescent="0.25">
      <c r="A257" s="1">
        <v>45506.290520833332</v>
      </c>
      <c r="B257" t="s">
        <v>32</v>
      </c>
      <c r="C257">
        <v>67.700199999999995</v>
      </c>
      <c r="D257">
        <v>43.853000000000002</v>
      </c>
      <c r="E257">
        <v>133</v>
      </c>
      <c r="F257" t="s">
        <v>21</v>
      </c>
      <c r="G257">
        <v>28.7</v>
      </c>
      <c r="H257">
        <v>69.5</v>
      </c>
      <c r="I257" t="s">
        <v>18</v>
      </c>
      <c r="J257">
        <v>57</v>
      </c>
      <c r="K257">
        <v>342</v>
      </c>
      <c r="L257">
        <v>6</v>
      </c>
      <c r="M257" t="s">
        <v>27</v>
      </c>
      <c r="N257">
        <v>99.9</v>
      </c>
      <c r="O257">
        <v>261</v>
      </c>
      <c r="P257">
        <v>0</v>
      </c>
    </row>
    <row r="258" spans="1:16" x14ac:dyDescent="0.25">
      <c r="A258" s="1">
        <v>45533.088379629633</v>
      </c>
      <c r="B258" t="s">
        <v>32</v>
      </c>
      <c r="C258">
        <v>30.5045</v>
      </c>
      <c r="D258">
        <v>52.255899999999997</v>
      </c>
      <c r="E258">
        <v>499</v>
      </c>
      <c r="F258" t="s">
        <v>17</v>
      </c>
      <c r="G258">
        <v>18.3</v>
      </c>
      <c r="H258">
        <v>75.099999999999994</v>
      </c>
      <c r="I258" t="s">
        <v>28</v>
      </c>
      <c r="J258">
        <v>22</v>
      </c>
      <c r="K258">
        <v>251</v>
      </c>
      <c r="L258">
        <v>1</v>
      </c>
      <c r="M258" t="s">
        <v>31</v>
      </c>
      <c r="N258">
        <v>79.2</v>
      </c>
      <c r="O258">
        <v>139</v>
      </c>
      <c r="P258">
        <v>1</v>
      </c>
    </row>
    <row r="259" spans="1:16" x14ac:dyDescent="0.25">
      <c r="A259" s="1">
        <v>45344.751388888886</v>
      </c>
      <c r="B259" t="s">
        <v>24</v>
      </c>
      <c r="C259">
        <v>4.8619000000000003</v>
      </c>
      <c r="D259">
        <v>61.422400000000003</v>
      </c>
      <c r="E259">
        <v>350</v>
      </c>
      <c r="F259" t="s">
        <v>26</v>
      </c>
      <c r="G259">
        <v>25.3</v>
      </c>
      <c r="H259">
        <v>71.2</v>
      </c>
      <c r="I259" t="s">
        <v>18</v>
      </c>
      <c r="J259">
        <v>19</v>
      </c>
      <c r="K259">
        <v>177</v>
      </c>
      <c r="L259">
        <v>1</v>
      </c>
      <c r="M259" t="s">
        <v>19</v>
      </c>
      <c r="N259">
        <v>67</v>
      </c>
      <c r="O259">
        <v>209</v>
      </c>
      <c r="P259">
        <v>0</v>
      </c>
    </row>
    <row r="260" spans="1:16" x14ac:dyDescent="0.25">
      <c r="A260" s="1">
        <v>45464.855254629627</v>
      </c>
      <c r="B260" t="s">
        <v>16</v>
      </c>
      <c r="C260">
        <v>84.087199999999996</v>
      </c>
      <c r="D260">
        <v>85.238299999999995</v>
      </c>
      <c r="E260">
        <v>186</v>
      </c>
      <c r="F260" t="s">
        <v>17</v>
      </c>
      <c r="G260">
        <v>24.1</v>
      </c>
      <c r="H260">
        <v>72</v>
      </c>
      <c r="I260" t="s">
        <v>18</v>
      </c>
      <c r="J260">
        <v>26</v>
      </c>
      <c r="K260">
        <v>131</v>
      </c>
      <c r="L260">
        <v>4</v>
      </c>
      <c r="M260" t="s">
        <v>19</v>
      </c>
      <c r="N260">
        <v>68.2</v>
      </c>
      <c r="O260">
        <v>189</v>
      </c>
      <c r="P260">
        <v>1</v>
      </c>
    </row>
    <row r="261" spans="1:16" x14ac:dyDescent="0.25">
      <c r="A261" s="1">
        <v>45318.650173611109</v>
      </c>
      <c r="B261" t="s">
        <v>32</v>
      </c>
      <c r="C261">
        <v>11.5213</v>
      </c>
      <c r="D261">
        <v>-168.47409999999999</v>
      </c>
      <c r="E261">
        <v>403</v>
      </c>
      <c r="F261" t="s">
        <v>26</v>
      </c>
      <c r="G261">
        <v>23.1</v>
      </c>
      <c r="H261">
        <v>69.3</v>
      </c>
      <c r="I261" t="s">
        <v>18</v>
      </c>
      <c r="J261">
        <v>24</v>
      </c>
      <c r="K261">
        <v>487</v>
      </c>
      <c r="L261">
        <v>10</v>
      </c>
      <c r="M261" t="s">
        <v>31</v>
      </c>
      <c r="N261">
        <v>69.599999999999994</v>
      </c>
      <c r="O261">
        <v>104</v>
      </c>
      <c r="P261">
        <v>0</v>
      </c>
    </row>
    <row r="262" spans="1:16" x14ac:dyDescent="0.25">
      <c r="A262" s="1">
        <v>45460.527928240743</v>
      </c>
      <c r="B262" t="s">
        <v>20</v>
      </c>
      <c r="C262">
        <v>63.770099999999999</v>
      </c>
      <c r="D262">
        <v>163.26509999999999</v>
      </c>
      <c r="E262">
        <v>193</v>
      </c>
      <c r="F262" t="s">
        <v>17</v>
      </c>
      <c r="G262">
        <v>22.1</v>
      </c>
      <c r="H262">
        <v>68.2</v>
      </c>
      <c r="I262" t="s">
        <v>22</v>
      </c>
      <c r="J262">
        <v>29</v>
      </c>
      <c r="K262">
        <v>231</v>
      </c>
      <c r="L262">
        <v>3</v>
      </c>
      <c r="M262" t="s">
        <v>23</v>
      </c>
      <c r="N262">
        <v>69.7</v>
      </c>
      <c r="O262">
        <v>198</v>
      </c>
      <c r="P262">
        <v>1</v>
      </c>
    </row>
    <row r="263" spans="1:16" x14ac:dyDescent="0.25">
      <c r="A263" s="1">
        <v>45382.604375000003</v>
      </c>
      <c r="B263" t="s">
        <v>30</v>
      </c>
      <c r="C263">
        <v>57.575699999999998</v>
      </c>
      <c r="D263">
        <v>-35.043900000000001</v>
      </c>
      <c r="E263">
        <v>254</v>
      </c>
      <c r="F263" t="s">
        <v>26</v>
      </c>
      <c r="G263">
        <v>24</v>
      </c>
      <c r="H263">
        <v>78.599999999999994</v>
      </c>
      <c r="I263" t="s">
        <v>22</v>
      </c>
      <c r="J263">
        <v>24</v>
      </c>
      <c r="K263">
        <v>108</v>
      </c>
      <c r="L263">
        <v>3</v>
      </c>
      <c r="M263" t="s">
        <v>23</v>
      </c>
      <c r="N263">
        <v>66.599999999999994</v>
      </c>
      <c r="O263">
        <v>219</v>
      </c>
      <c r="P263">
        <v>1</v>
      </c>
    </row>
    <row r="264" spans="1:16" x14ac:dyDescent="0.25">
      <c r="A264" s="1">
        <v>45374.340497685182</v>
      </c>
      <c r="B264" t="s">
        <v>25</v>
      </c>
      <c r="C264">
        <v>-66.600899999999996</v>
      </c>
      <c r="D264">
        <v>-11.7155</v>
      </c>
      <c r="E264">
        <v>368</v>
      </c>
      <c r="F264" t="s">
        <v>26</v>
      </c>
      <c r="G264">
        <v>26.1</v>
      </c>
      <c r="H264">
        <v>71</v>
      </c>
      <c r="I264" t="s">
        <v>28</v>
      </c>
      <c r="J264">
        <v>58</v>
      </c>
      <c r="K264">
        <v>336</v>
      </c>
      <c r="L264">
        <v>2</v>
      </c>
      <c r="M264" t="s">
        <v>31</v>
      </c>
      <c r="N264">
        <v>86.5</v>
      </c>
      <c r="O264">
        <v>259</v>
      </c>
      <c r="P264">
        <v>0</v>
      </c>
    </row>
    <row r="265" spans="1:16" x14ac:dyDescent="0.25">
      <c r="A265" s="1">
        <v>45567.633333333331</v>
      </c>
      <c r="B265" t="s">
        <v>20</v>
      </c>
      <c r="C265">
        <v>18.754999999999999</v>
      </c>
      <c r="D265">
        <v>-46.887099999999997</v>
      </c>
      <c r="E265">
        <v>283</v>
      </c>
      <c r="F265" t="s">
        <v>17</v>
      </c>
      <c r="G265">
        <v>28.5</v>
      </c>
      <c r="H265">
        <v>50.7</v>
      </c>
      <c r="I265" t="s">
        <v>18</v>
      </c>
      <c r="J265">
        <v>11</v>
      </c>
      <c r="K265">
        <v>495</v>
      </c>
      <c r="L265">
        <v>10</v>
      </c>
      <c r="M265" t="s">
        <v>23</v>
      </c>
      <c r="N265">
        <v>88.1</v>
      </c>
      <c r="O265">
        <v>200</v>
      </c>
      <c r="P265">
        <v>1</v>
      </c>
    </row>
    <row r="266" spans="1:16" x14ac:dyDescent="0.25">
      <c r="A266" s="1">
        <v>45501.775057870371</v>
      </c>
      <c r="B266" t="s">
        <v>24</v>
      </c>
      <c r="C266">
        <v>50.357399999999998</v>
      </c>
      <c r="D266">
        <v>128.56180000000001</v>
      </c>
      <c r="E266">
        <v>164</v>
      </c>
      <c r="F266" t="s">
        <v>26</v>
      </c>
      <c r="G266">
        <v>25.5</v>
      </c>
      <c r="H266">
        <v>67.599999999999994</v>
      </c>
      <c r="I266" t="s">
        <v>22</v>
      </c>
      <c r="J266">
        <v>20</v>
      </c>
      <c r="K266">
        <v>188</v>
      </c>
      <c r="L266">
        <v>7</v>
      </c>
      <c r="M266" t="s">
        <v>31</v>
      </c>
      <c r="N266">
        <v>60.1</v>
      </c>
      <c r="O266">
        <v>268</v>
      </c>
      <c r="P266">
        <v>1</v>
      </c>
    </row>
    <row r="267" spans="1:16" x14ac:dyDescent="0.25">
      <c r="A267" s="1">
        <v>45302.638807870368</v>
      </c>
      <c r="B267" t="s">
        <v>34</v>
      </c>
      <c r="C267">
        <v>46.9009</v>
      </c>
      <c r="D267">
        <v>3.7490000000000001</v>
      </c>
      <c r="E267">
        <v>419</v>
      </c>
      <c r="F267" t="s">
        <v>26</v>
      </c>
      <c r="G267">
        <v>22.1</v>
      </c>
      <c r="H267">
        <v>74.7</v>
      </c>
      <c r="I267" t="s">
        <v>18</v>
      </c>
      <c r="J267">
        <v>31</v>
      </c>
      <c r="K267">
        <v>236</v>
      </c>
      <c r="L267">
        <v>10</v>
      </c>
      <c r="M267" t="s">
        <v>27</v>
      </c>
      <c r="N267">
        <v>95.9</v>
      </c>
      <c r="O267">
        <v>182</v>
      </c>
      <c r="P267">
        <v>0</v>
      </c>
    </row>
    <row r="268" spans="1:16" x14ac:dyDescent="0.25">
      <c r="A268" s="1">
        <v>45654.787164351852</v>
      </c>
      <c r="B268" t="s">
        <v>25</v>
      </c>
      <c r="C268">
        <v>17.5319</v>
      </c>
      <c r="D268">
        <v>-65.076499999999996</v>
      </c>
      <c r="E268">
        <v>489</v>
      </c>
      <c r="F268" t="s">
        <v>26</v>
      </c>
      <c r="G268">
        <v>25</v>
      </c>
      <c r="H268">
        <v>69.400000000000006</v>
      </c>
      <c r="I268" t="s">
        <v>28</v>
      </c>
      <c r="J268">
        <v>30</v>
      </c>
      <c r="K268">
        <v>345</v>
      </c>
      <c r="L268">
        <v>8</v>
      </c>
      <c r="M268" t="s">
        <v>19</v>
      </c>
      <c r="N268">
        <v>66.099999999999994</v>
      </c>
      <c r="O268">
        <v>128</v>
      </c>
      <c r="P268">
        <v>0</v>
      </c>
    </row>
    <row r="269" spans="1:16" x14ac:dyDescent="0.25">
      <c r="A269" s="1">
        <v>45542.534907407404</v>
      </c>
      <c r="B269" t="s">
        <v>30</v>
      </c>
      <c r="C269">
        <v>4.8304999999999998</v>
      </c>
      <c r="D269">
        <v>-6.5757000000000003</v>
      </c>
      <c r="E269">
        <v>498</v>
      </c>
      <c r="F269" t="s">
        <v>17</v>
      </c>
      <c r="G269">
        <v>20.2</v>
      </c>
      <c r="H269">
        <v>55</v>
      </c>
      <c r="I269" t="s">
        <v>28</v>
      </c>
      <c r="J269">
        <v>51</v>
      </c>
      <c r="K269">
        <v>147</v>
      </c>
      <c r="L269">
        <v>8</v>
      </c>
      <c r="M269" t="s">
        <v>23</v>
      </c>
      <c r="N269">
        <v>97.7</v>
      </c>
      <c r="O269">
        <v>247</v>
      </c>
      <c r="P269">
        <v>1</v>
      </c>
    </row>
    <row r="270" spans="1:16" x14ac:dyDescent="0.25">
      <c r="A270" s="1">
        <v>45635.468773148146</v>
      </c>
      <c r="B270" t="s">
        <v>24</v>
      </c>
      <c r="C270">
        <v>38.8917</v>
      </c>
      <c r="D270">
        <v>-38.803199999999997</v>
      </c>
      <c r="E270">
        <v>244</v>
      </c>
      <c r="F270" t="s">
        <v>17</v>
      </c>
      <c r="G270">
        <v>21.2</v>
      </c>
      <c r="H270">
        <v>61.8</v>
      </c>
      <c r="I270" t="s">
        <v>18</v>
      </c>
      <c r="J270">
        <v>24</v>
      </c>
      <c r="K270">
        <v>181</v>
      </c>
      <c r="L270">
        <v>2</v>
      </c>
      <c r="M270" t="s">
        <v>27</v>
      </c>
      <c r="N270">
        <v>70.099999999999994</v>
      </c>
      <c r="O270">
        <v>238</v>
      </c>
      <c r="P270">
        <v>1</v>
      </c>
    </row>
    <row r="271" spans="1:16" x14ac:dyDescent="0.25">
      <c r="A271" s="1">
        <v>45570.773611111108</v>
      </c>
      <c r="B271" t="s">
        <v>29</v>
      </c>
      <c r="C271">
        <v>-20.048200000000001</v>
      </c>
      <c r="D271">
        <v>-83.691500000000005</v>
      </c>
      <c r="E271">
        <v>488</v>
      </c>
      <c r="F271" t="s">
        <v>26</v>
      </c>
      <c r="G271">
        <v>21.5</v>
      </c>
      <c r="H271">
        <v>50.3</v>
      </c>
      <c r="I271" t="s">
        <v>22</v>
      </c>
      <c r="J271">
        <v>32</v>
      </c>
      <c r="K271">
        <v>120</v>
      </c>
      <c r="L271">
        <v>1</v>
      </c>
      <c r="M271" t="s">
        <v>31</v>
      </c>
      <c r="N271">
        <v>79.099999999999994</v>
      </c>
      <c r="O271">
        <v>111</v>
      </c>
      <c r="P271">
        <v>1</v>
      </c>
    </row>
    <row r="272" spans="1:16" x14ac:dyDescent="0.25">
      <c r="A272" s="1">
        <v>45404.455081018517</v>
      </c>
      <c r="B272" t="s">
        <v>25</v>
      </c>
      <c r="C272">
        <v>-83.253399999999999</v>
      </c>
      <c r="D272">
        <v>-166.33090000000001</v>
      </c>
      <c r="E272">
        <v>152</v>
      </c>
      <c r="F272" t="s">
        <v>17</v>
      </c>
      <c r="G272">
        <v>21.2</v>
      </c>
      <c r="H272">
        <v>70.3</v>
      </c>
      <c r="I272" t="s">
        <v>28</v>
      </c>
      <c r="J272">
        <v>10</v>
      </c>
      <c r="K272">
        <v>467</v>
      </c>
      <c r="L272">
        <v>10</v>
      </c>
      <c r="M272" t="s">
        <v>19</v>
      </c>
      <c r="N272">
        <v>61.5</v>
      </c>
      <c r="O272">
        <v>269</v>
      </c>
      <c r="P272">
        <v>1</v>
      </c>
    </row>
    <row r="273" spans="1:16" x14ac:dyDescent="0.25">
      <c r="A273" s="1">
        <v>45349.906805555554</v>
      </c>
      <c r="B273" t="s">
        <v>24</v>
      </c>
      <c r="C273">
        <v>-4.8643000000000001</v>
      </c>
      <c r="D273">
        <v>75.430400000000006</v>
      </c>
      <c r="E273">
        <v>168</v>
      </c>
      <c r="F273" t="s">
        <v>17</v>
      </c>
      <c r="G273">
        <v>23.2</v>
      </c>
      <c r="H273">
        <v>71.5</v>
      </c>
      <c r="I273" t="s">
        <v>28</v>
      </c>
      <c r="J273">
        <v>23</v>
      </c>
      <c r="K273">
        <v>292</v>
      </c>
      <c r="L273">
        <v>3</v>
      </c>
      <c r="M273" t="s">
        <v>27</v>
      </c>
      <c r="N273">
        <v>98.8</v>
      </c>
      <c r="O273">
        <v>102</v>
      </c>
      <c r="P273">
        <v>1</v>
      </c>
    </row>
    <row r="274" spans="1:16" x14ac:dyDescent="0.25">
      <c r="A274" s="1">
        <v>45435.919247685182</v>
      </c>
      <c r="B274" t="s">
        <v>34</v>
      </c>
      <c r="C274">
        <v>46.7637</v>
      </c>
      <c r="D274">
        <v>-146.4348</v>
      </c>
      <c r="E274">
        <v>268</v>
      </c>
      <c r="F274" t="s">
        <v>26</v>
      </c>
      <c r="G274">
        <v>23.9</v>
      </c>
      <c r="H274">
        <v>79.2</v>
      </c>
      <c r="I274" t="s">
        <v>28</v>
      </c>
      <c r="J274">
        <v>41</v>
      </c>
      <c r="K274">
        <v>295</v>
      </c>
      <c r="L274">
        <v>9</v>
      </c>
      <c r="M274" t="s">
        <v>31</v>
      </c>
      <c r="N274">
        <v>69.5</v>
      </c>
      <c r="O274">
        <v>146</v>
      </c>
      <c r="P274">
        <v>0</v>
      </c>
    </row>
    <row r="275" spans="1:16" x14ac:dyDescent="0.25">
      <c r="A275" s="1">
        <v>45293.930347222224</v>
      </c>
      <c r="B275" t="s">
        <v>16</v>
      </c>
      <c r="C275">
        <v>-68.390900000000002</v>
      </c>
      <c r="D275">
        <v>-122.557</v>
      </c>
      <c r="E275">
        <v>341</v>
      </c>
      <c r="F275" t="s">
        <v>21</v>
      </c>
      <c r="G275">
        <v>21.3</v>
      </c>
      <c r="H275">
        <v>76.2</v>
      </c>
      <c r="I275" t="s">
        <v>22</v>
      </c>
      <c r="J275">
        <v>58</v>
      </c>
      <c r="K275">
        <v>429</v>
      </c>
      <c r="L275">
        <v>3</v>
      </c>
      <c r="M275" t="s">
        <v>19</v>
      </c>
      <c r="N275">
        <v>78.599999999999994</v>
      </c>
      <c r="O275">
        <v>178</v>
      </c>
      <c r="P275">
        <v>1</v>
      </c>
    </row>
    <row r="276" spans="1:16" x14ac:dyDescent="0.25">
      <c r="A276" s="1">
        <v>45564.272164351853</v>
      </c>
      <c r="B276" t="s">
        <v>16</v>
      </c>
      <c r="C276">
        <v>62.345700000000001</v>
      </c>
      <c r="D276">
        <v>-54.203299999999999</v>
      </c>
      <c r="E276">
        <v>166</v>
      </c>
      <c r="F276" t="s">
        <v>26</v>
      </c>
      <c r="G276">
        <v>28.9</v>
      </c>
      <c r="H276">
        <v>50.6</v>
      </c>
      <c r="I276" t="s">
        <v>22</v>
      </c>
      <c r="J276">
        <v>58</v>
      </c>
      <c r="K276">
        <v>197</v>
      </c>
      <c r="L276">
        <v>3</v>
      </c>
      <c r="M276" t="s">
        <v>27</v>
      </c>
      <c r="N276">
        <v>88.8</v>
      </c>
      <c r="O276">
        <v>282</v>
      </c>
      <c r="P276">
        <v>1</v>
      </c>
    </row>
    <row r="277" spans="1:16" x14ac:dyDescent="0.25">
      <c r="A277" s="1">
        <v>45644.356921296298</v>
      </c>
      <c r="B277" t="s">
        <v>16</v>
      </c>
      <c r="C277">
        <v>72.8857</v>
      </c>
      <c r="D277">
        <v>135.9494</v>
      </c>
      <c r="E277">
        <v>483</v>
      </c>
      <c r="F277" t="s">
        <v>17</v>
      </c>
      <c r="G277">
        <v>21.4</v>
      </c>
      <c r="H277">
        <v>51.2</v>
      </c>
      <c r="I277" t="s">
        <v>22</v>
      </c>
      <c r="J277">
        <v>33</v>
      </c>
      <c r="K277">
        <v>249</v>
      </c>
      <c r="L277">
        <v>2</v>
      </c>
      <c r="M277" t="s">
        <v>19</v>
      </c>
      <c r="N277">
        <v>67.599999999999994</v>
      </c>
      <c r="O277">
        <v>165</v>
      </c>
      <c r="P277">
        <v>1</v>
      </c>
    </row>
    <row r="278" spans="1:16" x14ac:dyDescent="0.25">
      <c r="A278" s="1">
        <v>45515.436782407407</v>
      </c>
      <c r="B278" t="s">
        <v>24</v>
      </c>
      <c r="C278">
        <v>2.2782</v>
      </c>
      <c r="D278">
        <v>-158.46279999999999</v>
      </c>
      <c r="E278">
        <v>232</v>
      </c>
      <c r="F278" t="s">
        <v>26</v>
      </c>
      <c r="G278">
        <v>22.3</v>
      </c>
      <c r="H278">
        <v>73.3</v>
      </c>
      <c r="I278" t="s">
        <v>22</v>
      </c>
      <c r="J278">
        <v>19</v>
      </c>
      <c r="K278">
        <v>332</v>
      </c>
      <c r="L278">
        <v>4</v>
      </c>
      <c r="M278" t="s">
        <v>19</v>
      </c>
      <c r="N278">
        <v>78.599999999999994</v>
      </c>
      <c r="O278">
        <v>135</v>
      </c>
      <c r="P278">
        <v>1</v>
      </c>
    </row>
    <row r="279" spans="1:16" x14ac:dyDescent="0.25">
      <c r="A279" s="1">
        <v>45375.955925925926</v>
      </c>
      <c r="B279" t="s">
        <v>33</v>
      </c>
      <c r="C279">
        <v>11.768599999999999</v>
      </c>
      <c r="D279">
        <v>154.60429999999999</v>
      </c>
      <c r="E279">
        <v>392</v>
      </c>
      <c r="F279" t="s">
        <v>21</v>
      </c>
      <c r="G279">
        <v>20.7</v>
      </c>
      <c r="H279">
        <v>62.8</v>
      </c>
      <c r="I279" t="s">
        <v>18</v>
      </c>
      <c r="J279">
        <v>12</v>
      </c>
      <c r="K279">
        <v>417</v>
      </c>
      <c r="L279">
        <v>2</v>
      </c>
      <c r="M279" t="s">
        <v>23</v>
      </c>
      <c r="N279">
        <v>69.3</v>
      </c>
      <c r="O279">
        <v>109</v>
      </c>
      <c r="P279">
        <v>0</v>
      </c>
    </row>
    <row r="280" spans="1:16" x14ac:dyDescent="0.25">
      <c r="A280" s="1">
        <v>45445.016712962963</v>
      </c>
      <c r="B280" t="s">
        <v>32</v>
      </c>
      <c r="C280">
        <v>-75.597999999999999</v>
      </c>
      <c r="D280">
        <v>11.134</v>
      </c>
      <c r="E280">
        <v>480</v>
      </c>
      <c r="F280" t="s">
        <v>21</v>
      </c>
      <c r="G280">
        <v>24.9</v>
      </c>
      <c r="H280">
        <v>77.8</v>
      </c>
      <c r="I280" t="s">
        <v>22</v>
      </c>
      <c r="J280">
        <v>53</v>
      </c>
      <c r="K280">
        <v>318</v>
      </c>
      <c r="L280">
        <v>3</v>
      </c>
      <c r="M280" t="s">
        <v>31</v>
      </c>
      <c r="N280">
        <v>69.5</v>
      </c>
      <c r="O280">
        <v>181</v>
      </c>
      <c r="P280">
        <v>1</v>
      </c>
    </row>
    <row r="281" spans="1:16" x14ac:dyDescent="0.25">
      <c r="A281" s="1">
        <v>45324.157569444447</v>
      </c>
      <c r="B281" t="s">
        <v>33</v>
      </c>
      <c r="C281">
        <v>23.293099999999999</v>
      </c>
      <c r="D281">
        <v>106.02670000000001</v>
      </c>
      <c r="E281">
        <v>368</v>
      </c>
      <c r="F281" t="s">
        <v>26</v>
      </c>
      <c r="G281">
        <v>28</v>
      </c>
      <c r="H281">
        <v>53.4</v>
      </c>
      <c r="I281" t="s">
        <v>18</v>
      </c>
      <c r="J281">
        <v>42</v>
      </c>
      <c r="K281">
        <v>182</v>
      </c>
      <c r="L281">
        <v>5</v>
      </c>
      <c r="M281" t="s">
        <v>19</v>
      </c>
      <c r="N281">
        <v>77.5</v>
      </c>
      <c r="O281">
        <v>205</v>
      </c>
      <c r="P281">
        <v>0</v>
      </c>
    </row>
    <row r="282" spans="1:16" x14ac:dyDescent="0.25">
      <c r="A282" s="1">
        <v>45567.539421296293</v>
      </c>
      <c r="B282" t="s">
        <v>20</v>
      </c>
      <c r="C282">
        <v>-11.311400000000001</v>
      </c>
      <c r="D282">
        <v>-139.81100000000001</v>
      </c>
      <c r="E282">
        <v>373</v>
      </c>
      <c r="F282" t="s">
        <v>21</v>
      </c>
      <c r="G282">
        <v>25</v>
      </c>
      <c r="H282">
        <v>62.4</v>
      </c>
      <c r="I282" t="s">
        <v>28</v>
      </c>
      <c r="J282">
        <v>20</v>
      </c>
      <c r="K282">
        <v>125</v>
      </c>
      <c r="L282">
        <v>1</v>
      </c>
      <c r="M282" t="s">
        <v>31</v>
      </c>
      <c r="N282">
        <v>91.2</v>
      </c>
      <c r="O282">
        <v>160</v>
      </c>
      <c r="P282">
        <v>0</v>
      </c>
    </row>
    <row r="283" spans="1:16" x14ac:dyDescent="0.25">
      <c r="A283" s="1">
        <v>45560.513969907406</v>
      </c>
      <c r="B283" t="s">
        <v>30</v>
      </c>
      <c r="C283">
        <v>9.6491000000000007</v>
      </c>
      <c r="D283">
        <v>47.349899999999998</v>
      </c>
      <c r="E283">
        <v>154</v>
      </c>
      <c r="F283" t="s">
        <v>26</v>
      </c>
      <c r="G283">
        <v>22</v>
      </c>
      <c r="H283">
        <v>53.3</v>
      </c>
      <c r="I283" t="s">
        <v>22</v>
      </c>
      <c r="J283">
        <v>50</v>
      </c>
      <c r="K283">
        <v>208</v>
      </c>
      <c r="L283">
        <v>4</v>
      </c>
      <c r="M283" t="s">
        <v>19</v>
      </c>
      <c r="N283">
        <v>85</v>
      </c>
      <c r="O283">
        <v>231</v>
      </c>
      <c r="P283">
        <v>1</v>
      </c>
    </row>
    <row r="284" spans="1:16" x14ac:dyDescent="0.25">
      <c r="A284" s="1">
        <v>45346.34107638889</v>
      </c>
      <c r="B284" t="s">
        <v>33</v>
      </c>
      <c r="C284">
        <v>10.9354</v>
      </c>
      <c r="D284">
        <v>-27.3551</v>
      </c>
      <c r="E284">
        <v>184</v>
      </c>
      <c r="F284" t="s">
        <v>26</v>
      </c>
      <c r="G284">
        <v>19.2</v>
      </c>
      <c r="H284">
        <v>55.3</v>
      </c>
      <c r="I284" t="s">
        <v>22</v>
      </c>
      <c r="J284">
        <v>14</v>
      </c>
      <c r="K284">
        <v>450</v>
      </c>
      <c r="L284">
        <v>3</v>
      </c>
      <c r="M284" t="s">
        <v>19</v>
      </c>
      <c r="N284">
        <v>86.7</v>
      </c>
      <c r="O284">
        <v>247</v>
      </c>
      <c r="P284">
        <v>1</v>
      </c>
    </row>
    <row r="285" spans="1:16" x14ac:dyDescent="0.25">
      <c r="A285" s="1">
        <v>45593.416898148149</v>
      </c>
      <c r="B285" t="s">
        <v>25</v>
      </c>
      <c r="C285">
        <v>84.9482</v>
      </c>
      <c r="D285">
        <v>59.531399999999998</v>
      </c>
      <c r="E285">
        <v>204</v>
      </c>
      <c r="F285" t="s">
        <v>26</v>
      </c>
      <c r="G285">
        <v>21.4</v>
      </c>
      <c r="H285">
        <v>61.5</v>
      </c>
      <c r="I285" t="s">
        <v>28</v>
      </c>
      <c r="J285">
        <v>51</v>
      </c>
      <c r="K285">
        <v>490</v>
      </c>
      <c r="L285">
        <v>5</v>
      </c>
      <c r="M285" t="s">
        <v>31</v>
      </c>
      <c r="N285">
        <v>68</v>
      </c>
      <c r="O285">
        <v>288</v>
      </c>
      <c r="P285">
        <v>0</v>
      </c>
    </row>
    <row r="286" spans="1:16" x14ac:dyDescent="0.25">
      <c r="A286" s="1">
        <v>45443.972581018519</v>
      </c>
      <c r="B286" t="s">
        <v>30</v>
      </c>
      <c r="C286">
        <v>49.721200000000003</v>
      </c>
      <c r="D286">
        <v>179.20249999999999</v>
      </c>
      <c r="E286">
        <v>227</v>
      </c>
      <c r="F286" t="s">
        <v>26</v>
      </c>
      <c r="G286">
        <v>26.1</v>
      </c>
      <c r="H286">
        <v>65.7</v>
      </c>
      <c r="I286" t="s">
        <v>18</v>
      </c>
      <c r="J286">
        <v>47</v>
      </c>
      <c r="K286">
        <v>247</v>
      </c>
      <c r="L286">
        <v>8</v>
      </c>
      <c r="M286" t="s">
        <v>27</v>
      </c>
      <c r="N286">
        <v>77.8</v>
      </c>
      <c r="O286">
        <v>135</v>
      </c>
      <c r="P286">
        <v>0</v>
      </c>
    </row>
    <row r="287" spans="1:16" x14ac:dyDescent="0.25">
      <c r="A287" s="1">
        <v>45313.023831018516</v>
      </c>
      <c r="B287" t="s">
        <v>34</v>
      </c>
      <c r="C287">
        <v>-28.896799999999999</v>
      </c>
      <c r="D287">
        <v>-117.94710000000001</v>
      </c>
      <c r="E287">
        <v>405</v>
      </c>
      <c r="F287" t="s">
        <v>21</v>
      </c>
      <c r="G287">
        <v>28</v>
      </c>
      <c r="H287">
        <v>67.7</v>
      </c>
      <c r="I287" t="s">
        <v>28</v>
      </c>
      <c r="J287">
        <v>48</v>
      </c>
      <c r="K287">
        <v>348</v>
      </c>
      <c r="L287">
        <v>3</v>
      </c>
      <c r="M287" t="s">
        <v>31</v>
      </c>
      <c r="N287">
        <v>78.3</v>
      </c>
      <c r="O287">
        <v>213</v>
      </c>
      <c r="P287">
        <v>0</v>
      </c>
    </row>
    <row r="288" spans="1:16" x14ac:dyDescent="0.25">
      <c r="A288" s="1">
        <v>45645.462604166663</v>
      </c>
      <c r="B288" t="s">
        <v>16</v>
      </c>
      <c r="C288">
        <v>-55.5154</v>
      </c>
      <c r="D288">
        <v>-163.6943</v>
      </c>
      <c r="E288">
        <v>392</v>
      </c>
      <c r="F288" t="s">
        <v>26</v>
      </c>
      <c r="G288">
        <v>27.4</v>
      </c>
      <c r="H288">
        <v>69</v>
      </c>
      <c r="I288" t="s">
        <v>18</v>
      </c>
      <c r="J288">
        <v>31</v>
      </c>
      <c r="K288">
        <v>347</v>
      </c>
      <c r="L288">
        <v>9</v>
      </c>
      <c r="M288" t="s">
        <v>23</v>
      </c>
      <c r="N288">
        <v>98</v>
      </c>
      <c r="O288">
        <v>133</v>
      </c>
      <c r="P288">
        <v>0</v>
      </c>
    </row>
    <row r="289" spans="1:16" x14ac:dyDescent="0.25">
      <c r="A289" s="1">
        <v>45296.948912037034</v>
      </c>
      <c r="B289" t="s">
        <v>33</v>
      </c>
      <c r="C289">
        <v>16.7636</v>
      </c>
      <c r="D289">
        <v>29.278300000000002</v>
      </c>
      <c r="E289">
        <v>429</v>
      </c>
      <c r="F289" t="s">
        <v>21</v>
      </c>
      <c r="G289">
        <v>27.7</v>
      </c>
      <c r="H289">
        <v>75</v>
      </c>
      <c r="I289" t="s">
        <v>22</v>
      </c>
      <c r="J289">
        <v>12</v>
      </c>
      <c r="K289">
        <v>446</v>
      </c>
      <c r="L289">
        <v>4</v>
      </c>
      <c r="M289" t="s">
        <v>19</v>
      </c>
      <c r="N289">
        <v>65.7</v>
      </c>
      <c r="O289">
        <v>203</v>
      </c>
      <c r="P289">
        <v>1</v>
      </c>
    </row>
    <row r="290" spans="1:16" x14ac:dyDescent="0.25">
      <c r="A290" s="1">
        <v>45469.339733796296</v>
      </c>
      <c r="B290" t="s">
        <v>16</v>
      </c>
      <c r="C290">
        <v>-76.307000000000002</v>
      </c>
      <c r="D290">
        <v>5.0297999999999998</v>
      </c>
      <c r="E290">
        <v>488</v>
      </c>
      <c r="F290" t="s">
        <v>26</v>
      </c>
      <c r="G290">
        <v>25.2</v>
      </c>
      <c r="H290">
        <v>63.9</v>
      </c>
      <c r="I290" t="s">
        <v>22</v>
      </c>
      <c r="J290">
        <v>19</v>
      </c>
      <c r="K290">
        <v>219</v>
      </c>
      <c r="L290">
        <v>4</v>
      </c>
      <c r="M290" t="s">
        <v>23</v>
      </c>
      <c r="N290">
        <v>100</v>
      </c>
      <c r="O290">
        <v>184</v>
      </c>
      <c r="P290">
        <v>1</v>
      </c>
    </row>
    <row r="291" spans="1:16" x14ac:dyDescent="0.25">
      <c r="A291" s="1">
        <v>45504.08829861111</v>
      </c>
      <c r="B291" t="s">
        <v>20</v>
      </c>
      <c r="C291">
        <v>-22.4693</v>
      </c>
      <c r="D291">
        <v>149.96340000000001</v>
      </c>
      <c r="E291">
        <v>444</v>
      </c>
      <c r="F291" t="s">
        <v>17</v>
      </c>
      <c r="G291">
        <v>29.8</v>
      </c>
      <c r="H291">
        <v>67.5</v>
      </c>
      <c r="I291" t="s">
        <v>28</v>
      </c>
      <c r="J291">
        <v>41</v>
      </c>
      <c r="K291">
        <v>125</v>
      </c>
      <c r="L291">
        <v>5</v>
      </c>
      <c r="M291" t="s">
        <v>23</v>
      </c>
      <c r="N291">
        <v>63.3</v>
      </c>
      <c r="O291">
        <v>152</v>
      </c>
      <c r="P291">
        <v>1</v>
      </c>
    </row>
    <row r="292" spans="1:16" x14ac:dyDescent="0.25">
      <c r="A292" s="1">
        <v>45623.181458333333</v>
      </c>
      <c r="B292" t="s">
        <v>35</v>
      </c>
      <c r="C292">
        <v>71.885900000000007</v>
      </c>
      <c r="D292">
        <v>93.446399999999997</v>
      </c>
      <c r="E292">
        <v>420</v>
      </c>
      <c r="F292" t="s">
        <v>17</v>
      </c>
      <c r="G292">
        <v>18.399999999999999</v>
      </c>
      <c r="H292">
        <v>68.5</v>
      </c>
      <c r="I292" t="s">
        <v>22</v>
      </c>
      <c r="J292">
        <v>50</v>
      </c>
      <c r="K292">
        <v>340</v>
      </c>
      <c r="L292">
        <v>10</v>
      </c>
      <c r="M292" t="s">
        <v>23</v>
      </c>
      <c r="N292">
        <v>76.8</v>
      </c>
      <c r="O292">
        <v>212</v>
      </c>
      <c r="P292">
        <v>1</v>
      </c>
    </row>
    <row r="293" spans="1:16" x14ac:dyDescent="0.25">
      <c r="A293" s="1">
        <v>45449.16814814815</v>
      </c>
      <c r="B293" t="s">
        <v>35</v>
      </c>
      <c r="C293">
        <v>-9.7179000000000002</v>
      </c>
      <c r="D293">
        <v>-117.0145</v>
      </c>
      <c r="E293">
        <v>391</v>
      </c>
      <c r="F293" t="s">
        <v>21</v>
      </c>
      <c r="G293">
        <v>25.5</v>
      </c>
      <c r="H293">
        <v>73.7</v>
      </c>
      <c r="I293" t="s">
        <v>18</v>
      </c>
      <c r="J293">
        <v>31</v>
      </c>
      <c r="K293">
        <v>472</v>
      </c>
      <c r="L293">
        <v>10</v>
      </c>
      <c r="M293" t="s">
        <v>23</v>
      </c>
      <c r="N293">
        <v>77.2</v>
      </c>
      <c r="O293">
        <v>109</v>
      </c>
      <c r="P293">
        <v>0</v>
      </c>
    </row>
    <row r="294" spans="1:16" x14ac:dyDescent="0.25">
      <c r="A294" s="1">
        <v>45428.85701388889</v>
      </c>
      <c r="B294" t="s">
        <v>25</v>
      </c>
      <c r="C294">
        <v>-12.2288</v>
      </c>
      <c r="D294">
        <v>-74.780100000000004</v>
      </c>
      <c r="E294">
        <v>212</v>
      </c>
      <c r="F294" t="s">
        <v>26</v>
      </c>
      <c r="G294">
        <v>20.6</v>
      </c>
      <c r="H294">
        <v>50.5</v>
      </c>
      <c r="I294" t="s">
        <v>28</v>
      </c>
      <c r="J294">
        <v>41</v>
      </c>
      <c r="K294">
        <v>498</v>
      </c>
      <c r="L294">
        <v>5</v>
      </c>
      <c r="M294" t="s">
        <v>31</v>
      </c>
      <c r="N294">
        <v>94.1</v>
      </c>
      <c r="O294">
        <v>162</v>
      </c>
      <c r="P294">
        <v>0</v>
      </c>
    </row>
    <row r="295" spans="1:16" x14ac:dyDescent="0.25">
      <c r="A295" s="1">
        <v>45487.884814814817</v>
      </c>
      <c r="B295" t="s">
        <v>29</v>
      </c>
      <c r="C295">
        <v>5.4618000000000002</v>
      </c>
      <c r="D295">
        <v>-179.8202</v>
      </c>
      <c r="E295">
        <v>157</v>
      </c>
      <c r="F295" t="s">
        <v>26</v>
      </c>
      <c r="G295">
        <v>20.9</v>
      </c>
      <c r="H295">
        <v>77.099999999999994</v>
      </c>
      <c r="I295" t="s">
        <v>28</v>
      </c>
      <c r="J295">
        <v>26</v>
      </c>
      <c r="K295">
        <v>499</v>
      </c>
      <c r="L295">
        <v>4</v>
      </c>
      <c r="M295" t="s">
        <v>27</v>
      </c>
      <c r="N295">
        <v>91.4</v>
      </c>
      <c r="O295">
        <v>214</v>
      </c>
      <c r="P295">
        <v>0</v>
      </c>
    </row>
    <row r="296" spans="1:16" x14ac:dyDescent="0.25">
      <c r="A296" s="1">
        <v>45618.480486111112</v>
      </c>
      <c r="B296" t="s">
        <v>32</v>
      </c>
      <c r="C296">
        <v>-54.831699999999998</v>
      </c>
      <c r="D296">
        <v>66.470600000000005</v>
      </c>
      <c r="E296">
        <v>399</v>
      </c>
      <c r="F296" t="s">
        <v>26</v>
      </c>
      <c r="G296">
        <v>26.3</v>
      </c>
      <c r="H296">
        <v>79.400000000000006</v>
      </c>
      <c r="I296" t="s">
        <v>18</v>
      </c>
      <c r="J296">
        <v>25</v>
      </c>
      <c r="K296">
        <v>476</v>
      </c>
      <c r="L296">
        <v>4</v>
      </c>
      <c r="M296" t="s">
        <v>31</v>
      </c>
      <c r="N296">
        <v>95.6</v>
      </c>
      <c r="O296">
        <v>256</v>
      </c>
      <c r="P296">
        <v>0</v>
      </c>
    </row>
    <row r="297" spans="1:16" x14ac:dyDescent="0.25">
      <c r="A297" s="1">
        <v>45597.896689814814</v>
      </c>
      <c r="B297" t="s">
        <v>30</v>
      </c>
      <c r="C297">
        <v>-80.052199999999999</v>
      </c>
      <c r="D297">
        <v>-102.2508</v>
      </c>
      <c r="E297">
        <v>103</v>
      </c>
      <c r="F297" t="s">
        <v>26</v>
      </c>
      <c r="G297">
        <v>27.9</v>
      </c>
      <c r="H297">
        <v>53.1</v>
      </c>
      <c r="I297" t="s">
        <v>18</v>
      </c>
      <c r="J297">
        <v>52</v>
      </c>
      <c r="K297">
        <v>386</v>
      </c>
      <c r="L297">
        <v>1</v>
      </c>
      <c r="M297" t="s">
        <v>19</v>
      </c>
      <c r="N297">
        <v>97.7</v>
      </c>
      <c r="O297">
        <v>141</v>
      </c>
      <c r="P297">
        <v>0</v>
      </c>
    </row>
    <row r="298" spans="1:16" x14ac:dyDescent="0.25">
      <c r="A298" s="1">
        <v>45592.652511574073</v>
      </c>
      <c r="B298" t="s">
        <v>25</v>
      </c>
      <c r="C298">
        <v>-13.0527</v>
      </c>
      <c r="D298">
        <v>-122.0924</v>
      </c>
      <c r="E298">
        <v>333</v>
      </c>
      <c r="F298" t="s">
        <v>17</v>
      </c>
      <c r="G298">
        <v>22.1</v>
      </c>
      <c r="H298">
        <v>65</v>
      </c>
      <c r="I298" t="s">
        <v>18</v>
      </c>
      <c r="J298">
        <v>22</v>
      </c>
      <c r="K298">
        <v>243</v>
      </c>
      <c r="L298">
        <v>5</v>
      </c>
      <c r="M298" t="s">
        <v>31</v>
      </c>
      <c r="N298">
        <v>83.2</v>
      </c>
      <c r="O298">
        <v>176</v>
      </c>
      <c r="P298">
        <v>1</v>
      </c>
    </row>
    <row r="299" spans="1:16" x14ac:dyDescent="0.25">
      <c r="A299" s="1">
        <v>45336.514317129629</v>
      </c>
      <c r="B299" t="s">
        <v>20</v>
      </c>
      <c r="C299">
        <v>6.3666</v>
      </c>
      <c r="D299">
        <v>136.07939999999999</v>
      </c>
      <c r="E299">
        <v>234</v>
      </c>
      <c r="F299" t="s">
        <v>26</v>
      </c>
      <c r="G299">
        <v>27.3</v>
      </c>
      <c r="H299">
        <v>70.099999999999994</v>
      </c>
      <c r="I299" t="s">
        <v>18</v>
      </c>
      <c r="J299">
        <v>45</v>
      </c>
      <c r="K299">
        <v>416</v>
      </c>
      <c r="L299">
        <v>8</v>
      </c>
      <c r="M299" t="s">
        <v>19</v>
      </c>
      <c r="N299">
        <v>86.9</v>
      </c>
      <c r="O299">
        <v>165</v>
      </c>
      <c r="P299">
        <v>0</v>
      </c>
    </row>
    <row r="300" spans="1:16" x14ac:dyDescent="0.25">
      <c r="A300" s="1">
        <v>45414.468564814815</v>
      </c>
      <c r="B300" t="s">
        <v>25</v>
      </c>
      <c r="C300">
        <v>83.124300000000005</v>
      </c>
      <c r="D300">
        <v>48.432499999999997</v>
      </c>
      <c r="E300">
        <v>146</v>
      </c>
      <c r="F300" t="s">
        <v>17</v>
      </c>
      <c r="G300">
        <v>29</v>
      </c>
      <c r="H300">
        <v>55.5</v>
      </c>
      <c r="I300" t="s">
        <v>18</v>
      </c>
      <c r="J300">
        <v>52</v>
      </c>
      <c r="K300">
        <v>414</v>
      </c>
      <c r="L300">
        <v>10</v>
      </c>
      <c r="M300" t="s">
        <v>31</v>
      </c>
      <c r="N300">
        <v>82.3</v>
      </c>
      <c r="O300">
        <v>228</v>
      </c>
      <c r="P300">
        <v>1</v>
      </c>
    </row>
    <row r="301" spans="1:16" x14ac:dyDescent="0.25">
      <c r="A301" s="1">
        <v>45537.210706018515</v>
      </c>
      <c r="B301" t="s">
        <v>16</v>
      </c>
      <c r="C301">
        <v>51.189799999999998</v>
      </c>
      <c r="D301">
        <v>25.596399999999999</v>
      </c>
      <c r="E301">
        <v>109</v>
      </c>
      <c r="F301" t="s">
        <v>17</v>
      </c>
      <c r="G301">
        <v>20.7</v>
      </c>
      <c r="H301">
        <v>60.9</v>
      </c>
      <c r="I301" t="s">
        <v>22</v>
      </c>
      <c r="J301">
        <v>39</v>
      </c>
      <c r="K301">
        <v>147</v>
      </c>
      <c r="L301">
        <v>9</v>
      </c>
      <c r="M301" t="s">
        <v>27</v>
      </c>
      <c r="N301">
        <v>75</v>
      </c>
      <c r="O301">
        <v>116</v>
      </c>
      <c r="P301">
        <v>1</v>
      </c>
    </row>
    <row r="302" spans="1:16" x14ac:dyDescent="0.25">
      <c r="A302" s="1">
        <v>45634.191412037035</v>
      </c>
      <c r="B302" t="s">
        <v>32</v>
      </c>
      <c r="C302">
        <v>-76.398700000000005</v>
      </c>
      <c r="D302">
        <v>-68.1922</v>
      </c>
      <c r="E302">
        <v>357</v>
      </c>
      <c r="F302" t="s">
        <v>17</v>
      </c>
      <c r="G302">
        <v>24.6</v>
      </c>
      <c r="H302">
        <v>73.5</v>
      </c>
      <c r="I302" t="s">
        <v>28</v>
      </c>
      <c r="J302">
        <v>48</v>
      </c>
      <c r="K302">
        <v>266</v>
      </c>
      <c r="L302">
        <v>10</v>
      </c>
      <c r="M302" t="s">
        <v>27</v>
      </c>
      <c r="N302">
        <v>74.400000000000006</v>
      </c>
      <c r="O302">
        <v>226</v>
      </c>
      <c r="P302">
        <v>1</v>
      </c>
    </row>
    <row r="303" spans="1:16" x14ac:dyDescent="0.25">
      <c r="A303" s="1">
        <v>45314.233263888891</v>
      </c>
      <c r="B303" t="s">
        <v>25</v>
      </c>
      <c r="C303">
        <v>70.554100000000005</v>
      </c>
      <c r="D303">
        <v>-150.1626</v>
      </c>
      <c r="E303">
        <v>356</v>
      </c>
      <c r="F303" t="s">
        <v>26</v>
      </c>
      <c r="G303">
        <v>19.5</v>
      </c>
      <c r="H303">
        <v>63.1</v>
      </c>
      <c r="I303" t="s">
        <v>28</v>
      </c>
      <c r="J303">
        <v>16</v>
      </c>
      <c r="K303">
        <v>118</v>
      </c>
      <c r="L303">
        <v>3</v>
      </c>
      <c r="M303" t="s">
        <v>19</v>
      </c>
      <c r="N303">
        <v>77.8</v>
      </c>
      <c r="O303">
        <v>230</v>
      </c>
      <c r="P303">
        <v>0</v>
      </c>
    </row>
    <row r="304" spans="1:16" x14ac:dyDescent="0.25">
      <c r="A304" s="1">
        <v>45316.477708333332</v>
      </c>
      <c r="B304" t="s">
        <v>30</v>
      </c>
      <c r="C304">
        <v>-38.218499999999999</v>
      </c>
      <c r="D304">
        <v>104.16670000000001</v>
      </c>
      <c r="E304">
        <v>349</v>
      </c>
      <c r="F304" t="s">
        <v>26</v>
      </c>
      <c r="G304">
        <v>19.399999999999999</v>
      </c>
      <c r="H304">
        <v>62.7</v>
      </c>
      <c r="I304" t="s">
        <v>18</v>
      </c>
      <c r="J304">
        <v>19</v>
      </c>
      <c r="K304">
        <v>296</v>
      </c>
      <c r="L304">
        <v>3</v>
      </c>
      <c r="M304" t="s">
        <v>19</v>
      </c>
      <c r="N304">
        <v>72.3</v>
      </c>
      <c r="O304">
        <v>177</v>
      </c>
      <c r="P304">
        <v>0</v>
      </c>
    </row>
    <row r="305" spans="1:16" x14ac:dyDescent="0.25">
      <c r="A305" s="1">
        <v>45604.563842592594</v>
      </c>
      <c r="B305" t="s">
        <v>35</v>
      </c>
      <c r="C305">
        <v>39.141100000000002</v>
      </c>
      <c r="D305">
        <v>138.17859999999999</v>
      </c>
      <c r="E305">
        <v>159</v>
      </c>
      <c r="F305" t="s">
        <v>26</v>
      </c>
      <c r="G305">
        <v>27.1</v>
      </c>
      <c r="H305">
        <v>77.5</v>
      </c>
      <c r="I305" t="s">
        <v>22</v>
      </c>
      <c r="J305">
        <v>33</v>
      </c>
      <c r="K305">
        <v>429</v>
      </c>
      <c r="L305">
        <v>9</v>
      </c>
      <c r="M305" t="s">
        <v>19</v>
      </c>
      <c r="N305">
        <v>77.900000000000006</v>
      </c>
      <c r="O305">
        <v>200</v>
      </c>
      <c r="P305">
        <v>1</v>
      </c>
    </row>
    <row r="306" spans="1:16" x14ac:dyDescent="0.25">
      <c r="A306" s="1">
        <v>45442.045023148145</v>
      </c>
      <c r="B306" t="s">
        <v>29</v>
      </c>
      <c r="C306">
        <v>-68.800600000000003</v>
      </c>
      <c r="D306">
        <v>159.00399999999999</v>
      </c>
      <c r="E306">
        <v>148</v>
      </c>
      <c r="F306" t="s">
        <v>26</v>
      </c>
      <c r="G306">
        <v>25</v>
      </c>
      <c r="H306">
        <v>60.7</v>
      </c>
      <c r="I306" t="s">
        <v>28</v>
      </c>
      <c r="J306">
        <v>43</v>
      </c>
      <c r="K306">
        <v>196</v>
      </c>
      <c r="L306">
        <v>4</v>
      </c>
      <c r="M306" t="s">
        <v>31</v>
      </c>
      <c r="N306">
        <v>64.599999999999994</v>
      </c>
      <c r="O306">
        <v>240</v>
      </c>
      <c r="P306">
        <v>0</v>
      </c>
    </row>
    <row r="307" spans="1:16" x14ac:dyDescent="0.25">
      <c r="A307" s="1">
        <v>45442.479560185187</v>
      </c>
      <c r="B307" t="s">
        <v>33</v>
      </c>
      <c r="C307">
        <v>51.159799999999997</v>
      </c>
      <c r="D307">
        <v>-170.93109999999999</v>
      </c>
      <c r="E307">
        <v>354</v>
      </c>
      <c r="F307" t="s">
        <v>26</v>
      </c>
      <c r="G307">
        <v>26.9</v>
      </c>
      <c r="H307">
        <v>65.5</v>
      </c>
      <c r="I307" t="s">
        <v>22</v>
      </c>
      <c r="J307">
        <v>14</v>
      </c>
      <c r="K307">
        <v>245</v>
      </c>
      <c r="L307">
        <v>4</v>
      </c>
      <c r="M307" t="s">
        <v>19</v>
      </c>
      <c r="N307">
        <v>73.400000000000006</v>
      </c>
      <c r="O307">
        <v>151</v>
      </c>
      <c r="P307">
        <v>1</v>
      </c>
    </row>
    <row r="308" spans="1:16" x14ac:dyDescent="0.25">
      <c r="A308" s="1">
        <v>45353.992604166669</v>
      </c>
      <c r="B308" t="s">
        <v>32</v>
      </c>
      <c r="C308">
        <v>-29.5867</v>
      </c>
      <c r="D308">
        <v>41.061199999999999</v>
      </c>
      <c r="E308">
        <v>214</v>
      </c>
      <c r="F308" t="s">
        <v>26</v>
      </c>
      <c r="G308">
        <v>21.5</v>
      </c>
      <c r="H308">
        <v>69.099999999999994</v>
      </c>
      <c r="I308" t="s">
        <v>22</v>
      </c>
      <c r="J308">
        <v>49</v>
      </c>
      <c r="K308">
        <v>417</v>
      </c>
      <c r="L308">
        <v>10</v>
      </c>
      <c r="M308" t="s">
        <v>27</v>
      </c>
      <c r="N308">
        <v>76.7</v>
      </c>
      <c r="O308">
        <v>249</v>
      </c>
      <c r="P308">
        <v>1</v>
      </c>
    </row>
    <row r="309" spans="1:16" x14ac:dyDescent="0.25">
      <c r="A309" s="1">
        <v>45533.494849537034</v>
      </c>
      <c r="B309" t="s">
        <v>32</v>
      </c>
      <c r="C309">
        <v>-51.341200000000001</v>
      </c>
      <c r="D309">
        <v>-112.1636</v>
      </c>
      <c r="E309">
        <v>307</v>
      </c>
      <c r="F309" t="s">
        <v>17</v>
      </c>
      <c r="G309">
        <v>21</v>
      </c>
      <c r="H309">
        <v>52.8</v>
      </c>
      <c r="I309" t="s">
        <v>28</v>
      </c>
      <c r="J309">
        <v>21</v>
      </c>
      <c r="K309">
        <v>475</v>
      </c>
      <c r="L309">
        <v>4</v>
      </c>
      <c r="M309" t="s">
        <v>19</v>
      </c>
      <c r="N309">
        <v>82.8</v>
      </c>
      <c r="O309">
        <v>107</v>
      </c>
      <c r="P309">
        <v>1</v>
      </c>
    </row>
    <row r="310" spans="1:16" x14ac:dyDescent="0.25">
      <c r="A310" s="1">
        <v>45438.078506944446</v>
      </c>
      <c r="B310" t="s">
        <v>35</v>
      </c>
      <c r="C310">
        <v>-49.505699999999997</v>
      </c>
      <c r="D310">
        <v>174.35329999999999</v>
      </c>
      <c r="E310">
        <v>385</v>
      </c>
      <c r="F310" t="s">
        <v>21</v>
      </c>
      <c r="G310">
        <v>24.3</v>
      </c>
      <c r="H310">
        <v>59.4</v>
      </c>
      <c r="I310" t="s">
        <v>28</v>
      </c>
      <c r="J310">
        <v>37</v>
      </c>
      <c r="K310">
        <v>239</v>
      </c>
      <c r="L310">
        <v>3</v>
      </c>
      <c r="M310" t="s">
        <v>19</v>
      </c>
      <c r="N310">
        <v>88.3</v>
      </c>
      <c r="O310">
        <v>148</v>
      </c>
      <c r="P310">
        <v>0</v>
      </c>
    </row>
    <row r="311" spans="1:16" x14ac:dyDescent="0.25">
      <c r="A311" s="1">
        <v>45497.05605324074</v>
      </c>
      <c r="B311" t="s">
        <v>32</v>
      </c>
      <c r="C311">
        <v>0.75770000000000004</v>
      </c>
      <c r="D311">
        <v>120.0181</v>
      </c>
      <c r="E311">
        <v>490</v>
      </c>
      <c r="F311" t="s">
        <v>17</v>
      </c>
      <c r="G311">
        <v>24</v>
      </c>
      <c r="H311">
        <v>56.1</v>
      </c>
      <c r="I311" t="s">
        <v>22</v>
      </c>
      <c r="J311">
        <v>29</v>
      </c>
      <c r="K311">
        <v>463</v>
      </c>
      <c r="L311">
        <v>6</v>
      </c>
      <c r="M311" t="s">
        <v>31</v>
      </c>
      <c r="N311">
        <v>81.099999999999994</v>
      </c>
      <c r="O311">
        <v>134</v>
      </c>
      <c r="P311">
        <v>1</v>
      </c>
    </row>
    <row r="312" spans="1:16" x14ac:dyDescent="0.25">
      <c r="A312" s="1">
        <v>45650.431203703702</v>
      </c>
      <c r="B312" t="s">
        <v>29</v>
      </c>
      <c r="C312">
        <v>-2.2911000000000001</v>
      </c>
      <c r="D312">
        <v>64.273099999999999</v>
      </c>
      <c r="E312">
        <v>133</v>
      </c>
      <c r="F312" t="s">
        <v>17</v>
      </c>
      <c r="G312">
        <v>19.399999999999999</v>
      </c>
      <c r="H312">
        <v>76</v>
      </c>
      <c r="I312" t="s">
        <v>18</v>
      </c>
      <c r="J312">
        <v>36</v>
      </c>
      <c r="K312">
        <v>182</v>
      </c>
      <c r="L312">
        <v>3</v>
      </c>
      <c r="M312" t="s">
        <v>19</v>
      </c>
      <c r="N312">
        <v>70.5</v>
      </c>
      <c r="O312">
        <v>249</v>
      </c>
      <c r="P312">
        <v>1</v>
      </c>
    </row>
    <row r="313" spans="1:16" x14ac:dyDescent="0.25">
      <c r="A313" s="1">
        <v>45333.611157407409</v>
      </c>
      <c r="B313" t="s">
        <v>30</v>
      </c>
      <c r="C313">
        <v>78.432400000000001</v>
      </c>
      <c r="D313">
        <v>125.0181</v>
      </c>
      <c r="E313">
        <v>472</v>
      </c>
      <c r="F313" t="s">
        <v>26</v>
      </c>
      <c r="G313">
        <v>24.9</v>
      </c>
      <c r="H313">
        <v>63.2</v>
      </c>
      <c r="I313" t="s">
        <v>18</v>
      </c>
      <c r="J313">
        <v>36</v>
      </c>
      <c r="K313">
        <v>485</v>
      </c>
      <c r="L313">
        <v>9</v>
      </c>
      <c r="M313" t="s">
        <v>19</v>
      </c>
      <c r="N313">
        <v>78.900000000000006</v>
      </c>
      <c r="O313">
        <v>271</v>
      </c>
      <c r="P313">
        <v>0</v>
      </c>
    </row>
    <row r="314" spans="1:16" x14ac:dyDescent="0.25">
      <c r="A314" s="1">
        <v>45406.03806712963</v>
      </c>
      <c r="B314" t="s">
        <v>16</v>
      </c>
      <c r="C314">
        <v>-2.8329</v>
      </c>
      <c r="D314">
        <v>-29.9102</v>
      </c>
      <c r="E314">
        <v>338</v>
      </c>
      <c r="F314" t="s">
        <v>21</v>
      </c>
      <c r="G314">
        <v>28.9</v>
      </c>
      <c r="H314">
        <v>55.5</v>
      </c>
      <c r="I314" t="s">
        <v>18</v>
      </c>
      <c r="J314">
        <v>39</v>
      </c>
      <c r="K314">
        <v>181</v>
      </c>
      <c r="L314">
        <v>2</v>
      </c>
      <c r="M314" t="s">
        <v>31</v>
      </c>
      <c r="N314">
        <v>88.6</v>
      </c>
      <c r="O314">
        <v>143</v>
      </c>
      <c r="P314">
        <v>0</v>
      </c>
    </row>
    <row r="315" spans="1:16" x14ac:dyDescent="0.25">
      <c r="A315" s="1">
        <v>45299.431064814817</v>
      </c>
      <c r="B315" t="s">
        <v>30</v>
      </c>
      <c r="C315">
        <v>70.010300000000001</v>
      </c>
      <c r="D315">
        <v>-164.19139999999999</v>
      </c>
      <c r="E315">
        <v>172</v>
      </c>
      <c r="F315" t="s">
        <v>26</v>
      </c>
      <c r="G315">
        <v>25.5</v>
      </c>
      <c r="H315">
        <v>55.7</v>
      </c>
      <c r="I315" t="s">
        <v>18</v>
      </c>
      <c r="J315">
        <v>25</v>
      </c>
      <c r="K315">
        <v>259</v>
      </c>
      <c r="L315">
        <v>1</v>
      </c>
      <c r="M315" t="s">
        <v>27</v>
      </c>
      <c r="N315">
        <v>65.2</v>
      </c>
      <c r="O315">
        <v>255</v>
      </c>
      <c r="P315">
        <v>0</v>
      </c>
    </row>
    <row r="316" spans="1:16" x14ac:dyDescent="0.25">
      <c r="A316" s="1">
        <v>45590.126203703701</v>
      </c>
      <c r="B316" t="s">
        <v>30</v>
      </c>
      <c r="C316">
        <v>11.4885</v>
      </c>
      <c r="D316">
        <v>-172.56899999999999</v>
      </c>
      <c r="E316">
        <v>187</v>
      </c>
      <c r="F316" t="s">
        <v>17</v>
      </c>
      <c r="G316">
        <v>24.8</v>
      </c>
      <c r="H316">
        <v>52</v>
      </c>
      <c r="I316" t="s">
        <v>18</v>
      </c>
      <c r="J316">
        <v>31</v>
      </c>
      <c r="K316">
        <v>231</v>
      </c>
      <c r="L316">
        <v>5</v>
      </c>
      <c r="M316" t="s">
        <v>23</v>
      </c>
      <c r="N316">
        <v>91.6</v>
      </c>
      <c r="O316">
        <v>234</v>
      </c>
      <c r="P316">
        <v>1</v>
      </c>
    </row>
    <row r="317" spans="1:16" x14ac:dyDescent="0.25">
      <c r="A317" s="1">
        <v>45638.62767361111</v>
      </c>
      <c r="B317" t="s">
        <v>32</v>
      </c>
      <c r="C317">
        <v>74.5261</v>
      </c>
      <c r="D317">
        <v>123.6828</v>
      </c>
      <c r="E317">
        <v>439</v>
      </c>
      <c r="F317" t="s">
        <v>21</v>
      </c>
      <c r="G317">
        <v>23.5</v>
      </c>
      <c r="H317">
        <v>55.1</v>
      </c>
      <c r="I317" t="s">
        <v>18</v>
      </c>
      <c r="J317">
        <v>47</v>
      </c>
      <c r="K317">
        <v>454</v>
      </c>
      <c r="L317">
        <v>3</v>
      </c>
      <c r="M317" t="s">
        <v>23</v>
      </c>
      <c r="N317">
        <v>75.5</v>
      </c>
      <c r="O317">
        <v>196</v>
      </c>
      <c r="P317">
        <v>0</v>
      </c>
    </row>
    <row r="318" spans="1:16" x14ac:dyDescent="0.25">
      <c r="A318" s="1">
        <v>45626.386574074073</v>
      </c>
      <c r="B318" t="s">
        <v>16</v>
      </c>
      <c r="C318">
        <v>-12.950900000000001</v>
      </c>
      <c r="D318">
        <v>132.49860000000001</v>
      </c>
      <c r="E318">
        <v>159</v>
      </c>
      <c r="F318" t="s">
        <v>21</v>
      </c>
      <c r="G318">
        <v>18.100000000000001</v>
      </c>
      <c r="H318">
        <v>76</v>
      </c>
      <c r="I318" t="s">
        <v>18</v>
      </c>
      <c r="J318">
        <v>18</v>
      </c>
      <c r="K318">
        <v>202</v>
      </c>
      <c r="L318">
        <v>2</v>
      </c>
      <c r="M318" t="s">
        <v>23</v>
      </c>
      <c r="N318">
        <v>94.4</v>
      </c>
      <c r="O318">
        <v>197</v>
      </c>
      <c r="P318">
        <v>0</v>
      </c>
    </row>
    <row r="319" spans="1:16" x14ac:dyDescent="0.25">
      <c r="A319" s="1">
        <v>45425.378761574073</v>
      </c>
      <c r="B319" t="s">
        <v>16</v>
      </c>
      <c r="C319">
        <v>81.790000000000006</v>
      </c>
      <c r="D319">
        <v>-52.751600000000003</v>
      </c>
      <c r="E319">
        <v>362</v>
      </c>
      <c r="F319" t="s">
        <v>26</v>
      </c>
      <c r="G319">
        <v>18.3</v>
      </c>
      <c r="H319">
        <v>57.6</v>
      </c>
      <c r="I319" t="s">
        <v>22</v>
      </c>
      <c r="J319">
        <v>58</v>
      </c>
      <c r="K319">
        <v>437</v>
      </c>
      <c r="L319">
        <v>8</v>
      </c>
      <c r="M319" t="s">
        <v>31</v>
      </c>
      <c r="N319">
        <v>66.8</v>
      </c>
      <c r="O319">
        <v>123</v>
      </c>
      <c r="P319">
        <v>1</v>
      </c>
    </row>
    <row r="320" spans="1:16" x14ac:dyDescent="0.25">
      <c r="A320" s="1">
        <v>45642.254826388889</v>
      </c>
      <c r="B320" t="s">
        <v>29</v>
      </c>
      <c r="C320">
        <v>47.717500000000001</v>
      </c>
      <c r="D320">
        <v>72.531000000000006</v>
      </c>
      <c r="E320">
        <v>163</v>
      </c>
      <c r="F320" t="s">
        <v>26</v>
      </c>
      <c r="G320">
        <v>24.6</v>
      </c>
      <c r="H320">
        <v>53.2</v>
      </c>
      <c r="I320" t="s">
        <v>18</v>
      </c>
      <c r="J320">
        <v>34</v>
      </c>
      <c r="K320">
        <v>473</v>
      </c>
      <c r="L320">
        <v>9</v>
      </c>
      <c r="M320" t="s">
        <v>27</v>
      </c>
      <c r="N320">
        <v>72.400000000000006</v>
      </c>
      <c r="O320">
        <v>263</v>
      </c>
      <c r="P320">
        <v>0</v>
      </c>
    </row>
    <row r="321" spans="1:16" x14ac:dyDescent="0.25">
      <c r="A321" s="1">
        <v>45336.32984953704</v>
      </c>
      <c r="B321" t="s">
        <v>16</v>
      </c>
      <c r="C321">
        <v>-21.532900000000001</v>
      </c>
      <c r="D321">
        <v>-145.25810000000001</v>
      </c>
      <c r="E321">
        <v>258</v>
      </c>
      <c r="F321" t="s">
        <v>17</v>
      </c>
      <c r="G321">
        <v>19.899999999999999</v>
      </c>
      <c r="H321">
        <v>51.9</v>
      </c>
      <c r="I321" t="s">
        <v>22</v>
      </c>
      <c r="J321">
        <v>54</v>
      </c>
      <c r="K321">
        <v>237</v>
      </c>
      <c r="L321">
        <v>10</v>
      </c>
      <c r="M321" t="s">
        <v>19</v>
      </c>
      <c r="N321">
        <v>92.7</v>
      </c>
      <c r="O321">
        <v>271</v>
      </c>
      <c r="P321">
        <v>1</v>
      </c>
    </row>
    <row r="322" spans="1:16" x14ac:dyDescent="0.25">
      <c r="A322" s="1">
        <v>45468.510740740741</v>
      </c>
      <c r="B322" t="s">
        <v>25</v>
      </c>
      <c r="C322">
        <v>-4.5862999999999996</v>
      </c>
      <c r="D322">
        <v>71.733699999999999</v>
      </c>
      <c r="E322">
        <v>319</v>
      </c>
      <c r="F322" t="s">
        <v>17</v>
      </c>
      <c r="G322">
        <v>18</v>
      </c>
      <c r="H322">
        <v>63.6</v>
      </c>
      <c r="I322" t="s">
        <v>18</v>
      </c>
      <c r="J322">
        <v>23</v>
      </c>
      <c r="K322">
        <v>473</v>
      </c>
      <c r="L322">
        <v>7</v>
      </c>
      <c r="M322" t="s">
        <v>23</v>
      </c>
      <c r="N322">
        <v>83</v>
      </c>
      <c r="O322">
        <v>187</v>
      </c>
      <c r="P322">
        <v>1</v>
      </c>
    </row>
    <row r="323" spans="1:16" x14ac:dyDescent="0.25">
      <c r="A323" s="1">
        <v>45518.165972222225</v>
      </c>
      <c r="B323" t="s">
        <v>25</v>
      </c>
      <c r="C323">
        <v>-26.677499999999998</v>
      </c>
      <c r="D323">
        <v>-77.284700000000001</v>
      </c>
      <c r="E323">
        <v>247</v>
      </c>
      <c r="F323" t="s">
        <v>26</v>
      </c>
      <c r="G323">
        <v>28.9</v>
      </c>
      <c r="H323">
        <v>60.7</v>
      </c>
      <c r="I323" t="s">
        <v>28</v>
      </c>
      <c r="J323">
        <v>56</v>
      </c>
      <c r="K323">
        <v>115</v>
      </c>
      <c r="L323">
        <v>10</v>
      </c>
      <c r="M323" t="s">
        <v>31</v>
      </c>
      <c r="N323">
        <v>61.6</v>
      </c>
      <c r="O323">
        <v>270</v>
      </c>
      <c r="P323">
        <v>0</v>
      </c>
    </row>
    <row r="324" spans="1:16" x14ac:dyDescent="0.25">
      <c r="A324" s="1">
        <v>45390.822141203702</v>
      </c>
      <c r="B324" t="s">
        <v>32</v>
      </c>
      <c r="C324">
        <v>-30.695699999999999</v>
      </c>
      <c r="D324">
        <v>29.254999999999999</v>
      </c>
      <c r="E324">
        <v>134</v>
      </c>
      <c r="F324" t="s">
        <v>21</v>
      </c>
      <c r="G324">
        <v>19.899999999999999</v>
      </c>
      <c r="H324">
        <v>67.5</v>
      </c>
      <c r="I324" t="s">
        <v>18</v>
      </c>
      <c r="J324">
        <v>42</v>
      </c>
      <c r="K324">
        <v>421</v>
      </c>
      <c r="L324">
        <v>5</v>
      </c>
      <c r="M324" t="s">
        <v>31</v>
      </c>
      <c r="N324">
        <v>77.599999999999994</v>
      </c>
      <c r="O324">
        <v>183</v>
      </c>
      <c r="P324">
        <v>0</v>
      </c>
    </row>
    <row r="325" spans="1:16" x14ac:dyDescent="0.25">
      <c r="A325" s="1">
        <v>45603.598506944443</v>
      </c>
      <c r="B325" t="s">
        <v>29</v>
      </c>
      <c r="C325">
        <v>64.521199999999993</v>
      </c>
      <c r="D325">
        <v>-83.263900000000007</v>
      </c>
      <c r="E325">
        <v>175</v>
      </c>
      <c r="F325" t="s">
        <v>21</v>
      </c>
      <c r="G325">
        <v>20.9</v>
      </c>
      <c r="H325">
        <v>58.7</v>
      </c>
      <c r="I325" t="s">
        <v>18</v>
      </c>
      <c r="J325">
        <v>35</v>
      </c>
      <c r="K325">
        <v>274</v>
      </c>
      <c r="L325">
        <v>9</v>
      </c>
      <c r="M325" t="s">
        <v>31</v>
      </c>
      <c r="N325">
        <v>61.1</v>
      </c>
      <c r="O325">
        <v>240</v>
      </c>
      <c r="P325">
        <v>0</v>
      </c>
    </row>
    <row r="326" spans="1:16" x14ac:dyDescent="0.25">
      <c r="A326" s="1">
        <v>45303.709409722222</v>
      </c>
      <c r="B326" t="s">
        <v>25</v>
      </c>
      <c r="C326">
        <v>68.180999999999997</v>
      </c>
      <c r="D326">
        <v>-84.905100000000004</v>
      </c>
      <c r="E326">
        <v>179</v>
      </c>
      <c r="F326" t="s">
        <v>17</v>
      </c>
      <c r="G326">
        <v>24.2</v>
      </c>
      <c r="H326">
        <v>50.2</v>
      </c>
      <c r="I326" t="s">
        <v>28</v>
      </c>
      <c r="J326">
        <v>31</v>
      </c>
      <c r="K326">
        <v>485</v>
      </c>
      <c r="L326">
        <v>10</v>
      </c>
      <c r="M326" t="s">
        <v>19</v>
      </c>
      <c r="N326">
        <v>75.8</v>
      </c>
      <c r="O326">
        <v>255</v>
      </c>
      <c r="P326">
        <v>1</v>
      </c>
    </row>
    <row r="327" spans="1:16" x14ac:dyDescent="0.25">
      <c r="A327" s="1">
        <v>45442.35359953704</v>
      </c>
      <c r="B327" t="s">
        <v>24</v>
      </c>
      <c r="C327">
        <v>-81.211600000000004</v>
      </c>
      <c r="D327">
        <v>13.9727</v>
      </c>
      <c r="E327">
        <v>105</v>
      </c>
      <c r="F327" t="s">
        <v>17</v>
      </c>
      <c r="G327">
        <v>27.1</v>
      </c>
      <c r="H327">
        <v>59.8</v>
      </c>
      <c r="I327" t="s">
        <v>28</v>
      </c>
      <c r="J327">
        <v>36</v>
      </c>
      <c r="K327">
        <v>409</v>
      </c>
      <c r="L327">
        <v>7</v>
      </c>
      <c r="M327" t="s">
        <v>27</v>
      </c>
      <c r="N327">
        <v>75.7</v>
      </c>
      <c r="O327">
        <v>290</v>
      </c>
      <c r="P327">
        <v>1</v>
      </c>
    </row>
    <row r="328" spans="1:16" x14ac:dyDescent="0.25">
      <c r="A328" s="1">
        <v>45428.315405092595</v>
      </c>
      <c r="B328" t="s">
        <v>30</v>
      </c>
      <c r="C328">
        <v>-21.308</v>
      </c>
      <c r="D328">
        <v>-14.9017</v>
      </c>
      <c r="E328">
        <v>277</v>
      </c>
      <c r="F328" t="s">
        <v>21</v>
      </c>
      <c r="G328">
        <v>23.5</v>
      </c>
      <c r="H328">
        <v>63.9</v>
      </c>
      <c r="I328" t="s">
        <v>22</v>
      </c>
      <c r="J328">
        <v>11</v>
      </c>
      <c r="K328">
        <v>292</v>
      </c>
      <c r="L328">
        <v>8</v>
      </c>
      <c r="M328" t="s">
        <v>23</v>
      </c>
      <c r="N328">
        <v>67.5</v>
      </c>
      <c r="O328">
        <v>234</v>
      </c>
      <c r="P328">
        <v>1</v>
      </c>
    </row>
    <row r="329" spans="1:16" x14ac:dyDescent="0.25">
      <c r="A329" s="1">
        <v>45634.518495370372</v>
      </c>
      <c r="B329" t="s">
        <v>34</v>
      </c>
      <c r="C329">
        <v>77.2059</v>
      </c>
      <c r="D329">
        <v>-132.04730000000001</v>
      </c>
      <c r="E329">
        <v>427</v>
      </c>
      <c r="F329" t="s">
        <v>17</v>
      </c>
      <c r="G329">
        <v>26.7</v>
      </c>
      <c r="H329">
        <v>63.8</v>
      </c>
      <c r="I329" t="s">
        <v>18</v>
      </c>
      <c r="J329">
        <v>54</v>
      </c>
      <c r="K329">
        <v>453</v>
      </c>
      <c r="L329">
        <v>6</v>
      </c>
      <c r="M329" t="s">
        <v>23</v>
      </c>
      <c r="N329">
        <v>86.7</v>
      </c>
      <c r="O329">
        <v>101</v>
      </c>
      <c r="P329">
        <v>1</v>
      </c>
    </row>
    <row r="330" spans="1:16" x14ac:dyDescent="0.25">
      <c r="A330" s="1">
        <v>45379.356956018521</v>
      </c>
      <c r="B330" t="s">
        <v>33</v>
      </c>
      <c r="C330">
        <v>21.487200000000001</v>
      </c>
      <c r="D330">
        <v>-123.6879</v>
      </c>
      <c r="E330">
        <v>348</v>
      </c>
      <c r="F330" t="s">
        <v>17</v>
      </c>
      <c r="G330">
        <v>22.7</v>
      </c>
      <c r="H330">
        <v>63.3</v>
      </c>
      <c r="I330" t="s">
        <v>18</v>
      </c>
      <c r="J330">
        <v>23</v>
      </c>
      <c r="K330">
        <v>134</v>
      </c>
      <c r="L330">
        <v>4</v>
      </c>
      <c r="M330" t="s">
        <v>31</v>
      </c>
      <c r="N330">
        <v>99.6</v>
      </c>
      <c r="O330">
        <v>251</v>
      </c>
      <c r="P330">
        <v>1</v>
      </c>
    </row>
    <row r="331" spans="1:16" x14ac:dyDescent="0.25">
      <c r="A331" s="1">
        <v>45398.897141203706</v>
      </c>
      <c r="B331" t="s">
        <v>33</v>
      </c>
      <c r="C331">
        <v>47.760300000000001</v>
      </c>
      <c r="D331">
        <v>-137.0932</v>
      </c>
      <c r="E331">
        <v>300</v>
      </c>
      <c r="F331" t="s">
        <v>17</v>
      </c>
      <c r="G331">
        <v>23.1</v>
      </c>
      <c r="H331">
        <v>78.099999999999994</v>
      </c>
      <c r="I331" t="s">
        <v>18</v>
      </c>
      <c r="J331">
        <v>53</v>
      </c>
      <c r="K331">
        <v>146</v>
      </c>
      <c r="L331">
        <v>4</v>
      </c>
      <c r="M331" t="s">
        <v>23</v>
      </c>
      <c r="N331">
        <v>73.3</v>
      </c>
      <c r="O331">
        <v>280</v>
      </c>
      <c r="P331">
        <v>1</v>
      </c>
    </row>
    <row r="332" spans="1:16" x14ac:dyDescent="0.25">
      <c r="A332" s="1">
        <v>45616.614236111112</v>
      </c>
      <c r="B332" t="s">
        <v>35</v>
      </c>
      <c r="C332">
        <v>-4.7971000000000004</v>
      </c>
      <c r="D332">
        <v>56.411000000000001</v>
      </c>
      <c r="E332">
        <v>457</v>
      </c>
      <c r="F332" t="s">
        <v>26</v>
      </c>
      <c r="G332">
        <v>27.2</v>
      </c>
      <c r="H332">
        <v>69.099999999999994</v>
      </c>
      <c r="I332" t="s">
        <v>22</v>
      </c>
      <c r="J332">
        <v>55</v>
      </c>
      <c r="K332">
        <v>319</v>
      </c>
      <c r="L332">
        <v>2</v>
      </c>
      <c r="M332" t="s">
        <v>27</v>
      </c>
      <c r="N332">
        <v>67.7</v>
      </c>
      <c r="O332">
        <v>132</v>
      </c>
      <c r="P332">
        <v>1</v>
      </c>
    </row>
    <row r="333" spans="1:16" x14ac:dyDescent="0.25">
      <c r="A333" s="1">
        <v>45463.345775462964</v>
      </c>
      <c r="B333" t="s">
        <v>35</v>
      </c>
      <c r="C333">
        <v>-11.1333</v>
      </c>
      <c r="D333">
        <v>-40.045400000000001</v>
      </c>
      <c r="E333">
        <v>316</v>
      </c>
      <c r="F333" t="s">
        <v>17</v>
      </c>
      <c r="G333">
        <v>26.8</v>
      </c>
      <c r="H333">
        <v>53.5</v>
      </c>
      <c r="I333" t="s">
        <v>28</v>
      </c>
      <c r="J333">
        <v>35</v>
      </c>
      <c r="K333">
        <v>402</v>
      </c>
      <c r="L333">
        <v>10</v>
      </c>
      <c r="M333" t="s">
        <v>31</v>
      </c>
      <c r="N333">
        <v>93.6</v>
      </c>
      <c r="O333">
        <v>206</v>
      </c>
      <c r="P333">
        <v>1</v>
      </c>
    </row>
    <row r="334" spans="1:16" x14ac:dyDescent="0.25">
      <c r="A334" s="1">
        <v>45515.653171296297</v>
      </c>
      <c r="B334" t="s">
        <v>25</v>
      </c>
      <c r="C334">
        <v>15.5083</v>
      </c>
      <c r="D334">
        <v>115.4388</v>
      </c>
      <c r="E334">
        <v>207</v>
      </c>
      <c r="F334" t="s">
        <v>21</v>
      </c>
      <c r="G334">
        <v>19.2</v>
      </c>
      <c r="H334">
        <v>59.7</v>
      </c>
      <c r="I334" t="s">
        <v>18</v>
      </c>
      <c r="J334">
        <v>56</v>
      </c>
      <c r="K334">
        <v>484</v>
      </c>
      <c r="L334">
        <v>7</v>
      </c>
      <c r="M334" t="s">
        <v>27</v>
      </c>
      <c r="N334">
        <v>72.599999999999994</v>
      </c>
      <c r="O334">
        <v>285</v>
      </c>
      <c r="P334">
        <v>0</v>
      </c>
    </row>
    <row r="335" spans="1:16" x14ac:dyDescent="0.25">
      <c r="A335" s="1">
        <v>45595.530914351853</v>
      </c>
      <c r="B335" t="s">
        <v>24</v>
      </c>
      <c r="C335">
        <v>-70.6858</v>
      </c>
      <c r="D335">
        <v>54.468299999999999</v>
      </c>
      <c r="E335">
        <v>333</v>
      </c>
      <c r="F335" t="s">
        <v>26</v>
      </c>
      <c r="G335">
        <v>27.5</v>
      </c>
      <c r="H335">
        <v>55.8</v>
      </c>
      <c r="I335" t="s">
        <v>22</v>
      </c>
      <c r="J335">
        <v>36</v>
      </c>
      <c r="K335">
        <v>141</v>
      </c>
      <c r="L335">
        <v>2</v>
      </c>
      <c r="M335" t="s">
        <v>27</v>
      </c>
      <c r="N335">
        <v>67</v>
      </c>
      <c r="O335">
        <v>264</v>
      </c>
      <c r="P335">
        <v>1</v>
      </c>
    </row>
    <row r="336" spans="1:16" x14ac:dyDescent="0.25">
      <c r="A336" s="1">
        <v>45373.458564814813</v>
      </c>
      <c r="B336" t="s">
        <v>24</v>
      </c>
      <c r="C336">
        <v>-18.427800000000001</v>
      </c>
      <c r="D336">
        <v>101.4997</v>
      </c>
      <c r="E336">
        <v>327</v>
      </c>
      <c r="F336" t="s">
        <v>17</v>
      </c>
      <c r="G336">
        <v>22.6</v>
      </c>
      <c r="H336">
        <v>57.4</v>
      </c>
      <c r="I336" t="s">
        <v>18</v>
      </c>
      <c r="J336">
        <v>38</v>
      </c>
      <c r="K336">
        <v>432</v>
      </c>
      <c r="L336">
        <v>4</v>
      </c>
      <c r="M336" t="s">
        <v>27</v>
      </c>
      <c r="N336">
        <v>68.400000000000006</v>
      </c>
      <c r="O336">
        <v>171</v>
      </c>
      <c r="P336">
        <v>1</v>
      </c>
    </row>
    <row r="337" spans="1:16" x14ac:dyDescent="0.25">
      <c r="A337" s="1">
        <v>45424.569502314815</v>
      </c>
      <c r="B337" t="s">
        <v>33</v>
      </c>
      <c r="C337">
        <v>43.752299999999998</v>
      </c>
      <c r="D337">
        <v>149.83340000000001</v>
      </c>
      <c r="E337">
        <v>197</v>
      </c>
      <c r="F337" t="s">
        <v>21</v>
      </c>
      <c r="G337">
        <v>20</v>
      </c>
      <c r="H337">
        <v>69.599999999999994</v>
      </c>
      <c r="I337" t="s">
        <v>18</v>
      </c>
      <c r="J337">
        <v>42</v>
      </c>
      <c r="K337">
        <v>314</v>
      </c>
      <c r="L337">
        <v>3</v>
      </c>
      <c r="M337" t="s">
        <v>27</v>
      </c>
      <c r="N337">
        <v>87.2</v>
      </c>
      <c r="O337">
        <v>201</v>
      </c>
      <c r="P337">
        <v>0</v>
      </c>
    </row>
    <row r="338" spans="1:16" x14ac:dyDescent="0.25">
      <c r="A338" s="1">
        <v>45611.339085648149</v>
      </c>
      <c r="B338" t="s">
        <v>16</v>
      </c>
      <c r="C338">
        <v>18.5151</v>
      </c>
      <c r="D338">
        <v>24.355899999999998</v>
      </c>
      <c r="E338">
        <v>356</v>
      </c>
      <c r="F338" t="s">
        <v>17</v>
      </c>
      <c r="G338">
        <v>23.4</v>
      </c>
      <c r="H338">
        <v>72.8</v>
      </c>
      <c r="I338" t="s">
        <v>18</v>
      </c>
      <c r="J338">
        <v>39</v>
      </c>
      <c r="K338">
        <v>486</v>
      </c>
      <c r="L338">
        <v>9</v>
      </c>
      <c r="M338" t="s">
        <v>31</v>
      </c>
      <c r="N338">
        <v>99.2</v>
      </c>
      <c r="O338">
        <v>282</v>
      </c>
      <c r="P338">
        <v>1</v>
      </c>
    </row>
    <row r="339" spans="1:16" x14ac:dyDescent="0.25">
      <c r="A339" s="1">
        <v>45572.258090277777</v>
      </c>
      <c r="B339" t="s">
        <v>25</v>
      </c>
      <c r="C339">
        <v>84.677400000000006</v>
      </c>
      <c r="D339">
        <v>61.015300000000003</v>
      </c>
      <c r="E339">
        <v>359</v>
      </c>
      <c r="F339" t="s">
        <v>17</v>
      </c>
      <c r="G339">
        <v>29.2</v>
      </c>
      <c r="H339">
        <v>54.5</v>
      </c>
      <c r="I339" t="s">
        <v>18</v>
      </c>
      <c r="J339">
        <v>50</v>
      </c>
      <c r="K339">
        <v>268</v>
      </c>
      <c r="L339">
        <v>1</v>
      </c>
      <c r="M339" t="s">
        <v>19</v>
      </c>
      <c r="N339">
        <v>67.400000000000006</v>
      </c>
      <c r="O339">
        <v>249</v>
      </c>
      <c r="P339">
        <v>1</v>
      </c>
    </row>
    <row r="340" spans="1:16" x14ac:dyDescent="0.25">
      <c r="A340" s="1">
        <v>45544.145972222221</v>
      </c>
      <c r="B340" t="s">
        <v>33</v>
      </c>
      <c r="C340">
        <v>49.586399999999998</v>
      </c>
      <c r="D340">
        <v>-154.42240000000001</v>
      </c>
      <c r="E340">
        <v>377</v>
      </c>
      <c r="F340" t="s">
        <v>26</v>
      </c>
      <c r="G340">
        <v>18.100000000000001</v>
      </c>
      <c r="H340">
        <v>55</v>
      </c>
      <c r="I340" t="s">
        <v>18</v>
      </c>
      <c r="J340">
        <v>59</v>
      </c>
      <c r="K340">
        <v>476</v>
      </c>
      <c r="L340">
        <v>6</v>
      </c>
      <c r="M340" t="s">
        <v>23</v>
      </c>
      <c r="N340">
        <v>70.2</v>
      </c>
      <c r="O340">
        <v>268</v>
      </c>
      <c r="P340">
        <v>0</v>
      </c>
    </row>
    <row r="341" spans="1:16" x14ac:dyDescent="0.25">
      <c r="A341" s="1">
        <v>45525.838287037041</v>
      </c>
      <c r="B341" t="s">
        <v>20</v>
      </c>
      <c r="C341">
        <v>-51.319000000000003</v>
      </c>
      <c r="D341">
        <v>-46.584099999999999</v>
      </c>
      <c r="E341">
        <v>228</v>
      </c>
      <c r="F341" t="s">
        <v>17</v>
      </c>
      <c r="G341">
        <v>24.2</v>
      </c>
      <c r="H341">
        <v>59.2</v>
      </c>
      <c r="I341" t="s">
        <v>22</v>
      </c>
      <c r="J341">
        <v>26</v>
      </c>
      <c r="K341">
        <v>321</v>
      </c>
      <c r="L341">
        <v>5</v>
      </c>
      <c r="M341" t="s">
        <v>27</v>
      </c>
      <c r="N341">
        <v>96.3</v>
      </c>
      <c r="O341">
        <v>132</v>
      </c>
      <c r="P341">
        <v>1</v>
      </c>
    </row>
    <row r="342" spans="1:16" x14ac:dyDescent="0.25">
      <c r="A342" s="1">
        <v>45308.148564814815</v>
      </c>
      <c r="B342" t="s">
        <v>24</v>
      </c>
      <c r="C342">
        <v>-12.9902</v>
      </c>
      <c r="D342">
        <v>176.1206</v>
      </c>
      <c r="E342">
        <v>399</v>
      </c>
      <c r="F342" t="s">
        <v>26</v>
      </c>
      <c r="G342">
        <v>23.4</v>
      </c>
      <c r="H342">
        <v>71.7</v>
      </c>
      <c r="I342" t="s">
        <v>22</v>
      </c>
      <c r="J342">
        <v>12</v>
      </c>
      <c r="K342">
        <v>239</v>
      </c>
      <c r="L342">
        <v>1</v>
      </c>
      <c r="M342" t="s">
        <v>19</v>
      </c>
      <c r="N342">
        <v>67.599999999999994</v>
      </c>
      <c r="O342">
        <v>156</v>
      </c>
      <c r="P342">
        <v>1</v>
      </c>
    </row>
    <row r="343" spans="1:16" x14ac:dyDescent="0.25">
      <c r="A343" s="1">
        <v>45628.505543981482</v>
      </c>
      <c r="B343" t="s">
        <v>33</v>
      </c>
      <c r="C343">
        <v>6.8181000000000003</v>
      </c>
      <c r="D343">
        <v>52.368499999999997</v>
      </c>
      <c r="E343">
        <v>157</v>
      </c>
      <c r="F343" t="s">
        <v>21</v>
      </c>
      <c r="G343">
        <v>29.8</v>
      </c>
      <c r="H343">
        <v>54</v>
      </c>
      <c r="I343" t="s">
        <v>28</v>
      </c>
      <c r="J343">
        <v>33</v>
      </c>
      <c r="K343">
        <v>151</v>
      </c>
      <c r="L343">
        <v>10</v>
      </c>
      <c r="M343" t="s">
        <v>23</v>
      </c>
      <c r="N343">
        <v>81.2</v>
      </c>
      <c r="O343">
        <v>192</v>
      </c>
      <c r="P343">
        <v>0</v>
      </c>
    </row>
    <row r="344" spans="1:16" x14ac:dyDescent="0.25">
      <c r="A344" s="1">
        <v>45614.327928240738</v>
      </c>
      <c r="B344" t="s">
        <v>24</v>
      </c>
      <c r="C344">
        <v>-3.0379999999999998</v>
      </c>
      <c r="D344">
        <v>106.5694</v>
      </c>
      <c r="E344">
        <v>327</v>
      </c>
      <c r="F344" t="s">
        <v>21</v>
      </c>
      <c r="G344">
        <v>21.2</v>
      </c>
      <c r="H344">
        <v>52.6</v>
      </c>
      <c r="I344" t="s">
        <v>28</v>
      </c>
      <c r="J344">
        <v>48</v>
      </c>
      <c r="K344">
        <v>209</v>
      </c>
      <c r="L344">
        <v>8</v>
      </c>
      <c r="M344" t="s">
        <v>31</v>
      </c>
      <c r="N344">
        <v>98.6</v>
      </c>
      <c r="O344">
        <v>104</v>
      </c>
      <c r="P344">
        <v>0</v>
      </c>
    </row>
    <row r="345" spans="1:16" x14ac:dyDescent="0.25">
      <c r="A345" s="1">
        <v>45411.496134259258</v>
      </c>
      <c r="B345" t="s">
        <v>30</v>
      </c>
      <c r="C345">
        <v>35.514099999999999</v>
      </c>
      <c r="D345">
        <v>90.808700000000002</v>
      </c>
      <c r="E345">
        <v>215</v>
      </c>
      <c r="F345" t="s">
        <v>17</v>
      </c>
      <c r="G345">
        <v>21.7</v>
      </c>
      <c r="H345">
        <v>73.400000000000006</v>
      </c>
      <c r="I345" t="s">
        <v>18</v>
      </c>
      <c r="J345">
        <v>17</v>
      </c>
      <c r="K345">
        <v>146</v>
      </c>
      <c r="L345">
        <v>9</v>
      </c>
      <c r="M345" t="s">
        <v>19</v>
      </c>
      <c r="N345">
        <v>70.400000000000006</v>
      </c>
      <c r="O345">
        <v>296</v>
      </c>
      <c r="P345">
        <v>1</v>
      </c>
    </row>
    <row r="346" spans="1:16" x14ac:dyDescent="0.25">
      <c r="A346" s="1">
        <v>45441.28460648148</v>
      </c>
      <c r="B346" t="s">
        <v>25</v>
      </c>
      <c r="C346">
        <v>-40.872399999999999</v>
      </c>
      <c r="D346">
        <v>-42.324300000000001</v>
      </c>
      <c r="E346">
        <v>213</v>
      </c>
      <c r="F346" t="s">
        <v>17</v>
      </c>
      <c r="G346">
        <v>20.2</v>
      </c>
      <c r="H346">
        <v>63.7</v>
      </c>
      <c r="I346" t="s">
        <v>28</v>
      </c>
      <c r="J346">
        <v>16</v>
      </c>
      <c r="K346">
        <v>248</v>
      </c>
      <c r="L346">
        <v>10</v>
      </c>
      <c r="M346" t="s">
        <v>19</v>
      </c>
      <c r="N346">
        <v>68.8</v>
      </c>
      <c r="O346">
        <v>136</v>
      </c>
      <c r="P346">
        <v>1</v>
      </c>
    </row>
    <row r="347" spans="1:16" x14ac:dyDescent="0.25">
      <c r="A347" s="1">
        <v>45606.242604166669</v>
      </c>
      <c r="B347" t="s">
        <v>16</v>
      </c>
      <c r="C347">
        <v>44.634700000000002</v>
      </c>
      <c r="D347">
        <v>-110.63039999999999</v>
      </c>
      <c r="E347">
        <v>226</v>
      </c>
      <c r="F347" t="s">
        <v>21</v>
      </c>
      <c r="G347">
        <v>21.4</v>
      </c>
      <c r="H347">
        <v>58</v>
      </c>
      <c r="I347" t="s">
        <v>18</v>
      </c>
      <c r="J347">
        <v>47</v>
      </c>
      <c r="K347">
        <v>348</v>
      </c>
      <c r="L347">
        <v>7</v>
      </c>
      <c r="M347" t="s">
        <v>31</v>
      </c>
      <c r="N347">
        <v>85.7</v>
      </c>
      <c r="O347">
        <v>136</v>
      </c>
      <c r="P347">
        <v>0</v>
      </c>
    </row>
    <row r="348" spans="1:16" x14ac:dyDescent="0.25">
      <c r="A348" s="1">
        <v>45599.848356481481</v>
      </c>
      <c r="B348" t="s">
        <v>35</v>
      </c>
      <c r="C348">
        <v>76.546800000000005</v>
      </c>
      <c r="D348">
        <v>-13.524900000000001</v>
      </c>
      <c r="E348">
        <v>334</v>
      </c>
      <c r="F348" t="s">
        <v>26</v>
      </c>
      <c r="G348">
        <v>24.2</v>
      </c>
      <c r="H348">
        <v>76.2</v>
      </c>
      <c r="I348" t="s">
        <v>28</v>
      </c>
      <c r="J348">
        <v>24</v>
      </c>
      <c r="K348">
        <v>402</v>
      </c>
      <c r="L348">
        <v>7</v>
      </c>
      <c r="M348" t="s">
        <v>27</v>
      </c>
      <c r="N348">
        <v>71.5</v>
      </c>
      <c r="O348">
        <v>105</v>
      </c>
      <c r="P348">
        <v>0</v>
      </c>
    </row>
    <row r="349" spans="1:16" x14ac:dyDescent="0.25">
      <c r="A349" s="1">
        <v>45539.448067129626</v>
      </c>
      <c r="B349" t="s">
        <v>30</v>
      </c>
      <c r="C349">
        <v>72.820599999999999</v>
      </c>
      <c r="D349">
        <v>90.516900000000007</v>
      </c>
      <c r="E349">
        <v>319</v>
      </c>
      <c r="F349" t="s">
        <v>21</v>
      </c>
      <c r="G349">
        <v>25.5</v>
      </c>
      <c r="H349">
        <v>51.7</v>
      </c>
      <c r="I349" t="s">
        <v>18</v>
      </c>
      <c r="J349">
        <v>32</v>
      </c>
      <c r="K349">
        <v>350</v>
      </c>
      <c r="L349">
        <v>2</v>
      </c>
      <c r="M349" t="s">
        <v>19</v>
      </c>
      <c r="N349">
        <v>69.7</v>
      </c>
      <c r="O349">
        <v>254</v>
      </c>
      <c r="P349">
        <v>0</v>
      </c>
    </row>
    <row r="350" spans="1:16" x14ac:dyDescent="0.25">
      <c r="A350" s="1">
        <v>45560.911909722221</v>
      </c>
      <c r="B350" t="s">
        <v>32</v>
      </c>
      <c r="C350">
        <v>81.255399999999995</v>
      </c>
      <c r="D350">
        <v>4.8415999999999997</v>
      </c>
      <c r="E350">
        <v>411</v>
      </c>
      <c r="F350" t="s">
        <v>21</v>
      </c>
      <c r="G350">
        <v>20.5</v>
      </c>
      <c r="H350">
        <v>77.400000000000006</v>
      </c>
      <c r="I350" t="s">
        <v>22</v>
      </c>
      <c r="J350">
        <v>51</v>
      </c>
      <c r="K350">
        <v>211</v>
      </c>
      <c r="L350">
        <v>5</v>
      </c>
      <c r="M350" t="s">
        <v>31</v>
      </c>
      <c r="N350">
        <v>76.900000000000006</v>
      </c>
      <c r="O350">
        <v>244</v>
      </c>
      <c r="P350">
        <v>1</v>
      </c>
    </row>
    <row r="351" spans="1:16" x14ac:dyDescent="0.25">
      <c r="A351" s="1">
        <v>45497.271041666667</v>
      </c>
      <c r="B351" t="s">
        <v>20</v>
      </c>
      <c r="C351">
        <v>74.910700000000006</v>
      </c>
      <c r="D351">
        <v>17.8019</v>
      </c>
      <c r="E351">
        <v>208</v>
      </c>
      <c r="F351" t="s">
        <v>17</v>
      </c>
      <c r="G351">
        <v>28.8</v>
      </c>
      <c r="H351">
        <v>64.900000000000006</v>
      </c>
      <c r="I351" t="s">
        <v>28</v>
      </c>
      <c r="J351">
        <v>40</v>
      </c>
      <c r="K351">
        <v>437</v>
      </c>
      <c r="L351">
        <v>6</v>
      </c>
      <c r="M351" t="s">
        <v>23</v>
      </c>
      <c r="N351">
        <v>64.599999999999994</v>
      </c>
      <c r="O351">
        <v>185</v>
      </c>
      <c r="P351">
        <v>1</v>
      </c>
    </row>
    <row r="352" spans="1:16" x14ac:dyDescent="0.25">
      <c r="A352" s="1">
        <v>45384.571597222224</v>
      </c>
      <c r="B352" t="s">
        <v>34</v>
      </c>
      <c r="C352">
        <v>20.446000000000002</v>
      </c>
      <c r="D352">
        <v>149.3776</v>
      </c>
      <c r="E352">
        <v>328</v>
      </c>
      <c r="F352" t="s">
        <v>26</v>
      </c>
      <c r="G352">
        <v>22.8</v>
      </c>
      <c r="H352">
        <v>73.599999999999994</v>
      </c>
      <c r="I352" t="s">
        <v>28</v>
      </c>
      <c r="J352">
        <v>12</v>
      </c>
      <c r="K352">
        <v>349</v>
      </c>
      <c r="L352">
        <v>9</v>
      </c>
      <c r="M352" t="s">
        <v>31</v>
      </c>
      <c r="N352">
        <v>93.3</v>
      </c>
      <c r="O352">
        <v>162</v>
      </c>
      <c r="P352">
        <v>0</v>
      </c>
    </row>
    <row r="353" spans="1:16" x14ac:dyDescent="0.25">
      <c r="A353" s="1">
        <v>45355.280324074076</v>
      </c>
      <c r="B353" t="s">
        <v>33</v>
      </c>
      <c r="C353">
        <v>-60.710099999999997</v>
      </c>
      <c r="D353">
        <v>-29.484200000000001</v>
      </c>
      <c r="E353">
        <v>219</v>
      </c>
      <c r="F353" t="s">
        <v>17</v>
      </c>
      <c r="G353">
        <v>22.9</v>
      </c>
      <c r="H353">
        <v>56.6</v>
      </c>
      <c r="I353" t="s">
        <v>22</v>
      </c>
      <c r="J353">
        <v>49</v>
      </c>
      <c r="K353">
        <v>372</v>
      </c>
      <c r="L353">
        <v>6</v>
      </c>
      <c r="M353" t="s">
        <v>31</v>
      </c>
      <c r="N353">
        <v>64.400000000000006</v>
      </c>
      <c r="O353">
        <v>300</v>
      </c>
      <c r="P353">
        <v>1</v>
      </c>
    </row>
    <row r="354" spans="1:16" x14ac:dyDescent="0.25">
      <c r="A354" s="1">
        <v>45636.527662037035</v>
      </c>
      <c r="B354" t="s">
        <v>32</v>
      </c>
      <c r="C354">
        <v>74.231399999999994</v>
      </c>
      <c r="D354">
        <v>-113.7355</v>
      </c>
      <c r="E354">
        <v>438</v>
      </c>
      <c r="F354" t="s">
        <v>21</v>
      </c>
      <c r="G354">
        <v>25.7</v>
      </c>
      <c r="H354">
        <v>71.2</v>
      </c>
      <c r="I354" t="s">
        <v>18</v>
      </c>
      <c r="J354">
        <v>21</v>
      </c>
      <c r="K354">
        <v>445</v>
      </c>
      <c r="L354">
        <v>5</v>
      </c>
      <c r="M354" t="s">
        <v>23</v>
      </c>
      <c r="N354">
        <v>90.4</v>
      </c>
      <c r="O354">
        <v>154</v>
      </c>
      <c r="P354">
        <v>0</v>
      </c>
    </row>
    <row r="355" spans="1:16" x14ac:dyDescent="0.25">
      <c r="A355" s="1">
        <v>45296.141041666669</v>
      </c>
      <c r="B355" t="s">
        <v>25</v>
      </c>
      <c r="C355">
        <v>16.973700000000001</v>
      </c>
      <c r="D355">
        <v>-7.8197999999999999</v>
      </c>
      <c r="E355">
        <v>145</v>
      </c>
      <c r="F355" t="s">
        <v>21</v>
      </c>
      <c r="G355">
        <v>23.3</v>
      </c>
      <c r="H355">
        <v>70.3</v>
      </c>
      <c r="I355" t="s">
        <v>18</v>
      </c>
      <c r="J355">
        <v>44</v>
      </c>
      <c r="K355">
        <v>421</v>
      </c>
      <c r="L355">
        <v>2</v>
      </c>
      <c r="M355" t="s">
        <v>19</v>
      </c>
      <c r="N355">
        <v>93.9</v>
      </c>
      <c r="O355">
        <v>286</v>
      </c>
      <c r="P355">
        <v>0</v>
      </c>
    </row>
    <row r="356" spans="1:16" x14ac:dyDescent="0.25">
      <c r="A356" s="1">
        <v>45309.717916666668</v>
      </c>
      <c r="B356" t="s">
        <v>35</v>
      </c>
      <c r="C356">
        <v>35.805500000000002</v>
      </c>
      <c r="D356">
        <v>-41.153199999999998</v>
      </c>
      <c r="E356">
        <v>299</v>
      </c>
      <c r="F356" t="s">
        <v>26</v>
      </c>
      <c r="G356">
        <v>22.4</v>
      </c>
      <c r="H356">
        <v>64.2</v>
      </c>
      <c r="I356" t="s">
        <v>28</v>
      </c>
      <c r="J356">
        <v>54</v>
      </c>
      <c r="K356">
        <v>303</v>
      </c>
      <c r="L356">
        <v>1</v>
      </c>
      <c r="M356" t="s">
        <v>27</v>
      </c>
      <c r="N356">
        <v>88.1</v>
      </c>
      <c r="O356">
        <v>125</v>
      </c>
      <c r="P356">
        <v>0</v>
      </c>
    </row>
    <row r="357" spans="1:16" x14ac:dyDescent="0.25">
      <c r="A357" s="1">
        <v>45422.251064814816</v>
      </c>
      <c r="B357" t="s">
        <v>34</v>
      </c>
      <c r="C357">
        <v>6.7866999999999997</v>
      </c>
      <c r="D357">
        <v>-133.6343</v>
      </c>
      <c r="E357">
        <v>356</v>
      </c>
      <c r="F357" t="s">
        <v>26</v>
      </c>
      <c r="G357">
        <v>18.899999999999999</v>
      </c>
      <c r="H357">
        <v>71.7</v>
      </c>
      <c r="I357" t="s">
        <v>28</v>
      </c>
      <c r="J357">
        <v>25</v>
      </c>
      <c r="K357">
        <v>368</v>
      </c>
      <c r="L357">
        <v>1</v>
      </c>
      <c r="M357" t="s">
        <v>27</v>
      </c>
      <c r="N357">
        <v>66.099999999999994</v>
      </c>
      <c r="O357">
        <v>228</v>
      </c>
      <c r="P357">
        <v>0</v>
      </c>
    </row>
    <row r="358" spans="1:16" x14ac:dyDescent="0.25">
      <c r="A358" s="1">
        <v>45591.249930555554</v>
      </c>
      <c r="B358" t="s">
        <v>33</v>
      </c>
      <c r="C358">
        <v>6.1840000000000002</v>
      </c>
      <c r="D358">
        <v>36.189799999999998</v>
      </c>
      <c r="E358">
        <v>137</v>
      </c>
      <c r="F358" t="s">
        <v>26</v>
      </c>
      <c r="G358">
        <v>22.8</v>
      </c>
      <c r="H358">
        <v>50.6</v>
      </c>
      <c r="I358" t="s">
        <v>18</v>
      </c>
      <c r="J358">
        <v>24</v>
      </c>
      <c r="K358">
        <v>465</v>
      </c>
      <c r="L358">
        <v>6</v>
      </c>
      <c r="M358" t="s">
        <v>23</v>
      </c>
      <c r="N358">
        <v>61.3</v>
      </c>
      <c r="O358">
        <v>226</v>
      </c>
      <c r="P358">
        <v>0</v>
      </c>
    </row>
    <row r="359" spans="1:16" x14ac:dyDescent="0.25">
      <c r="A359" s="1">
        <v>45403.676307870373</v>
      </c>
      <c r="B359" t="s">
        <v>32</v>
      </c>
      <c r="C359">
        <v>-75.060500000000005</v>
      </c>
      <c r="D359">
        <v>-52.525599999999997</v>
      </c>
      <c r="E359">
        <v>231</v>
      </c>
      <c r="F359" t="s">
        <v>26</v>
      </c>
      <c r="G359">
        <v>24.3</v>
      </c>
      <c r="H359">
        <v>57.8</v>
      </c>
      <c r="I359" t="s">
        <v>28</v>
      </c>
      <c r="J359">
        <v>56</v>
      </c>
      <c r="K359">
        <v>368</v>
      </c>
      <c r="L359">
        <v>7</v>
      </c>
      <c r="M359" t="s">
        <v>23</v>
      </c>
      <c r="N359">
        <v>87.2</v>
      </c>
      <c r="O359">
        <v>203</v>
      </c>
      <c r="P359">
        <v>0</v>
      </c>
    </row>
    <row r="360" spans="1:16" x14ac:dyDescent="0.25">
      <c r="A360" s="1">
        <v>45549.07739583333</v>
      </c>
      <c r="B360" t="s">
        <v>30</v>
      </c>
      <c r="C360">
        <v>-77.891000000000005</v>
      </c>
      <c r="D360">
        <v>-96.7804</v>
      </c>
      <c r="E360">
        <v>336</v>
      </c>
      <c r="F360" t="s">
        <v>26</v>
      </c>
      <c r="G360">
        <v>19.7</v>
      </c>
      <c r="H360">
        <v>66.7</v>
      </c>
      <c r="I360" t="s">
        <v>28</v>
      </c>
      <c r="J360">
        <v>54</v>
      </c>
      <c r="K360">
        <v>163</v>
      </c>
      <c r="L360">
        <v>7</v>
      </c>
      <c r="M360" t="s">
        <v>31</v>
      </c>
      <c r="N360">
        <v>71.400000000000006</v>
      </c>
      <c r="O360">
        <v>122</v>
      </c>
      <c r="P360">
        <v>0</v>
      </c>
    </row>
    <row r="361" spans="1:16" x14ac:dyDescent="0.25">
      <c r="A361" s="1">
        <v>45424.743761574071</v>
      </c>
      <c r="B361" t="s">
        <v>25</v>
      </c>
      <c r="C361">
        <v>-47.154000000000003</v>
      </c>
      <c r="D361">
        <v>6.9020999999999999</v>
      </c>
      <c r="E361">
        <v>290</v>
      </c>
      <c r="F361" t="s">
        <v>21</v>
      </c>
      <c r="G361">
        <v>27.6</v>
      </c>
      <c r="H361">
        <v>71.8</v>
      </c>
      <c r="I361" t="s">
        <v>22</v>
      </c>
      <c r="J361">
        <v>50</v>
      </c>
      <c r="K361">
        <v>460</v>
      </c>
      <c r="L361">
        <v>7</v>
      </c>
      <c r="M361" t="s">
        <v>31</v>
      </c>
      <c r="N361">
        <v>95.9</v>
      </c>
      <c r="O361">
        <v>118</v>
      </c>
      <c r="P361">
        <v>1</v>
      </c>
    </row>
    <row r="362" spans="1:16" x14ac:dyDescent="0.25">
      <c r="A362" s="1">
        <v>45538.379837962966</v>
      </c>
      <c r="B362" t="s">
        <v>35</v>
      </c>
      <c r="C362">
        <v>76.171499999999995</v>
      </c>
      <c r="D362">
        <v>-7.1000000000000004E-3</v>
      </c>
      <c r="E362">
        <v>427</v>
      </c>
      <c r="F362" t="s">
        <v>17</v>
      </c>
      <c r="G362">
        <v>23.2</v>
      </c>
      <c r="H362">
        <v>70.099999999999994</v>
      </c>
      <c r="I362" t="s">
        <v>22</v>
      </c>
      <c r="J362">
        <v>17</v>
      </c>
      <c r="K362">
        <v>320</v>
      </c>
      <c r="L362">
        <v>4</v>
      </c>
      <c r="M362" t="s">
        <v>23</v>
      </c>
      <c r="N362">
        <v>73</v>
      </c>
      <c r="O362">
        <v>162</v>
      </c>
      <c r="P362">
        <v>1</v>
      </c>
    </row>
    <row r="363" spans="1:16" x14ac:dyDescent="0.25">
      <c r="A363" s="1">
        <v>45418.386550925927</v>
      </c>
      <c r="B363" t="s">
        <v>25</v>
      </c>
      <c r="C363">
        <v>-85.828299999999999</v>
      </c>
      <c r="D363">
        <v>163.45750000000001</v>
      </c>
      <c r="E363">
        <v>439</v>
      </c>
      <c r="F363" t="s">
        <v>26</v>
      </c>
      <c r="G363">
        <v>26.4</v>
      </c>
      <c r="H363">
        <v>71.3</v>
      </c>
      <c r="I363" t="s">
        <v>28</v>
      </c>
      <c r="J363">
        <v>41</v>
      </c>
      <c r="K363">
        <v>491</v>
      </c>
      <c r="L363">
        <v>7</v>
      </c>
      <c r="M363" t="s">
        <v>27</v>
      </c>
      <c r="N363">
        <v>67.400000000000006</v>
      </c>
      <c r="O363">
        <v>273</v>
      </c>
      <c r="P363">
        <v>0</v>
      </c>
    </row>
    <row r="364" spans="1:16" x14ac:dyDescent="0.25">
      <c r="A364" s="1">
        <v>45300.369953703703</v>
      </c>
      <c r="B364" t="s">
        <v>16</v>
      </c>
      <c r="C364">
        <v>6.0090000000000003</v>
      </c>
      <c r="D364">
        <v>-33.838000000000001</v>
      </c>
      <c r="E364">
        <v>461</v>
      </c>
      <c r="F364" t="s">
        <v>26</v>
      </c>
      <c r="G364">
        <v>18.600000000000001</v>
      </c>
      <c r="H364">
        <v>74.599999999999994</v>
      </c>
      <c r="I364" t="s">
        <v>22</v>
      </c>
      <c r="J364">
        <v>23</v>
      </c>
      <c r="K364">
        <v>185</v>
      </c>
      <c r="L364">
        <v>4</v>
      </c>
      <c r="M364" t="s">
        <v>27</v>
      </c>
      <c r="N364">
        <v>77.8</v>
      </c>
      <c r="O364">
        <v>215</v>
      </c>
      <c r="P364">
        <v>1</v>
      </c>
    </row>
    <row r="365" spans="1:16" x14ac:dyDescent="0.25">
      <c r="A365" s="1">
        <v>45541.126851851855</v>
      </c>
      <c r="B365" t="s">
        <v>25</v>
      </c>
      <c r="C365">
        <v>3.8184</v>
      </c>
      <c r="D365">
        <v>139.48759999999999</v>
      </c>
      <c r="E365">
        <v>414</v>
      </c>
      <c r="F365" t="s">
        <v>26</v>
      </c>
      <c r="G365">
        <v>29</v>
      </c>
      <c r="H365">
        <v>70.599999999999994</v>
      </c>
      <c r="I365" t="s">
        <v>22</v>
      </c>
      <c r="J365">
        <v>25</v>
      </c>
      <c r="K365">
        <v>291</v>
      </c>
      <c r="L365">
        <v>4</v>
      </c>
      <c r="M365" t="s">
        <v>27</v>
      </c>
      <c r="N365">
        <v>92.9</v>
      </c>
      <c r="O365">
        <v>154</v>
      </c>
      <c r="P365">
        <v>1</v>
      </c>
    </row>
    <row r="366" spans="1:16" x14ac:dyDescent="0.25">
      <c r="A366" s="1">
        <v>45509.697754629633</v>
      </c>
      <c r="B366" t="s">
        <v>20</v>
      </c>
      <c r="C366">
        <v>66.341700000000003</v>
      </c>
      <c r="D366">
        <v>-154.12430000000001</v>
      </c>
      <c r="E366">
        <v>498</v>
      </c>
      <c r="F366" t="s">
        <v>17</v>
      </c>
      <c r="G366">
        <v>23.8</v>
      </c>
      <c r="H366">
        <v>55.9</v>
      </c>
      <c r="I366" t="s">
        <v>18</v>
      </c>
      <c r="J366">
        <v>16</v>
      </c>
      <c r="K366">
        <v>381</v>
      </c>
      <c r="L366">
        <v>7</v>
      </c>
      <c r="M366" t="s">
        <v>19</v>
      </c>
      <c r="N366">
        <v>67.2</v>
      </c>
      <c r="O366">
        <v>131</v>
      </c>
      <c r="P366">
        <v>1</v>
      </c>
    </row>
    <row r="367" spans="1:16" x14ac:dyDescent="0.25">
      <c r="A367" s="1">
        <v>45520.448599537034</v>
      </c>
      <c r="B367" t="s">
        <v>29</v>
      </c>
      <c r="C367">
        <v>-61.862299999999998</v>
      </c>
      <c r="D367">
        <v>113.63039999999999</v>
      </c>
      <c r="E367">
        <v>334</v>
      </c>
      <c r="F367" t="s">
        <v>26</v>
      </c>
      <c r="G367">
        <v>22.5</v>
      </c>
      <c r="H367">
        <v>57.1</v>
      </c>
      <c r="I367" t="s">
        <v>28</v>
      </c>
      <c r="J367">
        <v>43</v>
      </c>
      <c r="K367">
        <v>381</v>
      </c>
      <c r="L367">
        <v>6</v>
      </c>
      <c r="M367" t="s">
        <v>19</v>
      </c>
      <c r="N367">
        <v>73.8</v>
      </c>
      <c r="O367">
        <v>157</v>
      </c>
      <c r="P367">
        <v>0</v>
      </c>
    </row>
    <row r="368" spans="1:16" x14ac:dyDescent="0.25">
      <c r="A368" s="1">
        <v>45485.115937499999</v>
      </c>
      <c r="B368" t="s">
        <v>30</v>
      </c>
      <c r="C368">
        <v>44.502000000000002</v>
      </c>
      <c r="D368">
        <v>66.581900000000005</v>
      </c>
      <c r="E368">
        <v>144</v>
      </c>
      <c r="F368" t="s">
        <v>17</v>
      </c>
      <c r="G368">
        <v>23</v>
      </c>
      <c r="H368">
        <v>70.3</v>
      </c>
      <c r="I368" t="s">
        <v>22</v>
      </c>
      <c r="J368">
        <v>54</v>
      </c>
      <c r="K368">
        <v>152</v>
      </c>
      <c r="L368">
        <v>1</v>
      </c>
      <c r="M368" t="s">
        <v>31</v>
      </c>
      <c r="N368">
        <v>84.3</v>
      </c>
      <c r="O368">
        <v>242</v>
      </c>
      <c r="P368">
        <v>1</v>
      </c>
    </row>
    <row r="369" spans="1:16" x14ac:dyDescent="0.25">
      <c r="A369" s="1">
        <v>45315.364166666666</v>
      </c>
      <c r="B369" t="s">
        <v>33</v>
      </c>
      <c r="C369">
        <v>-12.288500000000001</v>
      </c>
      <c r="D369">
        <v>38.428699999999999</v>
      </c>
      <c r="E369">
        <v>231</v>
      </c>
      <c r="F369" t="s">
        <v>26</v>
      </c>
      <c r="G369">
        <v>28.2</v>
      </c>
      <c r="H369">
        <v>67.2</v>
      </c>
      <c r="I369" t="s">
        <v>28</v>
      </c>
      <c r="J369">
        <v>50</v>
      </c>
      <c r="K369">
        <v>221</v>
      </c>
      <c r="L369">
        <v>1</v>
      </c>
      <c r="M369" t="s">
        <v>19</v>
      </c>
      <c r="N369">
        <v>84.8</v>
      </c>
      <c r="O369">
        <v>270</v>
      </c>
      <c r="P369">
        <v>0</v>
      </c>
    </row>
    <row r="370" spans="1:16" x14ac:dyDescent="0.25">
      <c r="A370" s="1">
        <v>45304.907997685186</v>
      </c>
      <c r="B370" t="s">
        <v>34</v>
      </c>
      <c r="C370">
        <v>-40.827500000000001</v>
      </c>
      <c r="D370">
        <v>-46.7423</v>
      </c>
      <c r="E370">
        <v>324</v>
      </c>
      <c r="F370" t="s">
        <v>17</v>
      </c>
      <c r="G370">
        <v>25.5</v>
      </c>
      <c r="H370">
        <v>65.2</v>
      </c>
      <c r="I370" t="s">
        <v>28</v>
      </c>
      <c r="J370">
        <v>51</v>
      </c>
      <c r="K370">
        <v>233</v>
      </c>
      <c r="L370">
        <v>9</v>
      </c>
      <c r="M370" t="s">
        <v>27</v>
      </c>
      <c r="N370">
        <v>90.2</v>
      </c>
      <c r="O370">
        <v>145</v>
      </c>
      <c r="P370">
        <v>1</v>
      </c>
    </row>
    <row r="371" spans="1:16" x14ac:dyDescent="0.25">
      <c r="A371" s="1">
        <v>45398.335787037038</v>
      </c>
      <c r="B371" t="s">
        <v>20</v>
      </c>
      <c r="C371">
        <v>-76.575699999999998</v>
      </c>
      <c r="D371">
        <v>-52.268999999999998</v>
      </c>
      <c r="E371">
        <v>246</v>
      </c>
      <c r="F371" t="s">
        <v>26</v>
      </c>
      <c r="G371">
        <v>19.399999999999999</v>
      </c>
      <c r="H371">
        <v>56.3</v>
      </c>
      <c r="I371" t="s">
        <v>28</v>
      </c>
      <c r="J371">
        <v>16</v>
      </c>
      <c r="K371">
        <v>406</v>
      </c>
      <c r="L371">
        <v>9</v>
      </c>
      <c r="M371" t="s">
        <v>23</v>
      </c>
      <c r="N371">
        <v>65.7</v>
      </c>
      <c r="O371">
        <v>140</v>
      </c>
      <c r="P371">
        <v>0</v>
      </c>
    </row>
    <row r="372" spans="1:16" x14ac:dyDescent="0.25">
      <c r="A372" s="1">
        <v>45334.140324074076</v>
      </c>
      <c r="B372" t="s">
        <v>30</v>
      </c>
      <c r="C372">
        <v>-79.278999999999996</v>
      </c>
      <c r="D372">
        <v>69.567999999999998</v>
      </c>
      <c r="E372">
        <v>283</v>
      </c>
      <c r="F372" t="s">
        <v>17</v>
      </c>
      <c r="G372">
        <v>27.7</v>
      </c>
      <c r="H372">
        <v>52.4</v>
      </c>
      <c r="I372" t="s">
        <v>22</v>
      </c>
      <c r="J372">
        <v>16</v>
      </c>
      <c r="K372">
        <v>280</v>
      </c>
      <c r="L372">
        <v>8</v>
      </c>
      <c r="M372" t="s">
        <v>27</v>
      </c>
      <c r="N372">
        <v>96</v>
      </c>
      <c r="O372">
        <v>297</v>
      </c>
      <c r="P372">
        <v>1</v>
      </c>
    </row>
    <row r="373" spans="1:16" x14ac:dyDescent="0.25">
      <c r="A373" s="1">
        <v>45420.162812499999</v>
      </c>
      <c r="B373" t="s">
        <v>24</v>
      </c>
      <c r="C373">
        <v>84.345100000000002</v>
      </c>
      <c r="D373">
        <v>-106.877</v>
      </c>
      <c r="E373">
        <v>453</v>
      </c>
      <c r="F373" t="s">
        <v>17</v>
      </c>
      <c r="G373">
        <v>21.8</v>
      </c>
      <c r="H373">
        <v>66.400000000000006</v>
      </c>
      <c r="I373" t="s">
        <v>28</v>
      </c>
      <c r="J373">
        <v>48</v>
      </c>
      <c r="K373">
        <v>305</v>
      </c>
      <c r="L373">
        <v>2</v>
      </c>
      <c r="M373" t="s">
        <v>31</v>
      </c>
      <c r="N373">
        <v>68.900000000000006</v>
      </c>
      <c r="O373">
        <v>212</v>
      </c>
      <c r="P373">
        <v>1</v>
      </c>
    </row>
    <row r="374" spans="1:16" x14ac:dyDescent="0.25">
      <c r="A374" s="1">
        <v>45633.535370370373</v>
      </c>
      <c r="B374" t="s">
        <v>24</v>
      </c>
      <c r="C374">
        <v>-19.072099999999999</v>
      </c>
      <c r="D374">
        <v>161.72460000000001</v>
      </c>
      <c r="E374">
        <v>392</v>
      </c>
      <c r="F374" t="s">
        <v>26</v>
      </c>
      <c r="G374">
        <v>30</v>
      </c>
      <c r="H374">
        <v>72.099999999999994</v>
      </c>
      <c r="I374" t="s">
        <v>18</v>
      </c>
      <c r="J374">
        <v>52</v>
      </c>
      <c r="K374">
        <v>329</v>
      </c>
      <c r="L374">
        <v>4</v>
      </c>
      <c r="M374" t="s">
        <v>27</v>
      </c>
      <c r="N374">
        <v>66.599999999999994</v>
      </c>
      <c r="O374">
        <v>174</v>
      </c>
      <c r="P374">
        <v>0</v>
      </c>
    </row>
    <row r="375" spans="1:16" x14ac:dyDescent="0.25">
      <c r="A375" s="1">
        <v>45622.025173611109</v>
      </c>
      <c r="B375" t="s">
        <v>20</v>
      </c>
      <c r="C375">
        <v>-69.031099999999995</v>
      </c>
      <c r="D375">
        <v>-32.957500000000003</v>
      </c>
      <c r="E375">
        <v>343</v>
      </c>
      <c r="F375" t="s">
        <v>21</v>
      </c>
      <c r="G375">
        <v>25.2</v>
      </c>
      <c r="H375">
        <v>72.599999999999994</v>
      </c>
      <c r="I375" t="s">
        <v>28</v>
      </c>
      <c r="J375">
        <v>21</v>
      </c>
      <c r="K375">
        <v>400</v>
      </c>
      <c r="L375">
        <v>9</v>
      </c>
      <c r="M375" t="s">
        <v>23</v>
      </c>
      <c r="N375">
        <v>87.7</v>
      </c>
      <c r="O375">
        <v>300</v>
      </c>
      <c r="P375">
        <v>0</v>
      </c>
    </row>
    <row r="376" spans="1:16" x14ac:dyDescent="0.25">
      <c r="A376" s="1">
        <v>45419.344027777777</v>
      </c>
      <c r="B376" t="s">
        <v>29</v>
      </c>
      <c r="C376">
        <v>87.779300000000006</v>
      </c>
      <c r="D376">
        <v>-108.9268</v>
      </c>
      <c r="E376">
        <v>144</v>
      </c>
      <c r="F376" t="s">
        <v>17</v>
      </c>
      <c r="G376">
        <v>25.8</v>
      </c>
      <c r="H376">
        <v>65.599999999999994</v>
      </c>
      <c r="I376" t="s">
        <v>18</v>
      </c>
      <c r="J376">
        <v>23</v>
      </c>
      <c r="K376">
        <v>362</v>
      </c>
      <c r="L376">
        <v>10</v>
      </c>
      <c r="M376" t="s">
        <v>27</v>
      </c>
      <c r="N376">
        <v>88.9</v>
      </c>
      <c r="O376">
        <v>199</v>
      </c>
      <c r="P376">
        <v>1</v>
      </c>
    </row>
    <row r="377" spans="1:16" x14ac:dyDescent="0.25">
      <c r="A377" s="1">
        <v>45601.915648148148</v>
      </c>
      <c r="B377" t="s">
        <v>25</v>
      </c>
      <c r="C377">
        <v>-48.363300000000002</v>
      </c>
      <c r="D377">
        <v>-36.293599999999998</v>
      </c>
      <c r="E377">
        <v>151</v>
      </c>
      <c r="F377" t="s">
        <v>17</v>
      </c>
      <c r="G377">
        <v>22.1</v>
      </c>
      <c r="H377">
        <v>59.7</v>
      </c>
      <c r="I377" t="s">
        <v>28</v>
      </c>
      <c r="J377">
        <v>58</v>
      </c>
      <c r="K377">
        <v>338</v>
      </c>
      <c r="L377">
        <v>1</v>
      </c>
      <c r="M377" t="s">
        <v>27</v>
      </c>
      <c r="N377">
        <v>81.5</v>
      </c>
      <c r="O377">
        <v>248</v>
      </c>
      <c r="P377">
        <v>1</v>
      </c>
    </row>
    <row r="378" spans="1:16" x14ac:dyDescent="0.25">
      <c r="A378" s="1">
        <v>45350.492222222223</v>
      </c>
      <c r="B378" t="s">
        <v>16</v>
      </c>
      <c r="C378">
        <v>-36.410400000000003</v>
      </c>
      <c r="D378">
        <v>-4.335</v>
      </c>
      <c r="E378">
        <v>389</v>
      </c>
      <c r="F378" t="s">
        <v>21</v>
      </c>
      <c r="G378">
        <v>27.2</v>
      </c>
      <c r="H378">
        <v>59.8</v>
      </c>
      <c r="I378" t="s">
        <v>22</v>
      </c>
      <c r="J378">
        <v>20</v>
      </c>
      <c r="K378">
        <v>129</v>
      </c>
      <c r="L378">
        <v>8</v>
      </c>
      <c r="M378" t="s">
        <v>27</v>
      </c>
      <c r="N378">
        <v>80.8</v>
      </c>
      <c r="O378">
        <v>164</v>
      </c>
      <c r="P378">
        <v>1</v>
      </c>
    </row>
    <row r="379" spans="1:16" x14ac:dyDescent="0.25">
      <c r="A379" s="1">
        <v>45398.961273148147</v>
      </c>
      <c r="B379" t="s">
        <v>30</v>
      </c>
      <c r="C379">
        <v>-39.225000000000001</v>
      </c>
      <c r="D379">
        <v>-156.4228</v>
      </c>
      <c r="E379">
        <v>355</v>
      </c>
      <c r="F379" t="s">
        <v>17</v>
      </c>
      <c r="G379">
        <v>19.2</v>
      </c>
      <c r="H379">
        <v>62.2</v>
      </c>
      <c r="I379" t="s">
        <v>28</v>
      </c>
      <c r="J379">
        <v>10</v>
      </c>
      <c r="K379">
        <v>137</v>
      </c>
      <c r="L379">
        <v>2</v>
      </c>
      <c r="M379" t="s">
        <v>27</v>
      </c>
      <c r="N379">
        <v>67</v>
      </c>
      <c r="O379">
        <v>269</v>
      </c>
      <c r="P379">
        <v>1</v>
      </c>
    </row>
    <row r="380" spans="1:16" x14ac:dyDescent="0.25">
      <c r="A380" s="1">
        <v>45624.025393518517</v>
      </c>
      <c r="B380" t="s">
        <v>24</v>
      </c>
      <c r="C380">
        <v>84.040700000000001</v>
      </c>
      <c r="D380">
        <v>-74.709800000000001</v>
      </c>
      <c r="E380">
        <v>493</v>
      </c>
      <c r="F380" t="s">
        <v>17</v>
      </c>
      <c r="G380">
        <v>20.7</v>
      </c>
      <c r="H380">
        <v>70.900000000000006</v>
      </c>
      <c r="I380" t="s">
        <v>28</v>
      </c>
      <c r="J380">
        <v>52</v>
      </c>
      <c r="K380">
        <v>478</v>
      </c>
      <c r="L380">
        <v>1</v>
      </c>
      <c r="M380" t="s">
        <v>27</v>
      </c>
      <c r="N380">
        <v>62.5</v>
      </c>
      <c r="O380">
        <v>103</v>
      </c>
      <c r="P380">
        <v>1</v>
      </c>
    </row>
    <row r="381" spans="1:16" x14ac:dyDescent="0.25">
      <c r="A381" s="1">
        <v>45331.278252314813</v>
      </c>
      <c r="B381" t="s">
        <v>25</v>
      </c>
      <c r="C381">
        <v>-68.532399999999996</v>
      </c>
      <c r="D381">
        <v>127.5394</v>
      </c>
      <c r="E381">
        <v>181</v>
      </c>
      <c r="F381" t="s">
        <v>26</v>
      </c>
      <c r="G381">
        <v>22.9</v>
      </c>
      <c r="H381">
        <v>70.3</v>
      </c>
      <c r="I381" t="s">
        <v>18</v>
      </c>
      <c r="J381">
        <v>49</v>
      </c>
      <c r="K381">
        <v>441</v>
      </c>
      <c r="L381">
        <v>7</v>
      </c>
      <c r="M381" t="s">
        <v>19</v>
      </c>
      <c r="N381">
        <v>94.7</v>
      </c>
      <c r="O381">
        <v>168</v>
      </c>
      <c r="P381">
        <v>0</v>
      </c>
    </row>
    <row r="382" spans="1:16" x14ac:dyDescent="0.25">
      <c r="A382" s="1">
        <v>45426.559282407405</v>
      </c>
      <c r="B382" t="s">
        <v>20</v>
      </c>
      <c r="C382">
        <v>-8.4586000000000006</v>
      </c>
      <c r="D382">
        <v>44.477899999999998</v>
      </c>
      <c r="E382">
        <v>342</v>
      </c>
      <c r="F382" t="s">
        <v>21</v>
      </c>
      <c r="G382">
        <v>22.6</v>
      </c>
      <c r="H382">
        <v>55.5</v>
      </c>
      <c r="I382" t="s">
        <v>18</v>
      </c>
      <c r="J382">
        <v>35</v>
      </c>
      <c r="K382">
        <v>119</v>
      </c>
      <c r="L382">
        <v>3</v>
      </c>
      <c r="M382" t="s">
        <v>19</v>
      </c>
      <c r="N382">
        <v>73.900000000000006</v>
      </c>
      <c r="O382">
        <v>199</v>
      </c>
      <c r="P382">
        <v>0</v>
      </c>
    </row>
    <row r="383" spans="1:16" x14ac:dyDescent="0.25">
      <c r="A383" s="1">
        <v>45532.564837962964</v>
      </c>
      <c r="B383" t="s">
        <v>25</v>
      </c>
      <c r="C383">
        <v>14.0092</v>
      </c>
      <c r="D383">
        <v>-131.97579999999999</v>
      </c>
      <c r="E383">
        <v>376</v>
      </c>
      <c r="F383" t="s">
        <v>17</v>
      </c>
      <c r="G383">
        <v>20.5</v>
      </c>
      <c r="H383">
        <v>55.5</v>
      </c>
      <c r="I383" t="s">
        <v>28</v>
      </c>
      <c r="J383">
        <v>34</v>
      </c>
      <c r="K383">
        <v>315</v>
      </c>
      <c r="L383">
        <v>9</v>
      </c>
      <c r="M383" t="s">
        <v>19</v>
      </c>
      <c r="N383">
        <v>70.7</v>
      </c>
      <c r="O383">
        <v>297</v>
      </c>
      <c r="P383">
        <v>1</v>
      </c>
    </row>
    <row r="384" spans="1:16" x14ac:dyDescent="0.25">
      <c r="A384" s="1">
        <v>45343.118842592594</v>
      </c>
      <c r="B384" t="s">
        <v>29</v>
      </c>
      <c r="C384">
        <v>3.6602000000000001</v>
      </c>
      <c r="D384">
        <v>107.779</v>
      </c>
      <c r="E384">
        <v>464</v>
      </c>
      <c r="F384" t="s">
        <v>21</v>
      </c>
      <c r="G384">
        <v>20.8</v>
      </c>
      <c r="H384">
        <v>50.1</v>
      </c>
      <c r="I384" t="s">
        <v>22</v>
      </c>
      <c r="J384">
        <v>16</v>
      </c>
      <c r="K384">
        <v>441</v>
      </c>
      <c r="L384">
        <v>7</v>
      </c>
      <c r="M384" t="s">
        <v>19</v>
      </c>
      <c r="N384">
        <v>91.1</v>
      </c>
      <c r="O384">
        <v>240</v>
      </c>
      <c r="P384">
        <v>1</v>
      </c>
    </row>
    <row r="385" spans="1:16" x14ac:dyDescent="0.25">
      <c r="A385" s="1">
        <v>45590.246261574073</v>
      </c>
      <c r="B385" t="s">
        <v>33</v>
      </c>
      <c r="C385">
        <v>29.341999999999999</v>
      </c>
      <c r="D385">
        <v>-68.568200000000004</v>
      </c>
      <c r="E385">
        <v>452</v>
      </c>
      <c r="F385" t="s">
        <v>21</v>
      </c>
      <c r="G385">
        <v>26.7</v>
      </c>
      <c r="H385">
        <v>64.099999999999994</v>
      </c>
      <c r="I385" t="s">
        <v>28</v>
      </c>
      <c r="J385">
        <v>36</v>
      </c>
      <c r="K385">
        <v>152</v>
      </c>
      <c r="L385">
        <v>1</v>
      </c>
      <c r="M385" t="s">
        <v>19</v>
      </c>
      <c r="N385">
        <v>90.1</v>
      </c>
      <c r="O385">
        <v>231</v>
      </c>
      <c r="P385">
        <v>0</v>
      </c>
    </row>
    <row r="386" spans="1:16" x14ac:dyDescent="0.25">
      <c r="A386" s="1">
        <v>45491.979768518519</v>
      </c>
      <c r="B386" t="s">
        <v>25</v>
      </c>
      <c r="C386">
        <v>-20.6524</v>
      </c>
      <c r="D386">
        <v>-102.5762</v>
      </c>
      <c r="E386">
        <v>228</v>
      </c>
      <c r="F386" t="s">
        <v>26</v>
      </c>
      <c r="G386">
        <v>28.7</v>
      </c>
      <c r="H386">
        <v>65</v>
      </c>
      <c r="I386" t="s">
        <v>22</v>
      </c>
      <c r="J386">
        <v>26</v>
      </c>
      <c r="K386">
        <v>271</v>
      </c>
      <c r="L386">
        <v>3</v>
      </c>
      <c r="M386" t="s">
        <v>27</v>
      </c>
      <c r="N386">
        <v>66</v>
      </c>
      <c r="O386">
        <v>290</v>
      </c>
      <c r="P386">
        <v>1</v>
      </c>
    </row>
    <row r="387" spans="1:16" x14ac:dyDescent="0.25">
      <c r="A387" s="1">
        <v>45350.977696759262</v>
      </c>
      <c r="B387" t="s">
        <v>24</v>
      </c>
      <c r="C387">
        <v>-88.695999999999998</v>
      </c>
      <c r="D387">
        <v>117.39019999999999</v>
      </c>
      <c r="E387">
        <v>288</v>
      </c>
      <c r="F387" t="s">
        <v>26</v>
      </c>
      <c r="G387">
        <v>27.1</v>
      </c>
      <c r="H387">
        <v>69.400000000000006</v>
      </c>
      <c r="I387" t="s">
        <v>22</v>
      </c>
      <c r="J387">
        <v>37</v>
      </c>
      <c r="K387">
        <v>144</v>
      </c>
      <c r="L387">
        <v>2</v>
      </c>
      <c r="M387" t="s">
        <v>19</v>
      </c>
      <c r="N387">
        <v>63.6</v>
      </c>
      <c r="O387">
        <v>126</v>
      </c>
      <c r="P387">
        <v>1</v>
      </c>
    </row>
    <row r="388" spans="1:16" x14ac:dyDescent="0.25">
      <c r="A388" s="1">
        <v>45486.65347222222</v>
      </c>
      <c r="B388" t="s">
        <v>24</v>
      </c>
      <c r="C388">
        <v>-27.031500000000001</v>
      </c>
      <c r="D388">
        <v>40.245100000000001</v>
      </c>
      <c r="E388">
        <v>133</v>
      </c>
      <c r="F388" t="s">
        <v>17</v>
      </c>
      <c r="G388">
        <v>18.600000000000001</v>
      </c>
      <c r="H388">
        <v>79.400000000000006</v>
      </c>
      <c r="I388" t="s">
        <v>28</v>
      </c>
      <c r="J388">
        <v>14</v>
      </c>
      <c r="K388">
        <v>314</v>
      </c>
      <c r="L388">
        <v>10</v>
      </c>
      <c r="M388" t="s">
        <v>31</v>
      </c>
      <c r="N388">
        <v>98.8</v>
      </c>
      <c r="O388">
        <v>109</v>
      </c>
      <c r="P388">
        <v>1</v>
      </c>
    </row>
    <row r="389" spans="1:16" x14ac:dyDescent="0.25">
      <c r="A389" s="1">
        <v>45464.175636574073</v>
      </c>
      <c r="B389" t="s">
        <v>20</v>
      </c>
      <c r="C389">
        <v>25.513500000000001</v>
      </c>
      <c r="D389">
        <v>-147.3897</v>
      </c>
      <c r="E389">
        <v>117</v>
      </c>
      <c r="F389" t="s">
        <v>21</v>
      </c>
      <c r="G389">
        <v>29.7</v>
      </c>
      <c r="H389">
        <v>63.7</v>
      </c>
      <c r="I389" t="s">
        <v>28</v>
      </c>
      <c r="J389">
        <v>17</v>
      </c>
      <c r="K389">
        <v>159</v>
      </c>
      <c r="L389">
        <v>8</v>
      </c>
      <c r="M389" t="s">
        <v>19</v>
      </c>
      <c r="N389">
        <v>77</v>
      </c>
      <c r="O389">
        <v>106</v>
      </c>
      <c r="P389">
        <v>0</v>
      </c>
    </row>
    <row r="390" spans="1:16" x14ac:dyDescent="0.25">
      <c r="A390" s="1">
        <v>45564.74895833333</v>
      </c>
      <c r="B390" t="s">
        <v>30</v>
      </c>
      <c r="C390">
        <v>68.401399999999995</v>
      </c>
      <c r="D390">
        <v>-52.086199999999998</v>
      </c>
      <c r="E390">
        <v>428</v>
      </c>
      <c r="F390" t="s">
        <v>17</v>
      </c>
      <c r="G390">
        <v>28.4</v>
      </c>
      <c r="H390">
        <v>74.2</v>
      </c>
      <c r="I390" t="s">
        <v>28</v>
      </c>
      <c r="J390">
        <v>54</v>
      </c>
      <c r="K390">
        <v>492</v>
      </c>
      <c r="L390">
        <v>1</v>
      </c>
      <c r="M390" t="s">
        <v>19</v>
      </c>
      <c r="N390">
        <v>86.2</v>
      </c>
      <c r="O390">
        <v>286</v>
      </c>
      <c r="P390">
        <v>1</v>
      </c>
    </row>
    <row r="391" spans="1:16" x14ac:dyDescent="0.25">
      <c r="A391" s="1">
        <v>45448.314363425925</v>
      </c>
      <c r="B391" t="s">
        <v>32</v>
      </c>
      <c r="C391">
        <v>-7.1543000000000001</v>
      </c>
      <c r="D391">
        <v>-132.8372</v>
      </c>
      <c r="E391">
        <v>381</v>
      </c>
      <c r="F391" t="s">
        <v>26</v>
      </c>
      <c r="G391">
        <v>18</v>
      </c>
      <c r="H391">
        <v>53</v>
      </c>
      <c r="I391" t="s">
        <v>28</v>
      </c>
      <c r="J391">
        <v>25</v>
      </c>
      <c r="K391">
        <v>398</v>
      </c>
      <c r="L391">
        <v>9</v>
      </c>
      <c r="M391" t="s">
        <v>23</v>
      </c>
      <c r="N391">
        <v>94.6</v>
      </c>
      <c r="O391">
        <v>100</v>
      </c>
      <c r="P391">
        <v>0</v>
      </c>
    </row>
    <row r="392" spans="1:16" x14ac:dyDescent="0.25">
      <c r="A392" s="1">
        <v>45645.894803240742</v>
      </c>
      <c r="B392" t="s">
        <v>25</v>
      </c>
      <c r="C392">
        <v>-78.276300000000006</v>
      </c>
      <c r="D392">
        <v>151.39429999999999</v>
      </c>
      <c r="E392">
        <v>166</v>
      </c>
      <c r="F392" t="s">
        <v>17</v>
      </c>
      <c r="G392">
        <v>22.5</v>
      </c>
      <c r="H392">
        <v>53.8</v>
      </c>
      <c r="I392" t="s">
        <v>28</v>
      </c>
      <c r="J392">
        <v>57</v>
      </c>
      <c r="K392">
        <v>442</v>
      </c>
      <c r="L392">
        <v>6</v>
      </c>
      <c r="M392" t="s">
        <v>23</v>
      </c>
      <c r="N392">
        <v>72.099999999999994</v>
      </c>
      <c r="O392">
        <v>284</v>
      </c>
      <c r="P392">
        <v>1</v>
      </c>
    </row>
    <row r="393" spans="1:16" x14ac:dyDescent="0.25">
      <c r="A393" s="1">
        <v>45405.785717592589</v>
      </c>
      <c r="B393" t="s">
        <v>30</v>
      </c>
      <c r="C393">
        <v>33.966500000000003</v>
      </c>
      <c r="D393">
        <v>-46.542299999999997</v>
      </c>
      <c r="E393">
        <v>225</v>
      </c>
      <c r="F393" t="s">
        <v>21</v>
      </c>
      <c r="G393">
        <v>26.1</v>
      </c>
      <c r="H393">
        <v>75.8</v>
      </c>
      <c r="I393" t="s">
        <v>22</v>
      </c>
      <c r="J393">
        <v>41</v>
      </c>
      <c r="K393">
        <v>286</v>
      </c>
      <c r="L393">
        <v>3</v>
      </c>
      <c r="M393" t="s">
        <v>31</v>
      </c>
      <c r="N393">
        <v>72.900000000000006</v>
      </c>
      <c r="O393">
        <v>224</v>
      </c>
      <c r="P393">
        <v>1</v>
      </c>
    </row>
    <row r="394" spans="1:16" x14ac:dyDescent="0.25">
      <c r="A394" s="1">
        <v>45339.839872685188</v>
      </c>
      <c r="B394" t="s">
        <v>30</v>
      </c>
      <c r="C394">
        <v>-59.689900000000002</v>
      </c>
      <c r="D394">
        <v>143.0428</v>
      </c>
      <c r="E394">
        <v>364</v>
      </c>
      <c r="F394" t="s">
        <v>17</v>
      </c>
      <c r="G394">
        <v>18.8</v>
      </c>
      <c r="H394">
        <v>68.2</v>
      </c>
      <c r="I394" t="s">
        <v>18</v>
      </c>
      <c r="J394">
        <v>41</v>
      </c>
      <c r="K394">
        <v>373</v>
      </c>
      <c r="L394">
        <v>1</v>
      </c>
      <c r="M394" t="s">
        <v>23</v>
      </c>
      <c r="N394">
        <v>88.7</v>
      </c>
      <c r="O394">
        <v>215</v>
      </c>
      <c r="P394">
        <v>1</v>
      </c>
    </row>
    <row r="395" spans="1:16" x14ac:dyDescent="0.25">
      <c r="A395" s="1">
        <v>45494.259074074071</v>
      </c>
      <c r="B395" t="s">
        <v>16</v>
      </c>
      <c r="C395">
        <v>25.704699999999999</v>
      </c>
      <c r="D395">
        <v>150.6302</v>
      </c>
      <c r="E395">
        <v>318</v>
      </c>
      <c r="F395" t="s">
        <v>21</v>
      </c>
      <c r="G395">
        <v>25.3</v>
      </c>
      <c r="H395">
        <v>74.599999999999994</v>
      </c>
      <c r="I395" t="s">
        <v>28</v>
      </c>
      <c r="J395">
        <v>32</v>
      </c>
      <c r="K395">
        <v>486</v>
      </c>
      <c r="L395">
        <v>9</v>
      </c>
      <c r="M395" t="s">
        <v>23</v>
      </c>
      <c r="N395">
        <v>68.099999999999994</v>
      </c>
      <c r="O395">
        <v>277</v>
      </c>
      <c r="P395">
        <v>0</v>
      </c>
    </row>
    <row r="396" spans="1:16" x14ac:dyDescent="0.25">
      <c r="A396" s="1">
        <v>45385.225162037037</v>
      </c>
      <c r="B396" t="s">
        <v>30</v>
      </c>
      <c r="C396">
        <v>15.4009</v>
      </c>
      <c r="D396">
        <v>52.353700000000003</v>
      </c>
      <c r="E396">
        <v>417</v>
      </c>
      <c r="F396" t="s">
        <v>21</v>
      </c>
      <c r="G396">
        <v>20</v>
      </c>
      <c r="H396">
        <v>61</v>
      </c>
      <c r="I396" t="s">
        <v>22</v>
      </c>
      <c r="J396">
        <v>54</v>
      </c>
      <c r="K396">
        <v>300</v>
      </c>
      <c r="L396">
        <v>4</v>
      </c>
      <c r="M396" t="s">
        <v>27</v>
      </c>
      <c r="N396">
        <v>74.5</v>
      </c>
      <c r="O396">
        <v>156</v>
      </c>
      <c r="P396">
        <v>1</v>
      </c>
    </row>
    <row r="397" spans="1:16" x14ac:dyDescent="0.25">
      <c r="A397" s="1">
        <v>45587.44703703704</v>
      </c>
      <c r="B397" t="s">
        <v>16</v>
      </c>
      <c r="C397">
        <v>-86.779899999999998</v>
      </c>
      <c r="D397">
        <v>-102.14960000000001</v>
      </c>
      <c r="E397">
        <v>180</v>
      </c>
      <c r="F397" t="s">
        <v>17</v>
      </c>
      <c r="G397">
        <v>18.5</v>
      </c>
      <c r="H397">
        <v>52.1</v>
      </c>
      <c r="I397" t="s">
        <v>28</v>
      </c>
      <c r="J397">
        <v>10</v>
      </c>
      <c r="K397">
        <v>182</v>
      </c>
      <c r="L397">
        <v>5</v>
      </c>
      <c r="M397" t="s">
        <v>31</v>
      </c>
      <c r="N397">
        <v>99</v>
      </c>
      <c r="O397">
        <v>279</v>
      </c>
      <c r="P397">
        <v>1</v>
      </c>
    </row>
    <row r="398" spans="1:16" x14ac:dyDescent="0.25">
      <c r="A398" s="1">
        <v>45410.527025462965</v>
      </c>
      <c r="B398" t="s">
        <v>32</v>
      </c>
      <c r="C398">
        <v>40.340600000000002</v>
      </c>
      <c r="D398">
        <v>159.07230000000001</v>
      </c>
      <c r="E398">
        <v>134</v>
      </c>
      <c r="F398" t="s">
        <v>17</v>
      </c>
      <c r="G398">
        <v>24.1</v>
      </c>
      <c r="H398">
        <v>68.2</v>
      </c>
      <c r="I398" t="s">
        <v>22</v>
      </c>
      <c r="J398">
        <v>35</v>
      </c>
      <c r="K398">
        <v>187</v>
      </c>
      <c r="L398">
        <v>6</v>
      </c>
      <c r="M398" t="s">
        <v>31</v>
      </c>
      <c r="N398">
        <v>99.9</v>
      </c>
      <c r="O398">
        <v>102</v>
      </c>
      <c r="P398">
        <v>1</v>
      </c>
    </row>
    <row r="399" spans="1:16" x14ac:dyDescent="0.25">
      <c r="A399" s="1">
        <v>45563.507835648146</v>
      </c>
      <c r="B399" t="s">
        <v>32</v>
      </c>
      <c r="C399">
        <v>40.400500000000001</v>
      </c>
      <c r="D399">
        <v>-149.15209999999999</v>
      </c>
      <c r="E399">
        <v>237</v>
      </c>
      <c r="F399" t="s">
        <v>21</v>
      </c>
      <c r="G399">
        <v>28.1</v>
      </c>
      <c r="H399">
        <v>75.5</v>
      </c>
      <c r="I399" t="s">
        <v>18</v>
      </c>
      <c r="J399">
        <v>18</v>
      </c>
      <c r="K399">
        <v>349</v>
      </c>
      <c r="L399">
        <v>2</v>
      </c>
      <c r="M399" t="s">
        <v>23</v>
      </c>
      <c r="N399">
        <v>90.5</v>
      </c>
      <c r="O399">
        <v>189</v>
      </c>
      <c r="P399">
        <v>0</v>
      </c>
    </row>
    <row r="400" spans="1:16" x14ac:dyDescent="0.25">
      <c r="A400" s="1">
        <v>45544.493923611109</v>
      </c>
      <c r="B400" t="s">
        <v>34</v>
      </c>
      <c r="C400">
        <v>-85.135199999999998</v>
      </c>
      <c r="D400">
        <v>73.251099999999994</v>
      </c>
      <c r="E400">
        <v>259</v>
      </c>
      <c r="F400" t="s">
        <v>17</v>
      </c>
      <c r="G400">
        <v>26.6</v>
      </c>
      <c r="H400">
        <v>53</v>
      </c>
      <c r="I400" t="s">
        <v>28</v>
      </c>
      <c r="J400">
        <v>28</v>
      </c>
      <c r="K400">
        <v>118</v>
      </c>
      <c r="L400">
        <v>4</v>
      </c>
      <c r="M400" t="s">
        <v>27</v>
      </c>
      <c r="N400">
        <v>60.2</v>
      </c>
      <c r="O400">
        <v>249</v>
      </c>
      <c r="P400">
        <v>1</v>
      </c>
    </row>
    <row r="401" spans="1:16" x14ac:dyDescent="0.25">
      <c r="A401" s="1">
        <v>45567.909201388888</v>
      </c>
      <c r="B401" t="s">
        <v>33</v>
      </c>
      <c r="C401">
        <v>-1.28</v>
      </c>
      <c r="D401">
        <v>1.0167999999999999</v>
      </c>
      <c r="E401">
        <v>463</v>
      </c>
      <c r="F401" t="s">
        <v>21</v>
      </c>
      <c r="G401">
        <v>19.8</v>
      </c>
      <c r="H401">
        <v>54.5</v>
      </c>
      <c r="I401" t="s">
        <v>22</v>
      </c>
      <c r="J401">
        <v>12</v>
      </c>
      <c r="K401">
        <v>408</v>
      </c>
      <c r="L401">
        <v>8</v>
      </c>
      <c r="M401" t="s">
        <v>27</v>
      </c>
      <c r="N401">
        <v>71.2</v>
      </c>
      <c r="O401">
        <v>229</v>
      </c>
      <c r="P401">
        <v>1</v>
      </c>
    </row>
    <row r="402" spans="1:16" x14ac:dyDescent="0.25">
      <c r="A402" s="1">
        <v>45417.237615740742</v>
      </c>
      <c r="B402" t="s">
        <v>24</v>
      </c>
      <c r="C402">
        <v>45.261699999999998</v>
      </c>
      <c r="D402">
        <v>-152.39519999999999</v>
      </c>
      <c r="E402">
        <v>290</v>
      </c>
      <c r="F402" t="s">
        <v>26</v>
      </c>
      <c r="G402">
        <v>23.7</v>
      </c>
      <c r="H402">
        <v>53.5</v>
      </c>
      <c r="I402" t="s">
        <v>18</v>
      </c>
      <c r="J402">
        <v>44</v>
      </c>
      <c r="K402">
        <v>237</v>
      </c>
      <c r="L402">
        <v>5</v>
      </c>
      <c r="M402" t="s">
        <v>31</v>
      </c>
      <c r="N402">
        <v>85.8</v>
      </c>
      <c r="O402">
        <v>270</v>
      </c>
      <c r="P402">
        <v>0</v>
      </c>
    </row>
    <row r="403" spans="1:16" x14ac:dyDescent="0.25">
      <c r="A403" s="1">
        <v>45433.106585648151</v>
      </c>
      <c r="B403" t="s">
        <v>32</v>
      </c>
      <c r="C403">
        <v>-14.7713</v>
      </c>
      <c r="D403">
        <v>-117.3565</v>
      </c>
      <c r="E403">
        <v>345</v>
      </c>
      <c r="F403" t="s">
        <v>17</v>
      </c>
      <c r="G403">
        <v>21.3</v>
      </c>
      <c r="H403">
        <v>53.6</v>
      </c>
      <c r="I403" t="s">
        <v>28</v>
      </c>
      <c r="J403">
        <v>35</v>
      </c>
      <c r="K403">
        <v>388</v>
      </c>
      <c r="L403">
        <v>4</v>
      </c>
      <c r="M403" t="s">
        <v>23</v>
      </c>
      <c r="N403">
        <v>83.5</v>
      </c>
      <c r="O403">
        <v>159</v>
      </c>
      <c r="P403">
        <v>1</v>
      </c>
    </row>
    <row r="404" spans="1:16" x14ac:dyDescent="0.25">
      <c r="A404" s="1">
        <v>45366.930104166669</v>
      </c>
      <c r="B404" t="s">
        <v>20</v>
      </c>
      <c r="C404">
        <v>51.422499999999999</v>
      </c>
      <c r="D404">
        <v>112.33620000000001</v>
      </c>
      <c r="E404">
        <v>165</v>
      </c>
      <c r="F404" t="s">
        <v>17</v>
      </c>
      <c r="G404">
        <v>25.6</v>
      </c>
      <c r="H404">
        <v>61.7</v>
      </c>
      <c r="I404" t="s">
        <v>18</v>
      </c>
      <c r="J404">
        <v>50</v>
      </c>
      <c r="K404">
        <v>149</v>
      </c>
      <c r="L404">
        <v>10</v>
      </c>
      <c r="M404" t="s">
        <v>27</v>
      </c>
      <c r="N404">
        <v>62.6</v>
      </c>
      <c r="O404">
        <v>252</v>
      </c>
      <c r="P404">
        <v>1</v>
      </c>
    </row>
    <row r="405" spans="1:16" x14ac:dyDescent="0.25">
      <c r="A405" s="1">
        <v>45329.823495370372</v>
      </c>
      <c r="B405" t="s">
        <v>33</v>
      </c>
      <c r="C405">
        <v>-15.299099999999999</v>
      </c>
      <c r="D405">
        <v>-95.011200000000002</v>
      </c>
      <c r="E405">
        <v>259</v>
      </c>
      <c r="F405" t="s">
        <v>21</v>
      </c>
      <c r="G405">
        <v>27</v>
      </c>
      <c r="H405">
        <v>79.7</v>
      </c>
      <c r="I405" t="s">
        <v>22</v>
      </c>
      <c r="J405">
        <v>15</v>
      </c>
      <c r="K405">
        <v>167</v>
      </c>
      <c r="L405">
        <v>9</v>
      </c>
      <c r="M405" t="s">
        <v>27</v>
      </c>
      <c r="N405">
        <v>88.6</v>
      </c>
      <c r="O405">
        <v>147</v>
      </c>
      <c r="P405">
        <v>1</v>
      </c>
    </row>
    <row r="406" spans="1:16" x14ac:dyDescent="0.25">
      <c r="A406" s="1">
        <v>45423.221365740741</v>
      </c>
      <c r="B406" t="s">
        <v>16</v>
      </c>
      <c r="C406">
        <v>86.6678</v>
      </c>
      <c r="D406">
        <v>-139.69550000000001</v>
      </c>
      <c r="E406">
        <v>330</v>
      </c>
      <c r="F406" t="s">
        <v>26</v>
      </c>
      <c r="G406">
        <v>26.9</v>
      </c>
      <c r="H406">
        <v>62.9</v>
      </c>
      <c r="I406" t="s">
        <v>18</v>
      </c>
      <c r="J406">
        <v>47</v>
      </c>
      <c r="K406">
        <v>382</v>
      </c>
      <c r="L406">
        <v>6</v>
      </c>
      <c r="M406" t="s">
        <v>23</v>
      </c>
      <c r="N406">
        <v>90.3</v>
      </c>
      <c r="O406">
        <v>115</v>
      </c>
      <c r="P406">
        <v>0</v>
      </c>
    </row>
    <row r="407" spans="1:16" x14ac:dyDescent="0.25">
      <c r="A407" s="1">
        <v>45322.23028935185</v>
      </c>
      <c r="B407" t="s">
        <v>34</v>
      </c>
      <c r="C407">
        <v>44.544199999999996</v>
      </c>
      <c r="D407">
        <v>-73.434600000000003</v>
      </c>
      <c r="E407">
        <v>467</v>
      </c>
      <c r="F407" t="s">
        <v>26</v>
      </c>
      <c r="G407">
        <v>19.3</v>
      </c>
      <c r="H407">
        <v>62.1</v>
      </c>
      <c r="I407" t="s">
        <v>18</v>
      </c>
      <c r="J407">
        <v>39</v>
      </c>
      <c r="K407">
        <v>180</v>
      </c>
      <c r="L407">
        <v>8</v>
      </c>
      <c r="M407" t="s">
        <v>31</v>
      </c>
      <c r="N407">
        <v>63.8</v>
      </c>
      <c r="O407">
        <v>145</v>
      </c>
      <c r="P407">
        <v>0</v>
      </c>
    </row>
    <row r="408" spans="1:16" x14ac:dyDescent="0.25">
      <c r="A408" s="1">
        <v>45597.061203703706</v>
      </c>
      <c r="B408" t="s">
        <v>33</v>
      </c>
      <c r="C408">
        <v>-48.450299999999999</v>
      </c>
      <c r="D408">
        <v>-99.997799999999998</v>
      </c>
      <c r="E408">
        <v>329</v>
      </c>
      <c r="F408" t="s">
        <v>21</v>
      </c>
      <c r="G408">
        <v>26.7</v>
      </c>
      <c r="H408">
        <v>56.2</v>
      </c>
      <c r="I408" t="s">
        <v>18</v>
      </c>
      <c r="J408">
        <v>16</v>
      </c>
      <c r="K408">
        <v>261</v>
      </c>
      <c r="L408">
        <v>9</v>
      </c>
      <c r="M408" t="s">
        <v>27</v>
      </c>
      <c r="N408">
        <v>90.7</v>
      </c>
      <c r="O408">
        <v>104</v>
      </c>
      <c r="P408">
        <v>0</v>
      </c>
    </row>
    <row r="409" spans="1:16" x14ac:dyDescent="0.25">
      <c r="A409" s="1">
        <v>45354.178483796299</v>
      </c>
      <c r="B409" t="s">
        <v>25</v>
      </c>
      <c r="C409">
        <v>-37.3934</v>
      </c>
      <c r="D409">
        <v>31.409300000000002</v>
      </c>
      <c r="E409">
        <v>122</v>
      </c>
      <c r="F409" t="s">
        <v>26</v>
      </c>
      <c r="G409">
        <v>22.9</v>
      </c>
      <c r="H409">
        <v>64</v>
      </c>
      <c r="I409" t="s">
        <v>22</v>
      </c>
      <c r="J409">
        <v>24</v>
      </c>
      <c r="K409">
        <v>409</v>
      </c>
      <c r="L409">
        <v>5</v>
      </c>
      <c r="M409" t="s">
        <v>31</v>
      </c>
      <c r="N409">
        <v>99.7</v>
      </c>
      <c r="O409">
        <v>184</v>
      </c>
      <c r="P409">
        <v>1</v>
      </c>
    </row>
    <row r="410" spans="1:16" x14ac:dyDescent="0.25">
      <c r="A410" s="1">
        <v>45360.007337962961</v>
      </c>
      <c r="B410" t="s">
        <v>33</v>
      </c>
      <c r="C410">
        <v>34.071199999999997</v>
      </c>
      <c r="D410">
        <v>123.02370000000001</v>
      </c>
      <c r="E410">
        <v>146</v>
      </c>
      <c r="F410" t="s">
        <v>21</v>
      </c>
      <c r="G410">
        <v>24.2</v>
      </c>
      <c r="H410">
        <v>69.099999999999994</v>
      </c>
      <c r="I410" t="s">
        <v>28</v>
      </c>
      <c r="J410">
        <v>58</v>
      </c>
      <c r="K410">
        <v>301</v>
      </c>
      <c r="L410">
        <v>2</v>
      </c>
      <c r="M410" t="s">
        <v>19</v>
      </c>
      <c r="N410">
        <v>82</v>
      </c>
      <c r="O410">
        <v>238</v>
      </c>
      <c r="P410">
        <v>0</v>
      </c>
    </row>
    <row r="411" spans="1:16" x14ac:dyDescent="0.25">
      <c r="A411" s="1">
        <v>45399.728148148148</v>
      </c>
      <c r="B411" t="s">
        <v>24</v>
      </c>
      <c r="C411">
        <v>-21.563300000000002</v>
      </c>
      <c r="D411">
        <v>-12.848699999999999</v>
      </c>
      <c r="E411">
        <v>419</v>
      </c>
      <c r="F411" t="s">
        <v>26</v>
      </c>
      <c r="G411">
        <v>26.1</v>
      </c>
      <c r="H411">
        <v>62</v>
      </c>
      <c r="I411" t="s">
        <v>22</v>
      </c>
      <c r="J411">
        <v>19</v>
      </c>
      <c r="K411">
        <v>484</v>
      </c>
      <c r="L411">
        <v>8</v>
      </c>
      <c r="M411" t="s">
        <v>19</v>
      </c>
      <c r="N411">
        <v>96.4</v>
      </c>
      <c r="O411">
        <v>262</v>
      </c>
      <c r="P411">
        <v>1</v>
      </c>
    </row>
    <row r="412" spans="1:16" x14ac:dyDescent="0.25">
      <c r="A412" s="1">
        <v>45556.439641203702</v>
      </c>
      <c r="B412" t="s">
        <v>16</v>
      </c>
      <c r="C412">
        <v>-33.375599999999999</v>
      </c>
      <c r="D412">
        <v>7.8261000000000003</v>
      </c>
      <c r="E412">
        <v>143</v>
      </c>
      <c r="F412" t="s">
        <v>21</v>
      </c>
      <c r="G412">
        <v>20.100000000000001</v>
      </c>
      <c r="H412">
        <v>57</v>
      </c>
      <c r="I412" t="s">
        <v>18</v>
      </c>
      <c r="J412">
        <v>41</v>
      </c>
      <c r="K412">
        <v>143</v>
      </c>
      <c r="L412">
        <v>9</v>
      </c>
      <c r="M412" t="s">
        <v>19</v>
      </c>
      <c r="N412">
        <v>62.1</v>
      </c>
      <c r="O412">
        <v>106</v>
      </c>
      <c r="P412">
        <v>0</v>
      </c>
    </row>
    <row r="413" spans="1:16" x14ac:dyDescent="0.25">
      <c r="A413" s="1">
        <v>45333.438773148147</v>
      </c>
      <c r="B413" t="s">
        <v>24</v>
      </c>
      <c r="C413">
        <v>-61.848999999999997</v>
      </c>
      <c r="D413">
        <v>-123.7835</v>
      </c>
      <c r="E413">
        <v>445</v>
      </c>
      <c r="F413" t="s">
        <v>26</v>
      </c>
      <c r="G413">
        <v>19.8</v>
      </c>
      <c r="H413">
        <v>54.1</v>
      </c>
      <c r="I413" t="s">
        <v>28</v>
      </c>
      <c r="J413">
        <v>39</v>
      </c>
      <c r="K413">
        <v>375</v>
      </c>
      <c r="L413">
        <v>2</v>
      </c>
      <c r="M413" t="s">
        <v>23</v>
      </c>
      <c r="N413">
        <v>88.3</v>
      </c>
      <c r="O413">
        <v>247</v>
      </c>
      <c r="P413">
        <v>0</v>
      </c>
    </row>
    <row r="414" spans="1:16" x14ac:dyDescent="0.25">
      <c r="A414" s="1">
        <v>45458.499756944446</v>
      </c>
      <c r="B414" t="s">
        <v>34</v>
      </c>
      <c r="C414">
        <v>88.568600000000004</v>
      </c>
      <c r="D414">
        <v>-161.73820000000001</v>
      </c>
      <c r="E414">
        <v>450</v>
      </c>
      <c r="F414" t="s">
        <v>17</v>
      </c>
      <c r="G414">
        <v>18.7</v>
      </c>
      <c r="H414">
        <v>56.4</v>
      </c>
      <c r="I414" t="s">
        <v>18</v>
      </c>
      <c r="J414">
        <v>12</v>
      </c>
      <c r="K414">
        <v>140</v>
      </c>
      <c r="L414">
        <v>8</v>
      </c>
      <c r="M414" t="s">
        <v>31</v>
      </c>
      <c r="N414">
        <v>61.9</v>
      </c>
      <c r="O414">
        <v>160</v>
      </c>
      <c r="P414">
        <v>1</v>
      </c>
    </row>
    <row r="415" spans="1:16" x14ac:dyDescent="0.25">
      <c r="A415" s="1">
        <v>45513.125393518516</v>
      </c>
      <c r="B415" t="s">
        <v>30</v>
      </c>
      <c r="C415">
        <v>-69.408000000000001</v>
      </c>
      <c r="D415">
        <v>-8.1702999999999992</v>
      </c>
      <c r="E415">
        <v>451</v>
      </c>
      <c r="F415" t="s">
        <v>26</v>
      </c>
      <c r="G415">
        <v>22.5</v>
      </c>
      <c r="H415">
        <v>51.6</v>
      </c>
      <c r="I415" t="s">
        <v>18</v>
      </c>
      <c r="J415">
        <v>28</v>
      </c>
      <c r="K415">
        <v>421</v>
      </c>
      <c r="L415">
        <v>6</v>
      </c>
      <c r="M415" t="s">
        <v>19</v>
      </c>
      <c r="N415">
        <v>68.8</v>
      </c>
      <c r="O415">
        <v>107</v>
      </c>
      <c r="P415">
        <v>0</v>
      </c>
    </row>
    <row r="416" spans="1:16" x14ac:dyDescent="0.25">
      <c r="A416" s="1">
        <v>45495.039120370369</v>
      </c>
      <c r="B416" t="s">
        <v>29</v>
      </c>
      <c r="C416">
        <v>-49.1524</v>
      </c>
      <c r="D416">
        <v>14.116400000000001</v>
      </c>
      <c r="E416">
        <v>425</v>
      </c>
      <c r="F416" t="s">
        <v>17</v>
      </c>
      <c r="G416">
        <v>22.4</v>
      </c>
      <c r="H416">
        <v>65.900000000000006</v>
      </c>
      <c r="I416" t="s">
        <v>28</v>
      </c>
      <c r="J416">
        <v>30</v>
      </c>
      <c r="K416">
        <v>452</v>
      </c>
      <c r="L416">
        <v>10</v>
      </c>
      <c r="M416" t="s">
        <v>27</v>
      </c>
      <c r="N416">
        <v>91.4</v>
      </c>
      <c r="O416">
        <v>163</v>
      </c>
      <c r="P416">
        <v>1</v>
      </c>
    </row>
    <row r="417" spans="1:16" x14ac:dyDescent="0.25">
      <c r="A417" s="1">
        <v>45521.317384259259</v>
      </c>
      <c r="B417" t="s">
        <v>32</v>
      </c>
      <c r="C417">
        <v>27.786999999999999</v>
      </c>
      <c r="D417">
        <v>8.2287999999999997</v>
      </c>
      <c r="E417">
        <v>235</v>
      </c>
      <c r="F417" t="s">
        <v>26</v>
      </c>
      <c r="G417">
        <v>25.8</v>
      </c>
      <c r="H417">
        <v>62.6</v>
      </c>
      <c r="I417" t="s">
        <v>22</v>
      </c>
      <c r="J417">
        <v>51</v>
      </c>
      <c r="K417">
        <v>171</v>
      </c>
      <c r="L417">
        <v>6</v>
      </c>
      <c r="M417" t="s">
        <v>31</v>
      </c>
      <c r="N417">
        <v>87.5</v>
      </c>
      <c r="O417">
        <v>207</v>
      </c>
      <c r="P417">
        <v>1</v>
      </c>
    </row>
    <row r="418" spans="1:16" x14ac:dyDescent="0.25">
      <c r="A418" s="1">
        <v>45637.991319444445</v>
      </c>
      <c r="B418" t="s">
        <v>16</v>
      </c>
      <c r="C418">
        <v>-13.8485</v>
      </c>
      <c r="D418">
        <v>119.2071</v>
      </c>
      <c r="E418">
        <v>181</v>
      </c>
      <c r="F418" t="s">
        <v>21</v>
      </c>
      <c r="G418">
        <v>29.7</v>
      </c>
      <c r="H418">
        <v>51.8</v>
      </c>
      <c r="I418" t="s">
        <v>28</v>
      </c>
      <c r="J418">
        <v>38</v>
      </c>
      <c r="K418">
        <v>388</v>
      </c>
      <c r="L418">
        <v>10</v>
      </c>
      <c r="M418" t="s">
        <v>19</v>
      </c>
      <c r="N418">
        <v>92.4</v>
      </c>
      <c r="O418">
        <v>292</v>
      </c>
      <c r="P418">
        <v>0</v>
      </c>
    </row>
    <row r="419" spans="1:16" x14ac:dyDescent="0.25">
      <c r="A419" s="1">
        <v>45547.004618055558</v>
      </c>
      <c r="B419" t="s">
        <v>33</v>
      </c>
      <c r="C419">
        <v>25.500299999999999</v>
      </c>
      <c r="D419">
        <v>-47.571800000000003</v>
      </c>
      <c r="E419">
        <v>370</v>
      </c>
      <c r="F419" t="s">
        <v>26</v>
      </c>
      <c r="G419">
        <v>23.5</v>
      </c>
      <c r="H419">
        <v>74.400000000000006</v>
      </c>
      <c r="I419" t="s">
        <v>22</v>
      </c>
      <c r="J419">
        <v>60</v>
      </c>
      <c r="K419">
        <v>105</v>
      </c>
      <c r="L419">
        <v>1</v>
      </c>
      <c r="M419" t="s">
        <v>19</v>
      </c>
      <c r="N419">
        <v>99.5</v>
      </c>
      <c r="O419">
        <v>128</v>
      </c>
      <c r="P419">
        <v>1</v>
      </c>
    </row>
    <row r="420" spans="1:16" x14ac:dyDescent="0.25">
      <c r="A420" s="1">
        <v>45481.588530092595</v>
      </c>
      <c r="B420" t="s">
        <v>33</v>
      </c>
      <c r="C420">
        <v>69.410600000000002</v>
      </c>
      <c r="D420">
        <v>61.736800000000002</v>
      </c>
      <c r="E420">
        <v>102</v>
      </c>
      <c r="F420" t="s">
        <v>17</v>
      </c>
      <c r="G420">
        <v>25.6</v>
      </c>
      <c r="H420">
        <v>76</v>
      </c>
      <c r="I420" t="s">
        <v>22</v>
      </c>
      <c r="J420">
        <v>50</v>
      </c>
      <c r="K420">
        <v>444</v>
      </c>
      <c r="L420">
        <v>9</v>
      </c>
      <c r="M420" t="s">
        <v>27</v>
      </c>
      <c r="N420">
        <v>88.3</v>
      </c>
      <c r="O420">
        <v>105</v>
      </c>
      <c r="P420">
        <v>1</v>
      </c>
    </row>
    <row r="421" spans="1:16" x14ac:dyDescent="0.25">
      <c r="A421" s="1">
        <v>45357.551793981482</v>
      </c>
      <c r="B421" t="s">
        <v>33</v>
      </c>
      <c r="C421">
        <v>-6.8963999999999999</v>
      </c>
      <c r="D421">
        <v>-35.541800000000002</v>
      </c>
      <c r="E421">
        <v>200</v>
      </c>
      <c r="F421" t="s">
        <v>26</v>
      </c>
      <c r="G421">
        <v>18.5</v>
      </c>
      <c r="H421">
        <v>77.7</v>
      </c>
      <c r="I421" t="s">
        <v>18</v>
      </c>
      <c r="J421">
        <v>24</v>
      </c>
      <c r="K421">
        <v>158</v>
      </c>
      <c r="L421">
        <v>4</v>
      </c>
      <c r="M421" t="s">
        <v>19</v>
      </c>
      <c r="N421">
        <v>82.5</v>
      </c>
      <c r="O421">
        <v>234</v>
      </c>
      <c r="P421">
        <v>0</v>
      </c>
    </row>
    <row r="422" spans="1:16" x14ac:dyDescent="0.25">
      <c r="A422" s="1">
        <v>45595.20517361111</v>
      </c>
      <c r="B422" t="s">
        <v>20</v>
      </c>
      <c r="C422">
        <v>-0.1148</v>
      </c>
      <c r="D422">
        <v>-127.6784</v>
      </c>
      <c r="E422">
        <v>292</v>
      </c>
      <c r="F422" t="s">
        <v>21</v>
      </c>
      <c r="G422">
        <v>23.2</v>
      </c>
      <c r="H422">
        <v>68.099999999999994</v>
      </c>
      <c r="I422" t="s">
        <v>22</v>
      </c>
      <c r="J422">
        <v>41</v>
      </c>
      <c r="K422">
        <v>440</v>
      </c>
      <c r="L422">
        <v>10</v>
      </c>
      <c r="M422" t="s">
        <v>31</v>
      </c>
      <c r="N422">
        <v>88.9</v>
      </c>
      <c r="O422">
        <v>160</v>
      </c>
      <c r="P422">
        <v>1</v>
      </c>
    </row>
    <row r="423" spans="1:16" x14ac:dyDescent="0.25">
      <c r="A423" s="1">
        <v>45572.454629629632</v>
      </c>
      <c r="B423" t="s">
        <v>34</v>
      </c>
      <c r="C423">
        <v>-41.427900000000001</v>
      </c>
      <c r="D423">
        <v>178.86940000000001</v>
      </c>
      <c r="E423">
        <v>401</v>
      </c>
      <c r="F423" t="s">
        <v>21</v>
      </c>
      <c r="G423">
        <v>28.2</v>
      </c>
      <c r="H423">
        <v>51</v>
      </c>
      <c r="I423" t="s">
        <v>28</v>
      </c>
      <c r="J423">
        <v>51</v>
      </c>
      <c r="K423">
        <v>327</v>
      </c>
      <c r="L423">
        <v>3</v>
      </c>
      <c r="M423" t="s">
        <v>19</v>
      </c>
      <c r="N423">
        <v>85.6</v>
      </c>
      <c r="O423">
        <v>138</v>
      </c>
      <c r="P423">
        <v>0</v>
      </c>
    </row>
    <row r="424" spans="1:16" x14ac:dyDescent="0.25">
      <c r="A424" s="1">
        <v>45449.953252314815</v>
      </c>
      <c r="B424" t="s">
        <v>33</v>
      </c>
      <c r="C424">
        <v>-0.93330000000000002</v>
      </c>
      <c r="D424">
        <v>124.84950000000001</v>
      </c>
      <c r="E424">
        <v>305</v>
      </c>
      <c r="F424" t="s">
        <v>17</v>
      </c>
      <c r="G424">
        <v>27.4</v>
      </c>
      <c r="H424">
        <v>50.8</v>
      </c>
      <c r="I424" t="s">
        <v>28</v>
      </c>
      <c r="J424">
        <v>34</v>
      </c>
      <c r="K424">
        <v>474</v>
      </c>
      <c r="L424">
        <v>1</v>
      </c>
      <c r="M424" t="s">
        <v>31</v>
      </c>
      <c r="N424">
        <v>82</v>
      </c>
      <c r="O424">
        <v>226</v>
      </c>
      <c r="P424">
        <v>1</v>
      </c>
    </row>
    <row r="425" spans="1:16" x14ac:dyDescent="0.25">
      <c r="A425" s="1">
        <v>45402.010115740741</v>
      </c>
      <c r="B425" t="s">
        <v>33</v>
      </c>
      <c r="C425">
        <v>-58.217500000000001</v>
      </c>
      <c r="D425">
        <v>7.2698999999999998</v>
      </c>
      <c r="E425">
        <v>441</v>
      </c>
      <c r="F425" t="s">
        <v>21</v>
      </c>
      <c r="G425">
        <v>25</v>
      </c>
      <c r="H425">
        <v>75.400000000000006</v>
      </c>
      <c r="I425" t="s">
        <v>22</v>
      </c>
      <c r="J425">
        <v>58</v>
      </c>
      <c r="K425">
        <v>149</v>
      </c>
      <c r="L425">
        <v>10</v>
      </c>
      <c r="M425" t="s">
        <v>27</v>
      </c>
      <c r="N425">
        <v>61.3</v>
      </c>
      <c r="O425">
        <v>247</v>
      </c>
      <c r="P425">
        <v>1</v>
      </c>
    </row>
    <row r="426" spans="1:16" x14ac:dyDescent="0.25">
      <c r="A426" s="1">
        <v>45506.007569444446</v>
      </c>
      <c r="B426" t="s">
        <v>30</v>
      </c>
      <c r="C426">
        <v>83.328699999999998</v>
      </c>
      <c r="D426">
        <v>-84.273799999999994</v>
      </c>
      <c r="E426">
        <v>130</v>
      </c>
      <c r="F426" t="s">
        <v>17</v>
      </c>
      <c r="G426">
        <v>18.7</v>
      </c>
      <c r="H426">
        <v>67.2</v>
      </c>
      <c r="I426" t="s">
        <v>28</v>
      </c>
      <c r="J426">
        <v>47</v>
      </c>
      <c r="K426">
        <v>367</v>
      </c>
      <c r="L426">
        <v>1</v>
      </c>
      <c r="M426" t="s">
        <v>27</v>
      </c>
      <c r="N426">
        <v>81.7</v>
      </c>
      <c r="O426">
        <v>131</v>
      </c>
      <c r="P426">
        <v>1</v>
      </c>
    </row>
    <row r="427" spans="1:16" x14ac:dyDescent="0.25">
      <c r="A427" s="1">
        <v>45568.120868055557</v>
      </c>
      <c r="B427" t="s">
        <v>20</v>
      </c>
      <c r="C427">
        <v>-33.2637</v>
      </c>
      <c r="D427">
        <v>45.412199999999999</v>
      </c>
      <c r="E427">
        <v>265</v>
      </c>
      <c r="F427" t="s">
        <v>21</v>
      </c>
      <c r="G427">
        <v>23.4</v>
      </c>
      <c r="H427">
        <v>56.1</v>
      </c>
      <c r="I427" t="s">
        <v>18</v>
      </c>
      <c r="J427">
        <v>34</v>
      </c>
      <c r="K427">
        <v>406</v>
      </c>
      <c r="L427">
        <v>6</v>
      </c>
      <c r="M427" t="s">
        <v>31</v>
      </c>
      <c r="N427">
        <v>95</v>
      </c>
      <c r="O427">
        <v>133</v>
      </c>
      <c r="P427">
        <v>0</v>
      </c>
    </row>
    <row r="428" spans="1:16" x14ac:dyDescent="0.25">
      <c r="A428" s="1">
        <v>45558.942928240744</v>
      </c>
      <c r="B428" t="s">
        <v>35</v>
      </c>
      <c r="C428">
        <v>74.335599999999999</v>
      </c>
      <c r="D428">
        <v>112.5528</v>
      </c>
      <c r="E428">
        <v>426</v>
      </c>
      <c r="F428" t="s">
        <v>26</v>
      </c>
      <c r="G428">
        <v>26.3</v>
      </c>
      <c r="H428">
        <v>77.7</v>
      </c>
      <c r="I428" t="s">
        <v>18</v>
      </c>
      <c r="J428">
        <v>58</v>
      </c>
      <c r="K428">
        <v>373</v>
      </c>
      <c r="L428">
        <v>6</v>
      </c>
      <c r="M428" t="s">
        <v>27</v>
      </c>
      <c r="N428">
        <v>93</v>
      </c>
      <c r="O428">
        <v>125</v>
      </c>
      <c r="P428">
        <v>0</v>
      </c>
    </row>
    <row r="429" spans="1:16" x14ac:dyDescent="0.25">
      <c r="A429" s="1">
        <v>45339.674560185187</v>
      </c>
      <c r="B429" t="s">
        <v>20</v>
      </c>
      <c r="C429">
        <v>-53.301499999999997</v>
      </c>
      <c r="D429">
        <v>11.4861</v>
      </c>
      <c r="E429">
        <v>432</v>
      </c>
      <c r="F429" t="s">
        <v>21</v>
      </c>
      <c r="G429">
        <v>28</v>
      </c>
      <c r="H429">
        <v>65.2</v>
      </c>
      <c r="I429" t="s">
        <v>22</v>
      </c>
      <c r="J429">
        <v>35</v>
      </c>
      <c r="K429">
        <v>499</v>
      </c>
      <c r="L429">
        <v>8</v>
      </c>
      <c r="M429" t="s">
        <v>23</v>
      </c>
      <c r="N429">
        <v>97.4</v>
      </c>
      <c r="O429">
        <v>110</v>
      </c>
      <c r="P429">
        <v>1</v>
      </c>
    </row>
    <row r="430" spans="1:16" x14ac:dyDescent="0.25">
      <c r="A430" s="1">
        <v>45619.194745370369</v>
      </c>
      <c r="B430" t="s">
        <v>30</v>
      </c>
      <c r="C430">
        <v>-22.5519</v>
      </c>
      <c r="D430">
        <v>60.710999999999999</v>
      </c>
      <c r="E430">
        <v>406</v>
      </c>
      <c r="F430" t="s">
        <v>17</v>
      </c>
      <c r="G430">
        <v>20.9</v>
      </c>
      <c r="H430">
        <v>76.400000000000006</v>
      </c>
      <c r="I430" t="s">
        <v>18</v>
      </c>
      <c r="J430">
        <v>57</v>
      </c>
      <c r="K430">
        <v>160</v>
      </c>
      <c r="L430">
        <v>9</v>
      </c>
      <c r="M430" t="s">
        <v>19</v>
      </c>
      <c r="N430">
        <v>73.3</v>
      </c>
      <c r="O430">
        <v>120</v>
      </c>
      <c r="P430">
        <v>1</v>
      </c>
    </row>
    <row r="431" spans="1:16" x14ac:dyDescent="0.25">
      <c r="A431" s="1">
        <v>45302.846689814818</v>
      </c>
      <c r="B431" t="s">
        <v>24</v>
      </c>
      <c r="C431">
        <v>61.697000000000003</v>
      </c>
      <c r="D431">
        <v>164.54929999999999</v>
      </c>
      <c r="E431">
        <v>410</v>
      </c>
      <c r="F431" t="s">
        <v>21</v>
      </c>
      <c r="G431">
        <v>24.5</v>
      </c>
      <c r="H431">
        <v>62.4</v>
      </c>
      <c r="I431" t="s">
        <v>28</v>
      </c>
      <c r="J431">
        <v>40</v>
      </c>
      <c r="K431">
        <v>172</v>
      </c>
      <c r="L431">
        <v>5</v>
      </c>
      <c r="M431" t="s">
        <v>19</v>
      </c>
      <c r="N431">
        <v>86.2</v>
      </c>
      <c r="O431">
        <v>225</v>
      </c>
      <c r="P431">
        <v>0</v>
      </c>
    </row>
    <row r="432" spans="1:16" x14ac:dyDescent="0.25">
      <c r="A432" s="1">
        <v>45593.095393518517</v>
      </c>
      <c r="B432" t="s">
        <v>34</v>
      </c>
      <c r="C432">
        <v>-75.286699999999996</v>
      </c>
      <c r="D432">
        <v>-163.4</v>
      </c>
      <c r="E432">
        <v>155</v>
      </c>
      <c r="F432" t="s">
        <v>21</v>
      </c>
      <c r="G432">
        <v>22.6</v>
      </c>
      <c r="H432">
        <v>77.099999999999994</v>
      </c>
      <c r="I432" t="s">
        <v>18</v>
      </c>
      <c r="J432">
        <v>13</v>
      </c>
      <c r="K432">
        <v>196</v>
      </c>
      <c r="L432">
        <v>7</v>
      </c>
      <c r="M432" t="s">
        <v>19</v>
      </c>
      <c r="N432">
        <v>83.2</v>
      </c>
      <c r="O432">
        <v>168</v>
      </c>
      <c r="P432">
        <v>0</v>
      </c>
    </row>
    <row r="433" spans="1:16" x14ac:dyDescent="0.25">
      <c r="A433" s="1">
        <v>45652.211944444447</v>
      </c>
      <c r="B433" t="s">
        <v>33</v>
      </c>
      <c r="C433">
        <v>87.138599999999997</v>
      </c>
      <c r="D433">
        <v>-114.968</v>
      </c>
      <c r="E433">
        <v>397</v>
      </c>
      <c r="F433" t="s">
        <v>26</v>
      </c>
      <c r="G433">
        <v>23.7</v>
      </c>
      <c r="H433">
        <v>73.5</v>
      </c>
      <c r="I433" t="s">
        <v>18</v>
      </c>
      <c r="J433">
        <v>31</v>
      </c>
      <c r="K433">
        <v>266</v>
      </c>
      <c r="L433">
        <v>1</v>
      </c>
      <c r="M433" t="s">
        <v>31</v>
      </c>
      <c r="N433">
        <v>92.8</v>
      </c>
      <c r="O433">
        <v>265</v>
      </c>
      <c r="P433">
        <v>0</v>
      </c>
    </row>
    <row r="434" spans="1:16" x14ac:dyDescent="0.25">
      <c r="A434" s="1">
        <v>45379.433703703704</v>
      </c>
      <c r="B434" t="s">
        <v>34</v>
      </c>
      <c r="C434">
        <v>51.248600000000003</v>
      </c>
      <c r="D434">
        <v>-41.488199999999999</v>
      </c>
      <c r="E434">
        <v>305</v>
      </c>
      <c r="F434" t="s">
        <v>26</v>
      </c>
      <c r="G434">
        <v>28</v>
      </c>
      <c r="H434">
        <v>67.8</v>
      </c>
      <c r="I434" t="s">
        <v>18</v>
      </c>
      <c r="J434">
        <v>13</v>
      </c>
      <c r="K434">
        <v>455</v>
      </c>
      <c r="L434">
        <v>2</v>
      </c>
      <c r="M434" t="s">
        <v>23</v>
      </c>
      <c r="N434">
        <v>80.8</v>
      </c>
      <c r="O434">
        <v>147</v>
      </c>
      <c r="P434">
        <v>0</v>
      </c>
    </row>
    <row r="435" spans="1:16" x14ac:dyDescent="0.25">
      <c r="A435" s="1">
        <v>45398.114386574074</v>
      </c>
      <c r="B435" t="s">
        <v>30</v>
      </c>
      <c r="C435">
        <v>-19.8201</v>
      </c>
      <c r="D435">
        <v>2.4373999999999998</v>
      </c>
      <c r="E435">
        <v>343</v>
      </c>
      <c r="F435" t="s">
        <v>17</v>
      </c>
      <c r="G435">
        <v>26.2</v>
      </c>
      <c r="H435">
        <v>62.4</v>
      </c>
      <c r="I435" t="s">
        <v>18</v>
      </c>
      <c r="J435">
        <v>18</v>
      </c>
      <c r="K435">
        <v>166</v>
      </c>
      <c r="L435">
        <v>7</v>
      </c>
      <c r="M435" t="s">
        <v>23</v>
      </c>
      <c r="N435">
        <v>62.3</v>
      </c>
      <c r="O435">
        <v>168</v>
      </c>
      <c r="P435">
        <v>1</v>
      </c>
    </row>
    <row r="436" spans="1:16" x14ac:dyDescent="0.25">
      <c r="A436" s="1">
        <v>45634.260740740741</v>
      </c>
      <c r="B436" t="s">
        <v>20</v>
      </c>
      <c r="C436">
        <v>-13.561</v>
      </c>
      <c r="D436">
        <v>-52.546900000000001</v>
      </c>
      <c r="E436">
        <v>342</v>
      </c>
      <c r="F436" t="s">
        <v>21</v>
      </c>
      <c r="G436">
        <v>27.6</v>
      </c>
      <c r="H436">
        <v>71.900000000000006</v>
      </c>
      <c r="I436" t="s">
        <v>18</v>
      </c>
      <c r="J436">
        <v>24</v>
      </c>
      <c r="K436">
        <v>216</v>
      </c>
      <c r="L436">
        <v>2</v>
      </c>
      <c r="M436" t="s">
        <v>27</v>
      </c>
      <c r="N436">
        <v>67.5</v>
      </c>
      <c r="O436">
        <v>225</v>
      </c>
      <c r="P436">
        <v>0</v>
      </c>
    </row>
    <row r="437" spans="1:16" x14ac:dyDescent="0.25">
      <c r="A437" s="1">
        <v>45540.738842592589</v>
      </c>
      <c r="B437" t="s">
        <v>33</v>
      </c>
      <c r="C437">
        <v>51.488300000000002</v>
      </c>
      <c r="D437">
        <v>105.7445</v>
      </c>
      <c r="E437">
        <v>347</v>
      </c>
      <c r="F437" t="s">
        <v>21</v>
      </c>
      <c r="G437">
        <v>29.1</v>
      </c>
      <c r="H437">
        <v>80</v>
      </c>
      <c r="I437" t="s">
        <v>22</v>
      </c>
      <c r="J437">
        <v>25</v>
      </c>
      <c r="K437">
        <v>256</v>
      </c>
      <c r="L437">
        <v>3</v>
      </c>
      <c r="M437" t="s">
        <v>31</v>
      </c>
      <c r="N437">
        <v>69.599999999999994</v>
      </c>
      <c r="O437">
        <v>274</v>
      </c>
      <c r="P437">
        <v>1</v>
      </c>
    </row>
    <row r="438" spans="1:16" x14ac:dyDescent="0.25">
      <c r="A438" s="1">
        <v>45324.933541666665</v>
      </c>
      <c r="B438" t="s">
        <v>33</v>
      </c>
      <c r="C438">
        <v>21.573799999999999</v>
      </c>
      <c r="D438">
        <v>-95.150099999999995</v>
      </c>
      <c r="E438">
        <v>403</v>
      </c>
      <c r="F438" t="s">
        <v>26</v>
      </c>
      <c r="G438">
        <v>29.5</v>
      </c>
      <c r="H438">
        <v>76.599999999999994</v>
      </c>
      <c r="I438" t="s">
        <v>22</v>
      </c>
      <c r="J438">
        <v>36</v>
      </c>
      <c r="K438">
        <v>379</v>
      </c>
      <c r="L438">
        <v>2</v>
      </c>
      <c r="M438" t="s">
        <v>31</v>
      </c>
      <c r="N438">
        <v>66.7</v>
      </c>
      <c r="O438">
        <v>242</v>
      </c>
      <c r="P438">
        <v>1</v>
      </c>
    </row>
    <row r="439" spans="1:16" x14ac:dyDescent="0.25">
      <c r="A439" s="1">
        <v>45412.780694444446</v>
      </c>
      <c r="B439" t="s">
        <v>25</v>
      </c>
      <c r="C439">
        <v>-31.817399999999999</v>
      </c>
      <c r="D439">
        <v>59.571599999999997</v>
      </c>
      <c r="E439">
        <v>482</v>
      </c>
      <c r="F439" t="s">
        <v>17</v>
      </c>
      <c r="G439">
        <v>18.100000000000001</v>
      </c>
      <c r="H439">
        <v>76.099999999999994</v>
      </c>
      <c r="I439" t="s">
        <v>22</v>
      </c>
      <c r="J439">
        <v>54</v>
      </c>
      <c r="K439">
        <v>203</v>
      </c>
      <c r="L439">
        <v>10</v>
      </c>
      <c r="M439" t="s">
        <v>27</v>
      </c>
      <c r="N439">
        <v>74.099999999999994</v>
      </c>
      <c r="O439">
        <v>112</v>
      </c>
      <c r="P439">
        <v>1</v>
      </c>
    </row>
    <row r="440" spans="1:16" x14ac:dyDescent="0.25">
      <c r="A440" s="1">
        <v>45413.13422453704</v>
      </c>
      <c r="B440" t="s">
        <v>33</v>
      </c>
      <c r="C440">
        <v>-76.0304</v>
      </c>
      <c r="D440">
        <v>112.9276</v>
      </c>
      <c r="E440">
        <v>130</v>
      </c>
      <c r="F440" t="s">
        <v>26</v>
      </c>
      <c r="G440">
        <v>21.6</v>
      </c>
      <c r="H440">
        <v>60.9</v>
      </c>
      <c r="I440" t="s">
        <v>28</v>
      </c>
      <c r="J440">
        <v>48</v>
      </c>
      <c r="K440">
        <v>479</v>
      </c>
      <c r="L440">
        <v>8</v>
      </c>
      <c r="M440" t="s">
        <v>27</v>
      </c>
      <c r="N440">
        <v>83.3</v>
      </c>
      <c r="O440">
        <v>173</v>
      </c>
      <c r="P440">
        <v>0</v>
      </c>
    </row>
    <row r="441" spans="1:16" x14ac:dyDescent="0.25">
      <c r="A441" s="1">
        <v>45301.835046296299</v>
      </c>
      <c r="B441" t="s">
        <v>35</v>
      </c>
      <c r="C441">
        <v>47.548099999999998</v>
      </c>
      <c r="D441">
        <v>-97.483099999999993</v>
      </c>
      <c r="E441">
        <v>465</v>
      </c>
      <c r="F441" t="s">
        <v>17</v>
      </c>
      <c r="G441">
        <v>24</v>
      </c>
      <c r="H441">
        <v>72.400000000000006</v>
      </c>
      <c r="I441" t="s">
        <v>22</v>
      </c>
      <c r="J441">
        <v>48</v>
      </c>
      <c r="K441">
        <v>112</v>
      </c>
      <c r="L441">
        <v>8</v>
      </c>
      <c r="M441" t="s">
        <v>19</v>
      </c>
      <c r="N441">
        <v>97.1</v>
      </c>
      <c r="O441">
        <v>212</v>
      </c>
      <c r="P441">
        <v>1</v>
      </c>
    </row>
    <row r="442" spans="1:16" x14ac:dyDescent="0.25">
      <c r="A442" s="1">
        <v>45586.46912037037</v>
      </c>
      <c r="B442" t="s">
        <v>30</v>
      </c>
      <c r="C442">
        <v>77.875100000000003</v>
      </c>
      <c r="D442">
        <v>144.04</v>
      </c>
      <c r="E442">
        <v>322</v>
      </c>
      <c r="F442" t="s">
        <v>17</v>
      </c>
      <c r="G442">
        <v>26.1</v>
      </c>
      <c r="H442">
        <v>71.900000000000006</v>
      </c>
      <c r="I442" t="s">
        <v>18</v>
      </c>
      <c r="J442">
        <v>45</v>
      </c>
      <c r="K442">
        <v>339</v>
      </c>
      <c r="L442">
        <v>8</v>
      </c>
      <c r="M442" t="s">
        <v>23</v>
      </c>
      <c r="N442">
        <v>97.6</v>
      </c>
      <c r="O442">
        <v>145</v>
      </c>
      <c r="P442">
        <v>1</v>
      </c>
    </row>
    <row r="443" spans="1:16" x14ac:dyDescent="0.25">
      <c r="A443" s="1">
        <v>45621.12427083333</v>
      </c>
      <c r="B443" t="s">
        <v>35</v>
      </c>
      <c r="C443">
        <v>-56.667400000000001</v>
      </c>
      <c r="D443">
        <v>-50.0426</v>
      </c>
      <c r="E443">
        <v>126</v>
      </c>
      <c r="F443" t="s">
        <v>26</v>
      </c>
      <c r="G443">
        <v>20.3</v>
      </c>
      <c r="H443">
        <v>51.2</v>
      </c>
      <c r="I443" t="s">
        <v>18</v>
      </c>
      <c r="J443">
        <v>53</v>
      </c>
      <c r="K443">
        <v>486</v>
      </c>
      <c r="L443">
        <v>7</v>
      </c>
      <c r="M443" t="s">
        <v>31</v>
      </c>
      <c r="N443">
        <v>97.5</v>
      </c>
      <c r="O443">
        <v>129</v>
      </c>
      <c r="P443">
        <v>0</v>
      </c>
    </row>
    <row r="444" spans="1:16" x14ac:dyDescent="0.25">
      <c r="A444" s="1">
        <v>45646.334293981483</v>
      </c>
      <c r="B444" t="s">
        <v>33</v>
      </c>
      <c r="C444">
        <v>62.099899999999998</v>
      </c>
      <c r="D444">
        <v>-9.5972000000000008</v>
      </c>
      <c r="E444">
        <v>142</v>
      </c>
      <c r="F444" t="s">
        <v>21</v>
      </c>
      <c r="G444">
        <v>22.7</v>
      </c>
      <c r="H444">
        <v>66.099999999999994</v>
      </c>
      <c r="I444" t="s">
        <v>18</v>
      </c>
      <c r="J444">
        <v>59</v>
      </c>
      <c r="K444">
        <v>343</v>
      </c>
      <c r="L444">
        <v>6</v>
      </c>
      <c r="M444" t="s">
        <v>31</v>
      </c>
      <c r="N444">
        <v>86.7</v>
      </c>
      <c r="O444">
        <v>256</v>
      </c>
      <c r="P444">
        <v>0</v>
      </c>
    </row>
    <row r="445" spans="1:16" x14ac:dyDescent="0.25">
      <c r="A445" s="1">
        <v>45472.796724537038</v>
      </c>
      <c r="B445" t="s">
        <v>25</v>
      </c>
      <c r="C445">
        <v>57.9908</v>
      </c>
      <c r="D445">
        <v>-117.5288</v>
      </c>
      <c r="E445">
        <v>444</v>
      </c>
      <c r="F445" t="s">
        <v>26</v>
      </c>
      <c r="G445">
        <v>21.6</v>
      </c>
      <c r="H445">
        <v>53.2</v>
      </c>
      <c r="I445" t="s">
        <v>18</v>
      </c>
      <c r="J445">
        <v>16</v>
      </c>
      <c r="K445">
        <v>113</v>
      </c>
      <c r="L445">
        <v>2</v>
      </c>
      <c r="M445" t="s">
        <v>27</v>
      </c>
      <c r="N445">
        <v>96.1</v>
      </c>
      <c r="O445">
        <v>181</v>
      </c>
      <c r="P445">
        <v>0</v>
      </c>
    </row>
    <row r="446" spans="1:16" x14ac:dyDescent="0.25">
      <c r="A446" s="1">
        <v>45639.790219907409</v>
      </c>
      <c r="B446" t="s">
        <v>30</v>
      </c>
      <c r="C446">
        <v>73.127399999999994</v>
      </c>
      <c r="D446">
        <v>-63.939900000000002</v>
      </c>
      <c r="E446">
        <v>100</v>
      </c>
      <c r="F446" t="s">
        <v>26</v>
      </c>
      <c r="G446">
        <v>22.4</v>
      </c>
      <c r="H446">
        <v>71.599999999999994</v>
      </c>
      <c r="I446" t="s">
        <v>18</v>
      </c>
      <c r="J446">
        <v>22</v>
      </c>
      <c r="K446">
        <v>389</v>
      </c>
      <c r="L446">
        <v>4</v>
      </c>
      <c r="M446" t="s">
        <v>27</v>
      </c>
      <c r="N446">
        <v>73.400000000000006</v>
      </c>
      <c r="O446">
        <v>159</v>
      </c>
      <c r="P446">
        <v>0</v>
      </c>
    </row>
    <row r="447" spans="1:16" x14ac:dyDescent="0.25">
      <c r="A447" s="1">
        <v>45616.225914351853</v>
      </c>
      <c r="B447" t="s">
        <v>33</v>
      </c>
      <c r="C447">
        <v>-28.694900000000001</v>
      </c>
      <c r="D447">
        <v>-110.51609999999999</v>
      </c>
      <c r="E447">
        <v>227</v>
      </c>
      <c r="F447" t="s">
        <v>21</v>
      </c>
      <c r="G447">
        <v>22.6</v>
      </c>
      <c r="H447">
        <v>58.5</v>
      </c>
      <c r="I447" t="s">
        <v>18</v>
      </c>
      <c r="J447">
        <v>24</v>
      </c>
      <c r="K447">
        <v>477</v>
      </c>
      <c r="L447">
        <v>10</v>
      </c>
      <c r="M447" t="s">
        <v>23</v>
      </c>
      <c r="N447">
        <v>89</v>
      </c>
      <c r="O447">
        <v>139</v>
      </c>
      <c r="P447">
        <v>0</v>
      </c>
    </row>
    <row r="448" spans="1:16" x14ac:dyDescent="0.25">
      <c r="A448" s="1">
        <v>45472.410578703704</v>
      </c>
      <c r="B448" t="s">
        <v>33</v>
      </c>
      <c r="C448">
        <v>-28.915199999999999</v>
      </c>
      <c r="D448">
        <v>114.375</v>
      </c>
      <c r="E448">
        <v>416</v>
      </c>
      <c r="F448" t="s">
        <v>26</v>
      </c>
      <c r="G448">
        <v>20.7</v>
      </c>
      <c r="H448">
        <v>69.099999999999994</v>
      </c>
      <c r="I448" t="s">
        <v>18</v>
      </c>
      <c r="J448">
        <v>32</v>
      </c>
      <c r="K448">
        <v>139</v>
      </c>
      <c r="L448">
        <v>6</v>
      </c>
      <c r="M448" t="s">
        <v>31</v>
      </c>
      <c r="N448">
        <v>91.7</v>
      </c>
      <c r="O448">
        <v>221</v>
      </c>
      <c r="P448">
        <v>0</v>
      </c>
    </row>
    <row r="449" spans="1:16" x14ac:dyDescent="0.25">
      <c r="A449" s="1">
        <v>45648.981909722221</v>
      </c>
      <c r="B449" t="s">
        <v>33</v>
      </c>
      <c r="C449">
        <v>83.948800000000006</v>
      </c>
      <c r="D449">
        <v>131.11969999999999</v>
      </c>
      <c r="E449">
        <v>499</v>
      </c>
      <c r="F449" t="s">
        <v>17</v>
      </c>
      <c r="G449">
        <v>25.8</v>
      </c>
      <c r="H449">
        <v>64</v>
      </c>
      <c r="I449" t="s">
        <v>18</v>
      </c>
      <c r="J449">
        <v>46</v>
      </c>
      <c r="K449">
        <v>295</v>
      </c>
      <c r="L449">
        <v>6</v>
      </c>
      <c r="M449" t="s">
        <v>27</v>
      </c>
      <c r="N449">
        <v>87.6</v>
      </c>
      <c r="O449">
        <v>160</v>
      </c>
      <c r="P449">
        <v>1</v>
      </c>
    </row>
    <row r="450" spans="1:16" x14ac:dyDescent="0.25">
      <c r="A450" s="1">
        <v>45466.922581018516</v>
      </c>
      <c r="B450" t="s">
        <v>20</v>
      </c>
      <c r="C450">
        <v>52.163499999999999</v>
      </c>
      <c r="D450">
        <v>10.829599999999999</v>
      </c>
      <c r="E450">
        <v>328</v>
      </c>
      <c r="F450" t="s">
        <v>26</v>
      </c>
      <c r="G450">
        <v>29.8</v>
      </c>
      <c r="H450">
        <v>53.5</v>
      </c>
      <c r="I450" t="s">
        <v>28</v>
      </c>
      <c r="J450">
        <v>54</v>
      </c>
      <c r="K450">
        <v>144</v>
      </c>
      <c r="L450">
        <v>6</v>
      </c>
      <c r="M450" t="s">
        <v>23</v>
      </c>
      <c r="N450">
        <v>78</v>
      </c>
      <c r="O450">
        <v>158</v>
      </c>
      <c r="P450">
        <v>0</v>
      </c>
    </row>
    <row r="451" spans="1:16" x14ac:dyDescent="0.25">
      <c r="A451" s="1">
        <v>45380.218356481484</v>
      </c>
      <c r="B451" t="s">
        <v>35</v>
      </c>
      <c r="C451">
        <v>36.518500000000003</v>
      </c>
      <c r="D451">
        <v>-71.971800000000002</v>
      </c>
      <c r="E451">
        <v>324</v>
      </c>
      <c r="F451" t="s">
        <v>26</v>
      </c>
      <c r="G451">
        <v>28.2</v>
      </c>
      <c r="H451">
        <v>56.8</v>
      </c>
      <c r="I451" t="s">
        <v>22</v>
      </c>
      <c r="J451">
        <v>10</v>
      </c>
      <c r="K451">
        <v>249</v>
      </c>
      <c r="L451">
        <v>7</v>
      </c>
      <c r="M451" t="s">
        <v>19</v>
      </c>
      <c r="N451">
        <v>76.7</v>
      </c>
      <c r="O451">
        <v>298</v>
      </c>
      <c r="P451">
        <v>1</v>
      </c>
    </row>
    <row r="452" spans="1:16" x14ac:dyDescent="0.25">
      <c r="A452" s="1">
        <v>45385.591157407405</v>
      </c>
      <c r="B452" t="s">
        <v>34</v>
      </c>
      <c r="C452">
        <v>-10.8232</v>
      </c>
      <c r="D452">
        <v>144.09819999999999</v>
      </c>
      <c r="E452">
        <v>401</v>
      </c>
      <c r="F452" t="s">
        <v>21</v>
      </c>
      <c r="G452">
        <v>26.3</v>
      </c>
      <c r="H452">
        <v>59.4</v>
      </c>
      <c r="I452" t="s">
        <v>22</v>
      </c>
      <c r="J452">
        <v>30</v>
      </c>
      <c r="K452">
        <v>268</v>
      </c>
      <c r="L452">
        <v>7</v>
      </c>
      <c r="M452" t="s">
        <v>19</v>
      </c>
      <c r="N452">
        <v>67.599999999999994</v>
      </c>
      <c r="O452">
        <v>225</v>
      </c>
      <c r="P452">
        <v>1</v>
      </c>
    </row>
    <row r="453" spans="1:16" x14ac:dyDescent="0.25">
      <c r="A453" s="1">
        <v>45641.585046296299</v>
      </c>
      <c r="B453" t="s">
        <v>35</v>
      </c>
      <c r="C453">
        <v>-37.919499999999999</v>
      </c>
      <c r="D453">
        <v>-99.376800000000003</v>
      </c>
      <c r="E453">
        <v>182</v>
      </c>
      <c r="F453" t="s">
        <v>17</v>
      </c>
      <c r="G453">
        <v>22.9</v>
      </c>
      <c r="H453">
        <v>54.4</v>
      </c>
      <c r="I453" t="s">
        <v>18</v>
      </c>
      <c r="J453">
        <v>50</v>
      </c>
      <c r="K453">
        <v>135</v>
      </c>
      <c r="L453">
        <v>3</v>
      </c>
      <c r="M453" t="s">
        <v>19</v>
      </c>
      <c r="N453">
        <v>98.4</v>
      </c>
      <c r="O453">
        <v>268</v>
      </c>
      <c r="P453">
        <v>1</v>
      </c>
    </row>
    <row r="454" spans="1:16" x14ac:dyDescent="0.25">
      <c r="A454" s="1">
        <v>45510.557847222219</v>
      </c>
      <c r="B454" t="s">
        <v>20</v>
      </c>
      <c r="C454">
        <v>-7.2984</v>
      </c>
      <c r="D454">
        <v>-44.591799999999999</v>
      </c>
      <c r="E454">
        <v>264</v>
      </c>
      <c r="F454" t="s">
        <v>26</v>
      </c>
      <c r="G454">
        <v>29.5</v>
      </c>
      <c r="H454">
        <v>67.3</v>
      </c>
      <c r="I454" t="s">
        <v>22</v>
      </c>
      <c r="J454">
        <v>32</v>
      </c>
      <c r="K454">
        <v>314</v>
      </c>
      <c r="L454">
        <v>8</v>
      </c>
      <c r="M454" t="s">
        <v>27</v>
      </c>
      <c r="N454">
        <v>65.900000000000006</v>
      </c>
      <c r="O454">
        <v>202</v>
      </c>
      <c r="P454">
        <v>1</v>
      </c>
    </row>
    <row r="455" spans="1:16" x14ac:dyDescent="0.25">
      <c r="A455" s="1">
        <v>45365.108020833337</v>
      </c>
      <c r="B455" t="s">
        <v>32</v>
      </c>
      <c r="C455">
        <v>13.6845</v>
      </c>
      <c r="D455">
        <v>-126.4199</v>
      </c>
      <c r="E455">
        <v>293</v>
      </c>
      <c r="F455" t="s">
        <v>26</v>
      </c>
      <c r="G455">
        <v>23.8</v>
      </c>
      <c r="H455">
        <v>62.8</v>
      </c>
      <c r="I455" t="s">
        <v>18</v>
      </c>
      <c r="J455">
        <v>19</v>
      </c>
      <c r="K455">
        <v>135</v>
      </c>
      <c r="L455">
        <v>1</v>
      </c>
      <c r="M455" t="s">
        <v>31</v>
      </c>
      <c r="N455">
        <v>98.8</v>
      </c>
      <c r="O455">
        <v>291</v>
      </c>
      <c r="P455">
        <v>0</v>
      </c>
    </row>
    <row r="456" spans="1:16" x14ac:dyDescent="0.25">
      <c r="A456" s="1">
        <v>45531.024143518516</v>
      </c>
      <c r="B456" t="s">
        <v>24</v>
      </c>
      <c r="C456">
        <v>-70.642799999999994</v>
      </c>
      <c r="D456">
        <v>166.3723</v>
      </c>
      <c r="E456">
        <v>343</v>
      </c>
      <c r="F456" t="s">
        <v>21</v>
      </c>
      <c r="G456">
        <v>29.5</v>
      </c>
      <c r="H456">
        <v>59.8</v>
      </c>
      <c r="I456" t="s">
        <v>18</v>
      </c>
      <c r="J456">
        <v>35</v>
      </c>
      <c r="K456">
        <v>294</v>
      </c>
      <c r="L456">
        <v>8</v>
      </c>
      <c r="M456" t="s">
        <v>19</v>
      </c>
      <c r="N456">
        <v>73.7</v>
      </c>
      <c r="O456">
        <v>256</v>
      </c>
      <c r="P456">
        <v>0</v>
      </c>
    </row>
    <row r="457" spans="1:16" x14ac:dyDescent="0.25">
      <c r="A457" s="1">
        <v>45406.86859953704</v>
      </c>
      <c r="B457" t="s">
        <v>29</v>
      </c>
      <c r="C457">
        <v>-19.392900000000001</v>
      </c>
      <c r="D457">
        <v>-10.2537</v>
      </c>
      <c r="E457">
        <v>103</v>
      </c>
      <c r="F457" t="s">
        <v>21</v>
      </c>
      <c r="G457">
        <v>24.8</v>
      </c>
      <c r="H457">
        <v>79.3</v>
      </c>
      <c r="I457" t="s">
        <v>22</v>
      </c>
      <c r="J457">
        <v>22</v>
      </c>
      <c r="K457">
        <v>393</v>
      </c>
      <c r="L457">
        <v>9</v>
      </c>
      <c r="M457" t="s">
        <v>23</v>
      </c>
      <c r="N457">
        <v>88.6</v>
      </c>
      <c r="O457">
        <v>108</v>
      </c>
      <c r="P457">
        <v>1</v>
      </c>
    </row>
    <row r="458" spans="1:16" x14ac:dyDescent="0.25">
      <c r="A458" s="1">
        <v>45544.903854166667</v>
      </c>
      <c r="B458" t="s">
        <v>25</v>
      </c>
      <c r="C458">
        <v>-32.514099999999999</v>
      </c>
      <c r="D458">
        <v>-170.95660000000001</v>
      </c>
      <c r="E458">
        <v>295</v>
      </c>
      <c r="F458" t="s">
        <v>26</v>
      </c>
      <c r="G458">
        <v>23.6</v>
      </c>
      <c r="H458">
        <v>72.8</v>
      </c>
      <c r="I458" t="s">
        <v>18</v>
      </c>
      <c r="J458">
        <v>18</v>
      </c>
      <c r="K458">
        <v>327</v>
      </c>
      <c r="L458">
        <v>5</v>
      </c>
      <c r="M458" t="s">
        <v>19</v>
      </c>
      <c r="N458">
        <v>92.1</v>
      </c>
      <c r="O458">
        <v>283</v>
      </c>
      <c r="P458">
        <v>0</v>
      </c>
    </row>
    <row r="459" spans="1:16" x14ac:dyDescent="0.25">
      <c r="A459" s="1">
        <v>45463.581909722219</v>
      </c>
      <c r="B459" t="s">
        <v>24</v>
      </c>
      <c r="C459">
        <v>59.378300000000003</v>
      </c>
      <c r="D459">
        <v>74.962800000000001</v>
      </c>
      <c r="E459">
        <v>300</v>
      </c>
      <c r="F459" t="s">
        <v>26</v>
      </c>
      <c r="G459">
        <v>27.4</v>
      </c>
      <c r="H459">
        <v>52.8</v>
      </c>
      <c r="I459" t="s">
        <v>18</v>
      </c>
      <c r="J459">
        <v>35</v>
      </c>
      <c r="K459">
        <v>431</v>
      </c>
      <c r="L459">
        <v>10</v>
      </c>
      <c r="M459" t="s">
        <v>19</v>
      </c>
      <c r="N459">
        <v>81.2</v>
      </c>
      <c r="O459">
        <v>120</v>
      </c>
      <c r="P459">
        <v>0</v>
      </c>
    </row>
    <row r="460" spans="1:16" x14ac:dyDescent="0.25">
      <c r="A460" s="1">
        <v>45445.454548611109</v>
      </c>
      <c r="B460" t="s">
        <v>16</v>
      </c>
      <c r="C460">
        <v>-36.2517</v>
      </c>
      <c r="D460">
        <v>72.472800000000007</v>
      </c>
      <c r="E460">
        <v>108</v>
      </c>
      <c r="F460" t="s">
        <v>26</v>
      </c>
      <c r="G460">
        <v>27.9</v>
      </c>
      <c r="H460">
        <v>65.599999999999994</v>
      </c>
      <c r="I460" t="s">
        <v>22</v>
      </c>
      <c r="J460">
        <v>46</v>
      </c>
      <c r="K460">
        <v>138</v>
      </c>
      <c r="L460">
        <v>4</v>
      </c>
      <c r="M460" t="s">
        <v>27</v>
      </c>
      <c r="N460">
        <v>82.7</v>
      </c>
      <c r="O460">
        <v>173</v>
      </c>
      <c r="P460">
        <v>1</v>
      </c>
    </row>
    <row r="461" spans="1:16" x14ac:dyDescent="0.25">
      <c r="A461" s="1">
        <v>45482.973460648151</v>
      </c>
      <c r="B461" t="s">
        <v>32</v>
      </c>
      <c r="C461">
        <v>-55.985399999999998</v>
      </c>
      <c r="D461">
        <v>-149.89580000000001</v>
      </c>
      <c r="E461">
        <v>153</v>
      </c>
      <c r="F461" t="s">
        <v>17</v>
      </c>
      <c r="G461">
        <v>27.5</v>
      </c>
      <c r="H461">
        <v>69.900000000000006</v>
      </c>
      <c r="I461" t="s">
        <v>18</v>
      </c>
      <c r="J461">
        <v>24</v>
      </c>
      <c r="K461">
        <v>118</v>
      </c>
      <c r="L461">
        <v>7</v>
      </c>
      <c r="M461" t="s">
        <v>23</v>
      </c>
      <c r="N461">
        <v>62.5</v>
      </c>
      <c r="O461">
        <v>237</v>
      </c>
      <c r="P461">
        <v>1</v>
      </c>
    </row>
    <row r="462" spans="1:16" x14ac:dyDescent="0.25">
      <c r="A462" s="1">
        <v>45476.411747685182</v>
      </c>
      <c r="B462" t="s">
        <v>32</v>
      </c>
      <c r="C462">
        <v>27.325900000000001</v>
      </c>
      <c r="D462">
        <v>-116.20659999999999</v>
      </c>
      <c r="E462">
        <v>336</v>
      </c>
      <c r="F462" t="s">
        <v>21</v>
      </c>
      <c r="G462">
        <v>22.5</v>
      </c>
      <c r="H462">
        <v>51.6</v>
      </c>
      <c r="I462" t="s">
        <v>18</v>
      </c>
      <c r="J462">
        <v>11</v>
      </c>
      <c r="K462">
        <v>446</v>
      </c>
      <c r="L462">
        <v>6</v>
      </c>
      <c r="M462" t="s">
        <v>19</v>
      </c>
      <c r="N462">
        <v>70.2</v>
      </c>
      <c r="O462">
        <v>275</v>
      </c>
      <c r="P462">
        <v>0</v>
      </c>
    </row>
    <row r="463" spans="1:16" x14ac:dyDescent="0.25">
      <c r="A463" s="1">
        <v>45635.857662037037</v>
      </c>
      <c r="B463" t="s">
        <v>25</v>
      </c>
      <c r="C463">
        <v>27.735700000000001</v>
      </c>
      <c r="D463">
        <v>-170.57660000000001</v>
      </c>
      <c r="E463">
        <v>211</v>
      </c>
      <c r="F463" t="s">
        <v>17</v>
      </c>
      <c r="G463">
        <v>21.7</v>
      </c>
      <c r="H463">
        <v>52.3</v>
      </c>
      <c r="I463" t="s">
        <v>18</v>
      </c>
      <c r="J463">
        <v>11</v>
      </c>
      <c r="K463">
        <v>401</v>
      </c>
      <c r="L463">
        <v>9</v>
      </c>
      <c r="M463" t="s">
        <v>19</v>
      </c>
      <c r="N463">
        <v>66.2</v>
      </c>
      <c r="O463">
        <v>241</v>
      </c>
      <c r="P463">
        <v>1</v>
      </c>
    </row>
    <row r="464" spans="1:16" x14ac:dyDescent="0.25">
      <c r="A464" s="1">
        <v>45365.038587962961</v>
      </c>
      <c r="B464" t="s">
        <v>29</v>
      </c>
      <c r="C464">
        <v>23.202300000000001</v>
      </c>
      <c r="D464">
        <v>92.276300000000006</v>
      </c>
      <c r="E464">
        <v>144</v>
      </c>
      <c r="F464" t="s">
        <v>26</v>
      </c>
      <c r="G464">
        <v>21.1</v>
      </c>
      <c r="H464">
        <v>58.8</v>
      </c>
      <c r="I464" t="s">
        <v>28</v>
      </c>
      <c r="J464">
        <v>35</v>
      </c>
      <c r="K464">
        <v>443</v>
      </c>
      <c r="L464">
        <v>10</v>
      </c>
      <c r="M464" t="s">
        <v>31</v>
      </c>
      <c r="N464">
        <v>89</v>
      </c>
      <c r="O464">
        <v>141</v>
      </c>
      <c r="P464">
        <v>0</v>
      </c>
    </row>
    <row r="465" spans="1:16" x14ac:dyDescent="0.25">
      <c r="A465" s="1">
        <v>45440.270729166667</v>
      </c>
      <c r="B465" t="s">
        <v>24</v>
      </c>
      <c r="C465">
        <v>87.512900000000002</v>
      </c>
      <c r="D465">
        <v>-65.092200000000005</v>
      </c>
      <c r="E465">
        <v>224</v>
      </c>
      <c r="F465" t="s">
        <v>17</v>
      </c>
      <c r="G465">
        <v>21.7</v>
      </c>
      <c r="H465">
        <v>78.5</v>
      </c>
      <c r="I465" t="s">
        <v>28</v>
      </c>
      <c r="J465">
        <v>20</v>
      </c>
      <c r="K465">
        <v>428</v>
      </c>
      <c r="L465">
        <v>7</v>
      </c>
      <c r="M465" t="s">
        <v>19</v>
      </c>
      <c r="N465">
        <v>72.400000000000006</v>
      </c>
      <c r="O465">
        <v>287</v>
      </c>
      <c r="P465">
        <v>1</v>
      </c>
    </row>
    <row r="466" spans="1:16" x14ac:dyDescent="0.25">
      <c r="A466" s="1">
        <v>45618.992569444446</v>
      </c>
      <c r="B466" t="s">
        <v>25</v>
      </c>
      <c r="C466">
        <v>81.197500000000005</v>
      </c>
      <c r="D466">
        <v>137.0497</v>
      </c>
      <c r="E466">
        <v>185</v>
      </c>
      <c r="F466" t="s">
        <v>21</v>
      </c>
      <c r="G466">
        <v>19.899999999999999</v>
      </c>
      <c r="H466">
        <v>66.3</v>
      </c>
      <c r="I466" t="s">
        <v>18</v>
      </c>
      <c r="J466">
        <v>59</v>
      </c>
      <c r="K466">
        <v>264</v>
      </c>
      <c r="L466">
        <v>4</v>
      </c>
      <c r="M466" t="s">
        <v>19</v>
      </c>
      <c r="N466">
        <v>65.2</v>
      </c>
      <c r="O466">
        <v>177</v>
      </c>
      <c r="P466">
        <v>0</v>
      </c>
    </row>
    <row r="467" spans="1:16" x14ac:dyDescent="0.25">
      <c r="A467" s="1">
        <v>45403.15824074074</v>
      </c>
      <c r="B467" t="s">
        <v>29</v>
      </c>
      <c r="C467">
        <v>55.918999999999997</v>
      </c>
      <c r="D467">
        <v>-39.578000000000003</v>
      </c>
      <c r="E467">
        <v>220</v>
      </c>
      <c r="F467" t="s">
        <v>21</v>
      </c>
      <c r="G467">
        <v>28.2</v>
      </c>
      <c r="H467">
        <v>55.4</v>
      </c>
      <c r="I467" t="s">
        <v>28</v>
      </c>
      <c r="J467">
        <v>10</v>
      </c>
      <c r="K467">
        <v>203</v>
      </c>
      <c r="L467">
        <v>8</v>
      </c>
      <c r="M467" t="s">
        <v>23</v>
      </c>
      <c r="N467">
        <v>81.099999999999994</v>
      </c>
      <c r="O467">
        <v>281</v>
      </c>
      <c r="P467">
        <v>0</v>
      </c>
    </row>
    <row r="468" spans="1:16" x14ac:dyDescent="0.25">
      <c r="A468" s="1">
        <v>45366.293171296296</v>
      </c>
      <c r="B468" t="s">
        <v>34</v>
      </c>
      <c r="C468">
        <v>-15.3314</v>
      </c>
      <c r="D468">
        <v>22.396999999999998</v>
      </c>
      <c r="E468">
        <v>236</v>
      </c>
      <c r="F468" t="s">
        <v>21</v>
      </c>
      <c r="G468">
        <v>18.3</v>
      </c>
      <c r="H468">
        <v>69</v>
      </c>
      <c r="I468" t="s">
        <v>28</v>
      </c>
      <c r="J468">
        <v>34</v>
      </c>
      <c r="K468">
        <v>303</v>
      </c>
      <c r="L468">
        <v>2</v>
      </c>
      <c r="M468" t="s">
        <v>31</v>
      </c>
      <c r="N468">
        <v>62.6</v>
      </c>
      <c r="O468">
        <v>270</v>
      </c>
      <c r="P468">
        <v>0</v>
      </c>
    </row>
    <row r="469" spans="1:16" x14ac:dyDescent="0.25">
      <c r="A469" s="1">
        <v>45373.592083333337</v>
      </c>
      <c r="B469" t="s">
        <v>24</v>
      </c>
      <c r="C469">
        <v>-55.360300000000002</v>
      </c>
      <c r="D469">
        <v>79.127600000000001</v>
      </c>
      <c r="E469">
        <v>159</v>
      </c>
      <c r="F469" t="s">
        <v>17</v>
      </c>
      <c r="G469">
        <v>29.7</v>
      </c>
      <c r="H469">
        <v>69.599999999999994</v>
      </c>
      <c r="I469" t="s">
        <v>28</v>
      </c>
      <c r="J469">
        <v>49</v>
      </c>
      <c r="K469">
        <v>227</v>
      </c>
      <c r="L469">
        <v>1</v>
      </c>
      <c r="M469" t="s">
        <v>19</v>
      </c>
      <c r="N469">
        <v>62</v>
      </c>
      <c r="O469">
        <v>232</v>
      </c>
      <c r="P469">
        <v>1</v>
      </c>
    </row>
    <row r="470" spans="1:16" x14ac:dyDescent="0.25">
      <c r="A470" s="1">
        <v>45553.691631944443</v>
      </c>
      <c r="B470" t="s">
        <v>20</v>
      </c>
      <c r="C470">
        <v>8.3933999999999997</v>
      </c>
      <c r="D470">
        <v>-165.20679999999999</v>
      </c>
      <c r="E470">
        <v>433</v>
      </c>
      <c r="F470" t="s">
        <v>17</v>
      </c>
      <c r="G470">
        <v>26.4</v>
      </c>
      <c r="H470">
        <v>69.3</v>
      </c>
      <c r="I470" t="s">
        <v>18</v>
      </c>
      <c r="J470">
        <v>25</v>
      </c>
      <c r="K470">
        <v>127</v>
      </c>
      <c r="L470">
        <v>8</v>
      </c>
      <c r="M470" t="s">
        <v>19</v>
      </c>
      <c r="N470">
        <v>84.5</v>
      </c>
      <c r="O470">
        <v>125</v>
      </c>
      <c r="P470">
        <v>1</v>
      </c>
    </row>
    <row r="471" spans="1:16" x14ac:dyDescent="0.25">
      <c r="A471" s="1">
        <v>45616.800023148149</v>
      </c>
      <c r="B471" t="s">
        <v>16</v>
      </c>
      <c r="C471">
        <v>27.498999999999999</v>
      </c>
      <c r="D471">
        <v>-98.069699999999997</v>
      </c>
      <c r="E471">
        <v>109</v>
      </c>
      <c r="F471" t="s">
        <v>21</v>
      </c>
      <c r="G471">
        <v>25.1</v>
      </c>
      <c r="H471">
        <v>76.5</v>
      </c>
      <c r="I471" t="s">
        <v>22</v>
      </c>
      <c r="J471">
        <v>16</v>
      </c>
      <c r="K471">
        <v>356</v>
      </c>
      <c r="L471">
        <v>5</v>
      </c>
      <c r="M471" t="s">
        <v>19</v>
      </c>
      <c r="N471">
        <v>64.900000000000006</v>
      </c>
      <c r="O471">
        <v>127</v>
      </c>
      <c r="P471">
        <v>1</v>
      </c>
    </row>
    <row r="472" spans="1:16" x14ac:dyDescent="0.25">
      <c r="A472" s="1">
        <v>45390.759618055556</v>
      </c>
      <c r="B472" t="s">
        <v>20</v>
      </c>
      <c r="C472">
        <v>14.686999999999999</v>
      </c>
      <c r="D472">
        <v>-33.9771</v>
      </c>
      <c r="E472">
        <v>453</v>
      </c>
      <c r="F472" t="s">
        <v>21</v>
      </c>
      <c r="G472">
        <v>25.8</v>
      </c>
      <c r="H472">
        <v>78.599999999999994</v>
      </c>
      <c r="I472" t="s">
        <v>18</v>
      </c>
      <c r="J472">
        <v>21</v>
      </c>
      <c r="K472">
        <v>142</v>
      </c>
      <c r="L472">
        <v>10</v>
      </c>
      <c r="M472" t="s">
        <v>31</v>
      </c>
      <c r="N472">
        <v>85.7</v>
      </c>
      <c r="O472">
        <v>180</v>
      </c>
      <c r="P472">
        <v>0</v>
      </c>
    </row>
    <row r="473" spans="1:16" x14ac:dyDescent="0.25">
      <c r="A473" s="1">
        <v>45304.691516203704</v>
      </c>
      <c r="B473" t="s">
        <v>25</v>
      </c>
      <c r="C473">
        <v>19.3645</v>
      </c>
      <c r="D473">
        <v>-149.45230000000001</v>
      </c>
      <c r="E473">
        <v>169</v>
      </c>
      <c r="F473" t="s">
        <v>21</v>
      </c>
      <c r="G473">
        <v>28.6</v>
      </c>
      <c r="H473">
        <v>78.8</v>
      </c>
      <c r="I473" t="s">
        <v>22</v>
      </c>
      <c r="J473">
        <v>27</v>
      </c>
      <c r="K473">
        <v>482</v>
      </c>
      <c r="L473">
        <v>4</v>
      </c>
      <c r="M473" t="s">
        <v>27</v>
      </c>
      <c r="N473">
        <v>80.5</v>
      </c>
      <c r="O473">
        <v>122</v>
      </c>
      <c r="P473">
        <v>1</v>
      </c>
    </row>
    <row r="474" spans="1:16" x14ac:dyDescent="0.25">
      <c r="A474" s="1">
        <v>45607.191400462965</v>
      </c>
      <c r="B474" t="s">
        <v>16</v>
      </c>
      <c r="C474">
        <v>38.085799999999999</v>
      </c>
      <c r="D474">
        <v>-149.297</v>
      </c>
      <c r="E474">
        <v>105</v>
      </c>
      <c r="F474" t="s">
        <v>17</v>
      </c>
      <c r="G474">
        <v>23.6</v>
      </c>
      <c r="H474">
        <v>54.4</v>
      </c>
      <c r="I474" t="s">
        <v>18</v>
      </c>
      <c r="J474">
        <v>18</v>
      </c>
      <c r="K474">
        <v>364</v>
      </c>
      <c r="L474">
        <v>10</v>
      </c>
      <c r="M474" t="s">
        <v>27</v>
      </c>
      <c r="N474">
        <v>76</v>
      </c>
      <c r="O474">
        <v>158</v>
      </c>
      <c r="P474">
        <v>1</v>
      </c>
    </row>
    <row r="475" spans="1:16" x14ac:dyDescent="0.25">
      <c r="A475" s="1">
        <v>45569.670567129629</v>
      </c>
      <c r="B475" t="s">
        <v>25</v>
      </c>
      <c r="C475">
        <v>4.3789999999999996</v>
      </c>
      <c r="D475">
        <v>97.635400000000004</v>
      </c>
      <c r="E475">
        <v>256</v>
      </c>
      <c r="F475" t="s">
        <v>26</v>
      </c>
      <c r="G475">
        <v>29.6</v>
      </c>
      <c r="H475">
        <v>73.7</v>
      </c>
      <c r="I475" t="s">
        <v>22</v>
      </c>
      <c r="J475">
        <v>20</v>
      </c>
      <c r="K475">
        <v>309</v>
      </c>
      <c r="L475">
        <v>8</v>
      </c>
      <c r="M475" t="s">
        <v>23</v>
      </c>
      <c r="N475">
        <v>83.4</v>
      </c>
      <c r="O475">
        <v>142</v>
      </c>
      <c r="P475">
        <v>1</v>
      </c>
    </row>
    <row r="476" spans="1:16" x14ac:dyDescent="0.25">
      <c r="A476" s="1">
        <v>45424.895590277774</v>
      </c>
      <c r="B476" t="s">
        <v>32</v>
      </c>
      <c r="C476">
        <v>-28.854199999999999</v>
      </c>
      <c r="D476">
        <v>119.50190000000001</v>
      </c>
      <c r="E476">
        <v>309</v>
      </c>
      <c r="F476" t="s">
        <v>26</v>
      </c>
      <c r="G476">
        <v>22.8</v>
      </c>
      <c r="H476">
        <v>52.8</v>
      </c>
      <c r="I476" t="s">
        <v>28</v>
      </c>
      <c r="J476">
        <v>19</v>
      </c>
      <c r="K476">
        <v>101</v>
      </c>
      <c r="L476">
        <v>2</v>
      </c>
      <c r="M476" t="s">
        <v>31</v>
      </c>
      <c r="N476">
        <v>85.5</v>
      </c>
      <c r="O476">
        <v>242</v>
      </c>
      <c r="P476">
        <v>0</v>
      </c>
    </row>
    <row r="477" spans="1:16" x14ac:dyDescent="0.25">
      <c r="A477" s="1">
        <v>45649.208055555559</v>
      </c>
      <c r="B477" t="s">
        <v>25</v>
      </c>
      <c r="C477">
        <v>-17.584299999999999</v>
      </c>
      <c r="D477">
        <v>-151.1609</v>
      </c>
      <c r="E477">
        <v>346</v>
      </c>
      <c r="F477" t="s">
        <v>26</v>
      </c>
      <c r="G477">
        <v>26.9</v>
      </c>
      <c r="H477">
        <v>70.599999999999994</v>
      </c>
      <c r="I477" t="s">
        <v>18</v>
      </c>
      <c r="J477">
        <v>44</v>
      </c>
      <c r="K477">
        <v>192</v>
      </c>
      <c r="L477">
        <v>9</v>
      </c>
      <c r="M477" t="s">
        <v>27</v>
      </c>
      <c r="N477">
        <v>76.2</v>
      </c>
      <c r="O477">
        <v>239</v>
      </c>
      <c r="P477">
        <v>0</v>
      </c>
    </row>
    <row r="478" spans="1:16" x14ac:dyDescent="0.25">
      <c r="A478" s="1">
        <v>45458.032453703701</v>
      </c>
      <c r="B478" t="s">
        <v>29</v>
      </c>
      <c r="C478">
        <v>15.5281</v>
      </c>
      <c r="D478">
        <v>-170.39410000000001</v>
      </c>
      <c r="E478">
        <v>302</v>
      </c>
      <c r="F478" t="s">
        <v>17</v>
      </c>
      <c r="G478">
        <v>24.6</v>
      </c>
      <c r="H478">
        <v>60.6</v>
      </c>
      <c r="I478" t="s">
        <v>22</v>
      </c>
      <c r="J478">
        <v>30</v>
      </c>
      <c r="K478">
        <v>431</v>
      </c>
      <c r="L478">
        <v>3</v>
      </c>
      <c r="M478" t="s">
        <v>19</v>
      </c>
      <c r="N478">
        <v>76</v>
      </c>
      <c r="O478">
        <v>127</v>
      </c>
      <c r="P478">
        <v>1</v>
      </c>
    </row>
    <row r="479" spans="1:16" x14ac:dyDescent="0.25">
      <c r="A479" s="1">
        <v>45491.728668981479</v>
      </c>
      <c r="B479" t="s">
        <v>29</v>
      </c>
      <c r="C479">
        <v>-83.898300000000006</v>
      </c>
      <c r="D479">
        <v>-128.16419999999999</v>
      </c>
      <c r="E479">
        <v>181</v>
      </c>
      <c r="F479" t="s">
        <v>21</v>
      </c>
      <c r="G479">
        <v>24.7</v>
      </c>
      <c r="H479">
        <v>63.4</v>
      </c>
      <c r="I479" t="s">
        <v>22</v>
      </c>
      <c r="J479">
        <v>25</v>
      </c>
      <c r="K479">
        <v>107</v>
      </c>
      <c r="L479">
        <v>8</v>
      </c>
      <c r="M479" t="s">
        <v>19</v>
      </c>
      <c r="N479">
        <v>71.3</v>
      </c>
      <c r="O479">
        <v>265</v>
      </c>
      <c r="P479">
        <v>1</v>
      </c>
    </row>
    <row r="480" spans="1:16" x14ac:dyDescent="0.25">
      <c r="A480" s="1">
        <v>45332.361747685187</v>
      </c>
      <c r="B480" t="s">
        <v>25</v>
      </c>
      <c r="C480">
        <v>-25.482299999999999</v>
      </c>
      <c r="D480">
        <v>169.19210000000001</v>
      </c>
      <c r="E480">
        <v>282</v>
      </c>
      <c r="F480" t="s">
        <v>17</v>
      </c>
      <c r="G480">
        <v>21.8</v>
      </c>
      <c r="H480">
        <v>63.6</v>
      </c>
      <c r="I480" t="s">
        <v>28</v>
      </c>
      <c r="J480">
        <v>43</v>
      </c>
      <c r="K480">
        <v>370</v>
      </c>
      <c r="L480">
        <v>7</v>
      </c>
      <c r="M480" t="s">
        <v>27</v>
      </c>
      <c r="N480">
        <v>69.400000000000006</v>
      </c>
      <c r="O480">
        <v>251</v>
      </c>
      <c r="P480">
        <v>1</v>
      </c>
    </row>
    <row r="481" spans="1:16" x14ac:dyDescent="0.25">
      <c r="A481" s="1">
        <v>45544.449155092596</v>
      </c>
      <c r="B481" t="s">
        <v>24</v>
      </c>
      <c r="C481">
        <v>-69.492999999999995</v>
      </c>
      <c r="D481">
        <v>-118.9742</v>
      </c>
      <c r="E481">
        <v>398</v>
      </c>
      <c r="F481" t="s">
        <v>26</v>
      </c>
      <c r="G481">
        <v>26.5</v>
      </c>
      <c r="H481">
        <v>64.8</v>
      </c>
      <c r="I481" t="s">
        <v>22</v>
      </c>
      <c r="J481">
        <v>44</v>
      </c>
      <c r="K481">
        <v>387</v>
      </c>
      <c r="L481">
        <v>1</v>
      </c>
      <c r="M481" t="s">
        <v>19</v>
      </c>
      <c r="N481">
        <v>90.6</v>
      </c>
      <c r="O481">
        <v>122</v>
      </c>
      <c r="P481">
        <v>1</v>
      </c>
    </row>
    <row r="482" spans="1:16" x14ac:dyDescent="0.25">
      <c r="A482" s="1">
        <v>45401.345879629633</v>
      </c>
      <c r="B482" t="s">
        <v>35</v>
      </c>
      <c r="C482">
        <v>-8.0714000000000006</v>
      </c>
      <c r="D482">
        <v>-158.03039999999999</v>
      </c>
      <c r="E482">
        <v>210</v>
      </c>
      <c r="F482" t="s">
        <v>21</v>
      </c>
      <c r="G482">
        <v>24.7</v>
      </c>
      <c r="H482">
        <v>65</v>
      </c>
      <c r="I482" t="s">
        <v>22</v>
      </c>
      <c r="J482">
        <v>50</v>
      </c>
      <c r="K482">
        <v>185</v>
      </c>
      <c r="L482">
        <v>10</v>
      </c>
      <c r="M482" t="s">
        <v>31</v>
      </c>
      <c r="N482">
        <v>84.1</v>
      </c>
      <c r="O482">
        <v>140</v>
      </c>
      <c r="P482">
        <v>1</v>
      </c>
    </row>
    <row r="483" spans="1:16" x14ac:dyDescent="0.25">
      <c r="A483" s="1">
        <v>45509.781527777777</v>
      </c>
      <c r="B483" t="s">
        <v>25</v>
      </c>
      <c r="C483">
        <v>-59.991900000000001</v>
      </c>
      <c r="D483">
        <v>-162.9143</v>
      </c>
      <c r="E483">
        <v>188</v>
      </c>
      <c r="F483" t="s">
        <v>17</v>
      </c>
      <c r="G483">
        <v>22.4</v>
      </c>
      <c r="H483">
        <v>78</v>
      </c>
      <c r="I483" t="s">
        <v>22</v>
      </c>
      <c r="J483">
        <v>40</v>
      </c>
      <c r="K483">
        <v>372</v>
      </c>
      <c r="L483">
        <v>6</v>
      </c>
      <c r="M483" t="s">
        <v>23</v>
      </c>
      <c r="N483">
        <v>98</v>
      </c>
      <c r="O483">
        <v>237</v>
      </c>
      <c r="P483">
        <v>1</v>
      </c>
    </row>
    <row r="484" spans="1:16" x14ac:dyDescent="0.25">
      <c r="A484" s="1">
        <v>45457.777858796297</v>
      </c>
      <c r="B484" t="s">
        <v>33</v>
      </c>
      <c r="C484">
        <v>-47.523899999999998</v>
      </c>
      <c r="D484">
        <v>58.4771</v>
      </c>
      <c r="E484">
        <v>298</v>
      </c>
      <c r="F484" t="s">
        <v>17</v>
      </c>
      <c r="G484">
        <v>19.600000000000001</v>
      </c>
      <c r="H484">
        <v>76.099999999999994</v>
      </c>
      <c r="I484" t="s">
        <v>22</v>
      </c>
      <c r="J484">
        <v>22</v>
      </c>
      <c r="K484">
        <v>396</v>
      </c>
      <c r="L484">
        <v>7</v>
      </c>
      <c r="M484" t="s">
        <v>19</v>
      </c>
      <c r="N484">
        <v>65</v>
      </c>
      <c r="O484">
        <v>230</v>
      </c>
      <c r="P484">
        <v>1</v>
      </c>
    </row>
    <row r="485" spans="1:16" x14ac:dyDescent="0.25">
      <c r="A485" s="1">
        <v>45583.993379629632</v>
      </c>
      <c r="B485" t="s">
        <v>24</v>
      </c>
      <c r="C485">
        <v>-39.805199999999999</v>
      </c>
      <c r="D485">
        <v>-126.40730000000001</v>
      </c>
      <c r="E485">
        <v>298</v>
      </c>
      <c r="F485" t="s">
        <v>17</v>
      </c>
      <c r="G485">
        <v>24</v>
      </c>
      <c r="H485">
        <v>63.5</v>
      </c>
      <c r="I485" t="s">
        <v>18</v>
      </c>
      <c r="J485">
        <v>25</v>
      </c>
      <c r="K485">
        <v>456</v>
      </c>
      <c r="L485">
        <v>2</v>
      </c>
      <c r="M485" t="s">
        <v>19</v>
      </c>
      <c r="N485">
        <v>78.900000000000006</v>
      </c>
      <c r="O485">
        <v>147</v>
      </c>
      <c r="P485">
        <v>1</v>
      </c>
    </row>
    <row r="486" spans="1:16" x14ac:dyDescent="0.25">
      <c r="A486" s="1">
        <v>45410.06386574074</v>
      </c>
      <c r="B486" t="s">
        <v>33</v>
      </c>
      <c r="C486">
        <v>54.053699999999999</v>
      </c>
      <c r="D486">
        <v>-145.9922</v>
      </c>
      <c r="E486">
        <v>326</v>
      </c>
      <c r="F486" t="s">
        <v>17</v>
      </c>
      <c r="G486">
        <v>20</v>
      </c>
      <c r="H486">
        <v>56.6</v>
      </c>
      <c r="I486" t="s">
        <v>18</v>
      </c>
      <c r="J486">
        <v>17</v>
      </c>
      <c r="K486">
        <v>260</v>
      </c>
      <c r="L486">
        <v>6</v>
      </c>
      <c r="M486" t="s">
        <v>23</v>
      </c>
      <c r="N486">
        <v>67.5</v>
      </c>
      <c r="O486">
        <v>162</v>
      </c>
      <c r="P486">
        <v>1</v>
      </c>
    </row>
    <row r="487" spans="1:16" x14ac:dyDescent="0.25">
      <c r="A487" s="1">
        <v>45607.36451388889</v>
      </c>
      <c r="B487" t="s">
        <v>20</v>
      </c>
      <c r="C487">
        <v>7.0590999999999999</v>
      </c>
      <c r="D487">
        <v>46.718800000000002</v>
      </c>
      <c r="E487">
        <v>354</v>
      </c>
      <c r="F487" t="s">
        <v>17</v>
      </c>
      <c r="G487">
        <v>18.399999999999999</v>
      </c>
      <c r="H487">
        <v>77.5</v>
      </c>
      <c r="I487" t="s">
        <v>22</v>
      </c>
      <c r="J487">
        <v>40</v>
      </c>
      <c r="K487">
        <v>262</v>
      </c>
      <c r="L487">
        <v>7</v>
      </c>
      <c r="M487" t="s">
        <v>27</v>
      </c>
      <c r="N487">
        <v>68.5</v>
      </c>
      <c r="O487">
        <v>282</v>
      </c>
      <c r="P487">
        <v>1</v>
      </c>
    </row>
    <row r="488" spans="1:16" x14ac:dyDescent="0.25">
      <c r="A488" s="1">
        <v>45548.453275462962</v>
      </c>
      <c r="B488" t="s">
        <v>29</v>
      </c>
      <c r="C488">
        <v>-50.363300000000002</v>
      </c>
      <c r="D488">
        <v>99.583399999999997</v>
      </c>
      <c r="E488">
        <v>269</v>
      </c>
      <c r="F488" t="s">
        <v>21</v>
      </c>
      <c r="G488">
        <v>22.4</v>
      </c>
      <c r="H488">
        <v>63.6</v>
      </c>
      <c r="I488" t="s">
        <v>18</v>
      </c>
      <c r="J488">
        <v>54</v>
      </c>
      <c r="K488">
        <v>481</v>
      </c>
      <c r="L488">
        <v>7</v>
      </c>
      <c r="M488" t="s">
        <v>27</v>
      </c>
      <c r="N488">
        <v>82.5</v>
      </c>
      <c r="O488">
        <v>183</v>
      </c>
      <c r="P488">
        <v>0</v>
      </c>
    </row>
    <row r="489" spans="1:16" x14ac:dyDescent="0.25">
      <c r="A489" s="1">
        <v>45457.718287037038</v>
      </c>
      <c r="B489" t="s">
        <v>29</v>
      </c>
      <c r="C489">
        <v>51.932699999999997</v>
      </c>
      <c r="D489">
        <v>-102.43089999999999</v>
      </c>
      <c r="E489">
        <v>475</v>
      </c>
      <c r="F489" t="s">
        <v>26</v>
      </c>
      <c r="G489">
        <v>29.3</v>
      </c>
      <c r="H489">
        <v>62.8</v>
      </c>
      <c r="I489" t="s">
        <v>28</v>
      </c>
      <c r="J489">
        <v>29</v>
      </c>
      <c r="K489">
        <v>359</v>
      </c>
      <c r="L489">
        <v>9</v>
      </c>
      <c r="M489" t="s">
        <v>31</v>
      </c>
      <c r="N489">
        <v>95.1</v>
      </c>
      <c r="O489">
        <v>122</v>
      </c>
      <c r="P489">
        <v>0</v>
      </c>
    </row>
    <row r="490" spans="1:16" x14ac:dyDescent="0.25">
      <c r="A490" s="1">
        <v>45293.64634259259</v>
      </c>
      <c r="B490" t="s">
        <v>29</v>
      </c>
      <c r="C490">
        <v>-36.487000000000002</v>
      </c>
      <c r="D490">
        <v>14.5024</v>
      </c>
      <c r="E490">
        <v>372</v>
      </c>
      <c r="F490" t="s">
        <v>17</v>
      </c>
      <c r="G490">
        <v>20.399999999999999</v>
      </c>
      <c r="H490">
        <v>57.2</v>
      </c>
      <c r="I490" t="s">
        <v>28</v>
      </c>
      <c r="J490">
        <v>29</v>
      </c>
      <c r="K490">
        <v>153</v>
      </c>
      <c r="L490">
        <v>1</v>
      </c>
      <c r="M490" t="s">
        <v>23</v>
      </c>
      <c r="N490">
        <v>78.2</v>
      </c>
      <c r="O490">
        <v>221</v>
      </c>
      <c r="P490">
        <v>1</v>
      </c>
    </row>
    <row r="491" spans="1:16" x14ac:dyDescent="0.25">
      <c r="A491" s="1">
        <v>45571.207430555558</v>
      </c>
      <c r="B491" t="s">
        <v>34</v>
      </c>
      <c r="C491">
        <v>27.2654</v>
      </c>
      <c r="D491">
        <v>-34.104199999999999</v>
      </c>
      <c r="E491">
        <v>201</v>
      </c>
      <c r="F491" t="s">
        <v>21</v>
      </c>
      <c r="G491">
        <v>26</v>
      </c>
      <c r="H491">
        <v>51.5</v>
      </c>
      <c r="I491" t="s">
        <v>28</v>
      </c>
      <c r="J491">
        <v>40</v>
      </c>
      <c r="K491">
        <v>429</v>
      </c>
      <c r="L491">
        <v>4</v>
      </c>
      <c r="M491" t="s">
        <v>23</v>
      </c>
      <c r="N491">
        <v>87</v>
      </c>
      <c r="O491">
        <v>107</v>
      </c>
      <c r="P491">
        <v>0</v>
      </c>
    </row>
    <row r="492" spans="1:16" x14ac:dyDescent="0.25">
      <c r="A492" s="1">
        <v>45447.699467592596</v>
      </c>
      <c r="B492" t="s">
        <v>16</v>
      </c>
      <c r="C492">
        <v>15.2159</v>
      </c>
      <c r="D492">
        <v>-55.681399999999996</v>
      </c>
      <c r="E492">
        <v>441</v>
      </c>
      <c r="F492" t="s">
        <v>21</v>
      </c>
      <c r="G492">
        <v>25.3</v>
      </c>
      <c r="H492">
        <v>72.900000000000006</v>
      </c>
      <c r="I492" t="s">
        <v>28</v>
      </c>
      <c r="J492">
        <v>47</v>
      </c>
      <c r="K492">
        <v>152</v>
      </c>
      <c r="L492">
        <v>4</v>
      </c>
      <c r="M492" t="s">
        <v>23</v>
      </c>
      <c r="N492">
        <v>67.400000000000006</v>
      </c>
      <c r="O492">
        <v>256</v>
      </c>
      <c r="P492">
        <v>0</v>
      </c>
    </row>
    <row r="493" spans="1:16" x14ac:dyDescent="0.25">
      <c r="A493" s="1">
        <v>45324.511828703704</v>
      </c>
      <c r="B493" t="s">
        <v>20</v>
      </c>
      <c r="C493">
        <v>27.4437</v>
      </c>
      <c r="D493">
        <v>43.322400000000002</v>
      </c>
      <c r="E493">
        <v>246</v>
      </c>
      <c r="F493" t="s">
        <v>17</v>
      </c>
      <c r="G493">
        <v>25.3</v>
      </c>
      <c r="H493">
        <v>57.4</v>
      </c>
      <c r="I493" t="s">
        <v>28</v>
      </c>
      <c r="J493">
        <v>33</v>
      </c>
      <c r="K493">
        <v>298</v>
      </c>
      <c r="L493">
        <v>8</v>
      </c>
      <c r="M493" t="s">
        <v>27</v>
      </c>
      <c r="N493">
        <v>70.400000000000006</v>
      </c>
      <c r="O493">
        <v>110</v>
      </c>
      <c r="P493">
        <v>1</v>
      </c>
    </row>
    <row r="494" spans="1:16" x14ac:dyDescent="0.25">
      <c r="A494" s="1">
        <v>45465.321030092593</v>
      </c>
      <c r="B494" t="s">
        <v>24</v>
      </c>
      <c r="C494">
        <v>-58.692799999999998</v>
      </c>
      <c r="D494">
        <v>165.86670000000001</v>
      </c>
      <c r="E494">
        <v>180</v>
      </c>
      <c r="F494" t="s">
        <v>17</v>
      </c>
      <c r="G494">
        <v>25.4</v>
      </c>
      <c r="H494">
        <v>50.4</v>
      </c>
      <c r="I494" t="s">
        <v>22</v>
      </c>
      <c r="J494">
        <v>32</v>
      </c>
      <c r="K494">
        <v>246</v>
      </c>
      <c r="L494">
        <v>2</v>
      </c>
      <c r="M494" t="s">
        <v>31</v>
      </c>
      <c r="N494">
        <v>65.400000000000006</v>
      </c>
      <c r="O494">
        <v>203</v>
      </c>
      <c r="P494">
        <v>1</v>
      </c>
    </row>
    <row r="495" spans="1:16" x14ac:dyDescent="0.25">
      <c r="A495" s="1">
        <v>45352.61681712963</v>
      </c>
      <c r="B495" t="s">
        <v>25</v>
      </c>
      <c r="C495">
        <v>-38.073700000000002</v>
      </c>
      <c r="D495">
        <v>56.072299999999998</v>
      </c>
      <c r="E495">
        <v>127</v>
      </c>
      <c r="F495" t="s">
        <v>17</v>
      </c>
      <c r="G495">
        <v>21</v>
      </c>
      <c r="H495">
        <v>54.6</v>
      </c>
      <c r="I495" t="s">
        <v>18</v>
      </c>
      <c r="J495">
        <v>13</v>
      </c>
      <c r="K495">
        <v>452</v>
      </c>
      <c r="L495">
        <v>9</v>
      </c>
      <c r="M495" t="s">
        <v>31</v>
      </c>
      <c r="N495">
        <v>79</v>
      </c>
      <c r="O495">
        <v>299</v>
      </c>
      <c r="P495">
        <v>1</v>
      </c>
    </row>
    <row r="496" spans="1:16" x14ac:dyDescent="0.25">
      <c r="A496" s="1">
        <v>45523.066666666666</v>
      </c>
      <c r="B496" t="s">
        <v>33</v>
      </c>
      <c r="C496">
        <v>-50.677799999999998</v>
      </c>
      <c r="D496">
        <v>-102.041</v>
      </c>
      <c r="E496">
        <v>246</v>
      </c>
      <c r="F496" t="s">
        <v>17</v>
      </c>
      <c r="G496">
        <v>20.8</v>
      </c>
      <c r="H496">
        <v>79.2</v>
      </c>
      <c r="I496" t="s">
        <v>22</v>
      </c>
      <c r="J496">
        <v>55</v>
      </c>
      <c r="K496">
        <v>325</v>
      </c>
      <c r="L496">
        <v>2</v>
      </c>
      <c r="M496" t="s">
        <v>19</v>
      </c>
      <c r="N496">
        <v>80.5</v>
      </c>
      <c r="O496">
        <v>271</v>
      </c>
      <c r="P496">
        <v>1</v>
      </c>
    </row>
    <row r="497" spans="1:16" x14ac:dyDescent="0.25">
      <c r="A497" s="1">
        <v>45613.098634259259</v>
      </c>
      <c r="B497" t="s">
        <v>30</v>
      </c>
      <c r="C497">
        <v>-88.775999999999996</v>
      </c>
      <c r="D497">
        <v>-125.1628</v>
      </c>
      <c r="E497">
        <v>470</v>
      </c>
      <c r="F497" t="s">
        <v>26</v>
      </c>
      <c r="G497">
        <v>21.5</v>
      </c>
      <c r="H497">
        <v>51</v>
      </c>
      <c r="I497" t="s">
        <v>22</v>
      </c>
      <c r="J497">
        <v>59</v>
      </c>
      <c r="K497">
        <v>293</v>
      </c>
      <c r="L497">
        <v>7</v>
      </c>
      <c r="M497" t="s">
        <v>31</v>
      </c>
      <c r="N497">
        <v>86.6</v>
      </c>
      <c r="O497">
        <v>113</v>
      </c>
      <c r="P497">
        <v>1</v>
      </c>
    </row>
    <row r="498" spans="1:16" x14ac:dyDescent="0.25">
      <c r="A498" s="1">
        <v>45502.011805555558</v>
      </c>
      <c r="B498" t="s">
        <v>32</v>
      </c>
      <c r="C498">
        <v>69.691000000000003</v>
      </c>
      <c r="D498">
        <v>148.6549</v>
      </c>
      <c r="E498">
        <v>386</v>
      </c>
      <c r="F498" t="s">
        <v>17</v>
      </c>
      <c r="G498">
        <v>25.9</v>
      </c>
      <c r="H498">
        <v>71.599999999999994</v>
      </c>
      <c r="I498" t="s">
        <v>28</v>
      </c>
      <c r="J498">
        <v>36</v>
      </c>
      <c r="K498">
        <v>193</v>
      </c>
      <c r="L498">
        <v>10</v>
      </c>
      <c r="M498" t="s">
        <v>23</v>
      </c>
      <c r="N498">
        <v>72</v>
      </c>
      <c r="O498">
        <v>299</v>
      </c>
      <c r="P498">
        <v>1</v>
      </c>
    </row>
    <row r="499" spans="1:16" x14ac:dyDescent="0.25">
      <c r="A499" s="1">
        <v>45429.875590277778</v>
      </c>
      <c r="B499" t="s">
        <v>32</v>
      </c>
      <c r="C499">
        <v>-82.261600000000001</v>
      </c>
      <c r="D499">
        <v>-141.82499999999999</v>
      </c>
      <c r="E499">
        <v>325</v>
      </c>
      <c r="F499" t="s">
        <v>21</v>
      </c>
      <c r="G499">
        <v>26.2</v>
      </c>
      <c r="H499">
        <v>64.3</v>
      </c>
      <c r="I499" t="s">
        <v>28</v>
      </c>
      <c r="J499">
        <v>31</v>
      </c>
      <c r="K499">
        <v>491</v>
      </c>
      <c r="L499">
        <v>7</v>
      </c>
      <c r="M499" t="s">
        <v>31</v>
      </c>
      <c r="N499">
        <v>60.7</v>
      </c>
      <c r="O499">
        <v>290</v>
      </c>
      <c r="P499">
        <v>0</v>
      </c>
    </row>
    <row r="500" spans="1:16" x14ac:dyDescent="0.25">
      <c r="A500" s="1">
        <v>45362.840208333335</v>
      </c>
      <c r="B500" t="s">
        <v>35</v>
      </c>
      <c r="C500">
        <v>2.7286000000000001</v>
      </c>
      <c r="D500">
        <v>-99.544200000000004</v>
      </c>
      <c r="E500">
        <v>432</v>
      </c>
      <c r="F500" t="s">
        <v>21</v>
      </c>
      <c r="G500">
        <v>25.9</v>
      </c>
      <c r="H500">
        <v>65.8</v>
      </c>
      <c r="I500" t="s">
        <v>28</v>
      </c>
      <c r="J500">
        <v>42</v>
      </c>
      <c r="K500">
        <v>265</v>
      </c>
      <c r="L500">
        <v>8</v>
      </c>
      <c r="M500" t="s">
        <v>19</v>
      </c>
      <c r="N500">
        <v>86.8</v>
      </c>
      <c r="O500">
        <v>140</v>
      </c>
      <c r="P500">
        <v>0</v>
      </c>
    </row>
    <row r="501" spans="1:16" x14ac:dyDescent="0.25">
      <c r="A501" s="1">
        <v>45491.237534722219</v>
      </c>
      <c r="B501" t="s">
        <v>16</v>
      </c>
      <c r="C501">
        <v>84.249799999999993</v>
      </c>
      <c r="D501">
        <v>-60.886099999999999</v>
      </c>
      <c r="E501">
        <v>273</v>
      </c>
      <c r="F501" t="s">
        <v>17</v>
      </c>
      <c r="G501">
        <v>20.2</v>
      </c>
      <c r="H501">
        <v>72.2</v>
      </c>
      <c r="I501" t="s">
        <v>28</v>
      </c>
      <c r="J501">
        <v>19</v>
      </c>
      <c r="K501">
        <v>115</v>
      </c>
      <c r="L501">
        <v>5</v>
      </c>
      <c r="M501" t="s">
        <v>19</v>
      </c>
      <c r="N501">
        <v>68.8</v>
      </c>
      <c r="O501">
        <v>238</v>
      </c>
      <c r="P501">
        <v>1</v>
      </c>
    </row>
    <row r="502" spans="1:16" x14ac:dyDescent="0.25">
      <c r="A502" s="1">
        <v>45609.480370370373</v>
      </c>
      <c r="B502" t="s">
        <v>29</v>
      </c>
      <c r="C502">
        <v>8.7621000000000002</v>
      </c>
      <c r="D502">
        <v>-2.9218000000000002</v>
      </c>
      <c r="E502">
        <v>492</v>
      </c>
      <c r="F502" t="s">
        <v>26</v>
      </c>
      <c r="G502">
        <v>21.6</v>
      </c>
      <c r="H502">
        <v>78.3</v>
      </c>
      <c r="I502" t="s">
        <v>28</v>
      </c>
      <c r="J502">
        <v>58</v>
      </c>
      <c r="K502">
        <v>122</v>
      </c>
      <c r="L502">
        <v>9</v>
      </c>
      <c r="M502" t="s">
        <v>19</v>
      </c>
      <c r="N502">
        <v>61.2</v>
      </c>
      <c r="O502">
        <v>202</v>
      </c>
      <c r="P502">
        <v>0</v>
      </c>
    </row>
    <row r="503" spans="1:16" x14ac:dyDescent="0.25">
      <c r="A503" s="1">
        <v>45292.4846875</v>
      </c>
      <c r="B503" t="s">
        <v>29</v>
      </c>
      <c r="C503">
        <v>-59.075299999999999</v>
      </c>
      <c r="D503">
        <v>68.488600000000005</v>
      </c>
      <c r="E503">
        <v>303</v>
      </c>
      <c r="F503" t="s">
        <v>21</v>
      </c>
      <c r="G503">
        <v>24.6</v>
      </c>
      <c r="H503">
        <v>68.599999999999994</v>
      </c>
      <c r="I503" t="s">
        <v>18</v>
      </c>
      <c r="J503">
        <v>50</v>
      </c>
      <c r="K503">
        <v>213</v>
      </c>
      <c r="L503">
        <v>6</v>
      </c>
      <c r="M503" t="s">
        <v>31</v>
      </c>
      <c r="N503">
        <v>97.1</v>
      </c>
      <c r="O503">
        <v>297</v>
      </c>
      <c r="P503">
        <v>0</v>
      </c>
    </row>
    <row r="504" spans="1:16" x14ac:dyDescent="0.25">
      <c r="A504" s="1">
        <v>45572.764664351853</v>
      </c>
      <c r="B504" t="s">
        <v>20</v>
      </c>
      <c r="C504">
        <v>5.7218</v>
      </c>
      <c r="D504">
        <v>-96.580600000000004</v>
      </c>
      <c r="E504">
        <v>270</v>
      </c>
      <c r="F504" t="s">
        <v>21</v>
      </c>
      <c r="G504">
        <v>28.1</v>
      </c>
      <c r="H504">
        <v>73.599999999999994</v>
      </c>
      <c r="I504" t="s">
        <v>28</v>
      </c>
      <c r="J504">
        <v>57</v>
      </c>
      <c r="K504">
        <v>283</v>
      </c>
      <c r="L504">
        <v>2</v>
      </c>
      <c r="M504" t="s">
        <v>31</v>
      </c>
      <c r="N504">
        <v>92.3</v>
      </c>
      <c r="O504">
        <v>122</v>
      </c>
      <c r="P504">
        <v>0</v>
      </c>
    </row>
    <row r="505" spans="1:16" x14ac:dyDescent="0.25">
      <c r="A505" s="1">
        <v>45489.693796296298</v>
      </c>
      <c r="B505" t="s">
        <v>29</v>
      </c>
      <c r="C505">
        <v>-38.315800000000003</v>
      </c>
      <c r="D505">
        <v>-38.325699999999998</v>
      </c>
      <c r="E505">
        <v>382</v>
      </c>
      <c r="F505" t="s">
        <v>26</v>
      </c>
      <c r="G505">
        <v>21.6</v>
      </c>
      <c r="H505">
        <v>50.5</v>
      </c>
      <c r="I505" t="s">
        <v>18</v>
      </c>
      <c r="J505">
        <v>31</v>
      </c>
      <c r="K505">
        <v>160</v>
      </c>
      <c r="L505">
        <v>8</v>
      </c>
      <c r="M505" t="s">
        <v>23</v>
      </c>
      <c r="N505">
        <v>94.8</v>
      </c>
      <c r="O505">
        <v>261</v>
      </c>
      <c r="P505">
        <v>0</v>
      </c>
    </row>
    <row r="506" spans="1:16" x14ac:dyDescent="0.25">
      <c r="A506" s="1">
        <v>45395.731851851851</v>
      </c>
      <c r="B506" t="s">
        <v>29</v>
      </c>
      <c r="C506">
        <v>-87.404200000000003</v>
      </c>
      <c r="D506">
        <v>-127.32689999999999</v>
      </c>
      <c r="E506">
        <v>197</v>
      </c>
      <c r="F506" t="s">
        <v>26</v>
      </c>
      <c r="G506">
        <v>23.3</v>
      </c>
      <c r="H506">
        <v>53.5</v>
      </c>
      <c r="I506" t="s">
        <v>22</v>
      </c>
      <c r="J506">
        <v>41</v>
      </c>
      <c r="K506">
        <v>259</v>
      </c>
      <c r="L506">
        <v>9</v>
      </c>
      <c r="M506" t="s">
        <v>23</v>
      </c>
      <c r="N506">
        <v>91.3</v>
      </c>
      <c r="O506">
        <v>211</v>
      </c>
      <c r="P506">
        <v>1</v>
      </c>
    </row>
    <row r="507" spans="1:16" x14ac:dyDescent="0.25">
      <c r="A507" s="1">
        <v>45515.096053240741</v>
      </c>
      <c r="B507" t="s">
        <v>25</v>
      </c>
      <c r="C507">
        <v>-77.364800000000002</v>
      </c>
      <c r="D507">
        <v>30.974399999999999</v>
      </c>
      <c r="E507">
        <v>368</v>
      </c>
      <c r="F507" t="s">
        <v>21</v>
      </c>
      <c r="G507">
        <v>25</v>
      </c>
      <c r="H507">
        <v>60.7</v>
      </c>
      <c r="I507" t="s">
        <v>28</v>
      </c>
      <c r="J507">
        <v>37</v>
      </c>
      <c r="K507">
        <v>382</v>
      </c>
      <c r="L507">
        <v>5</v>
      </c>
      <c r="M507" t="s">
        <v>23</v>
      </c>
      <c r="N507">
        <v>82.8</v>
      </c>
      <c r="O507">
        <v>225</v>
      </c>
      <c r="P507">
        <v>0</v>
      </c>
    </row>
    <row r="508" spans="1:16" x14ac:dyDescent="0.25">
      <c r="A508" s="1">
        <v>45310.010717592595</v>
      </c>
      <c r="B508" t="s">
        <v>16</v>
      </c>
      <c r="C508">
        <v>-73.047700000000006</v>
      </c>
      <c r="D508">
        <v>124.79689999999999</v>
      </c>
      <c r="E508">
        <v>223</v>
      </c>
      <c r="F508" t="s">
        <v>21</v>
      </c>
      <c r="G508">
        <v>19.5</v>
      </c>
      <c r="H508">
        <v>55.6</v>
      </c>
      <c r="I508" t="s">
        <v>28</v>
      </c>
      <c r="J508">
        <v>23</v>
      </c>
      <c r="K508">
        <v>154</v>
      </c>
      <c r="L508">
        <v>4</v>
      </c>
      <c r="M508" t="s">
        <v>23</v>
      </c>
      <c r="N508">
        <v>62.9</v>
      </c>
      <c r="O508">
        <v>217</v>
      </c>
      <c r="P508">
        <v>0</v>
      </c>
    </row>
    <row r="509" spans="1:16" x14ac:dyDescent="0.25">
      <c r="A509" s="1">
        <v>45652.159930555557</v>
      </c>
      <c r="B509" t="s">
        <v>16</v>
      </c>
      <c r="C509">
        <v>-27.576000000000001</v>
      </c>
      <c r="D509">
        <v>-111.3158</v>
      </c>
      <c r="E509">
        <v>340</v>
      </c>
      <c r="F509" t="s">
        <v>17</v>
      </c>
      <c r="G509">
        <v>25.9</v>
      </c>
      <c r="H509">
        <v>75.3</v>
      </c>
      <c r="I509" t="s">
        <v>18</v>
      </c>
      <c r="J509">
        <v>18</v>
      </c>
      <c r="K509">
        <v>424</v>
      </c>
      <c r="L509">
        <v>7</v>
      </c>
      <c r="M509" t="s">
        <v>23</v>
      </c>
      <c r="N509">
        <v>67.3</v>
      </c>
      <c r="O509">
        <v>287</v>
      </c>
      <c r="P509">
        <v>1</v>
      </c>
    </row>
    <row r="510" spans="1:16" x14ac:dyDescent="0.25">
      <c r="A510" s="1">
        <v>45301.530752314815</v>
      </c>
      <c r="B510" t="s">
        <v>24</v>
      </c>
      <c r="C510">
        <v>49.9465</v>
      </c>
      <c r="D510">
        <v>-30.023599999999998</v>
      </c>
      <c r="E510">
        <v>355</v>
      </c>
      <c r="F510" t="s">
        <v>26</v>
      </c>
      <c r="G510">
        <v>20.2</v>
      </c>
      <c r="H510">
        <v>51.3</v>
      </c>
      <c r="I510" t="s">
        <v>28</v>
      </c>
      <c r="J510">
        <v>49</v>
      </c>
      <c r="K510">
        <v>323</v>
      </c>
      <c r="L510">
        <v>4</v>
      </c>
      <c r="M510" t="s">
        <v>31</v>
      </c>
      <c r="N510">
        <v>72.599999999999994</v>
      </c>
      <c r="O510">
        <v>100</v>
      </c>
      <c r="P510">
        <v>0</v>
      </c>
    </row>
    <row r="511" spans="1:16" x14ac:dyDescent="0.25">
      <c r="A511" s="1">
        <v>45588.550763888888</v>
      </c>
      <c r="B511" t="s">
        <v>30</v>
      </c>
      <c r="C511">
        <v>-50.685600000000001</v>
      </c>
      <c r="D511">
        <v>-9.6235999999999997</v>
      </c>
      <c r="E511">
        <v>158</v>
      </c>
      <c r="F511" t="s">
        <v>21</v>
      </c>
      <c r="G511">
        <v>26.6</v>
      </c>
      <c r="H511">
        <v>63.8</v>
      </c>
      <c r="I511" t="s">
        <v>22</v>
      </c>
      <c r="J511">
        <v>51</v>
      </c>
      <c r="K511">
        <v>199</v>
      </c>
      <c r="L511">
        <v>4</v>
      </c>
      <c r="M511" t="s">
        <v>19</v>
      </c>
      <c r="N511">
        <v>84.8</v>
      </c>
      <c r="O511">
        <v>114</v>
      </c>
      <c r="P511">
        <v>1</v>
      </c>
    </row>
    <row r="512" spans="1:16" x14ac:dyDescent="0.25">
      <c r="A512" s="1">
        <v>45504.828726851854</v>
      </c>
      <c r="B512" t="s">
        <v>24</v>
      </c>
      <c r="C512">
        <v>84.112200000000001</v>
      </c>
      <c r="D512">
        <v>-87.899000000000001</v>
      </c>
      <c r="E512">
        <v>126</v>
      </c>
      <c r="F512" t="s">
        <v>17</v>
      </c>
      <c r="G512">
        <v>25.1</v>
      </c>
      <c r="H512">
        <v>58</v>
      </c>
      <c r="I512" t="s">
        <v>18</v>
      </c>
      <c r="J512">
        <v>47</v>
      </c>
      <c r="K512">
        <v>291</v>
      </c>
      <c r="L512">
        <v>7</v>
      </c>
      <c r="M512" t="s">
        <v>27</v>
      </c>
      <c r="N512">
        <v>92.3</v>
      </c>
      <c r="O512">
        <v>123</v>
      </c>
      <c r="P512">
        <v>1</v>
      </c>
    </row>
    <row r="513" spans="1:16" x14ac:dyDescent="0.25">
      <c r="A513" s="1">
        <v>45509.934803240743</v>
      </c>
      <c r="B513" t="s">
        <v>32</v>
      </c>
      <c r="C513">
        <v>49.919699999999999</v>
      </c>
      <c r="D513">
        <v>79.465299999999999</v>
      </c>
      <c r="E513">
        <v>309</v>
      </c>
      <c r="F513" t="s">
        <v>21</v>
      </c>
      <c r="G513">
        <v>20.6</v>
      </c>
      <c r="H513">
        <v>77.3</v>
      </c>
      <c r="I513" t="s">
        <v>28</v>
      </c>
      <c r="J513">
        <v>60</v>
      </c>
      <c r="K513">
        <v>177</v>
      </c>
      <c r="L513">
        <v>5</v>
      </c>
      <c r="M513" t="s">
        <v>23</v>
      </c>
      <c r="N513">
        <v>69.2</v>
      </c>
      <c r="O513">
        <v>271</v>
      </c>
      <c r="P513">
        <v>0</v>
      </c>
    </row>
    <row r="514" spans="1:16" x14ac:dyDescent="0.25">
      <c r="A514" s="1">
        <v>45336.031284722223</v>
      </c>
      <c r="B514" t="s">
        <v>24</v>
      </c>
      <c r="C514">
        <v>-44.625399999999999</v>
      </c>
      <c r="D514">
        <v>44.087600000000002</v>
      </c>
      <c r="E514">
        <v>171</v>
      </c>
      <c r="F514" t="s">
        <v>17</v>
      </c>
      <c r="G514">
        <v>22.6</v>
      </c>
      <c r="H514">
        <v>69.900000000000006</v>
      </c>
      <c r="I514" t="s">
        <v>18</v>
      </c>
      <c r="J514">
        <v>26</v>
      </c>
      <c r="K514">
        <v>104</v>
      </c>
      <c r="L514">
        <v>2</v>
      </c>
      <c r="M514" t="s">
        <v>23</v>
      </c>
      <c r="N514">
        <v>88.1</v>
      </c>
      <c r="O514">
        <v>132</v>
      </c>
      <c r="P514">
        <v>1</v>
      </c>
    </row>
    <row r="515" spans="1:16" x14ac:dyDescent="0.25">
      <c r="A515" s="1">
        <v>45640.031365740739</v>
      </c>
      <c r="B515" t="s">
        <v>20</v>
      </c>
      <c r="C515">
        <v>-57.3005</v>
      </c>
      <c r="D515">
        <v>-23.688800000000001</v>
      </c>
      <c r="E515">
        <v>403</v>
      </c>
      <c r="F515" t="s">
        <v>21</v>
      </c>
      <c r="G515">
        <v>29.6</v>
      </c>
      <c r="H515">
        <v>63</v>
      </c>
      <c r="I515" t="s">
        <v>28</v>
      </c>
      <c r="J515">
        <v>12</v>
      </c>
      <c r="K515">
        <v>197</v>
      </c>
      <c r="L515">
        <v>4</v>
      </c>
      <c r="M515" t="s">
        <v>19</v>
      </c>
      <c r="N515">
        <v>83.8</v>
      </c>
      <c r="O515">
        <v>228</v>
      </c>
      <c r="P515">
        <v>0</v>
      </c>
    </row>
    <row r="516" spans="1:16" x14ac:dyDescent="0.25">
      <c r="A516" s="1">
        <v>45489.342002314814</v>
      </c>
      <c r="B516" t="s">
        <v>20</v>
      </c>
      <c r="C516">
        <v>-47.569800000000001</v>
      </c>
      <c r="D516">
        <v>-81.314300000000003</v>
      </c>
      <c r="E516">
        <v>181</v>
      </c>
      <c r="F516" t="s">
        <v>26</v>
      </c>
      <c r="G516">
        <v>25.9</v>
      </c>
      <c r="H516">
        <v>69.099999999999994</v>
      </c>
      <c r="I516" t="s">
        <v>22</v>
      </c>
      <c r="J516">
        <v>44</v>
      </c>
      <c r="K516">
        <v>264</v>
      </c>
      <c r="L516">
        <v>9</v>
      </c>
      <c r="M516" t="s">
        <v>31</v>
      </c>
      <c r="N516">
        <v>69.900000000000006</v>
      </c>
      <c r="O516">
        <v>223</v>
      </c>
      <c r="P516">
        <v>1</v>
      </c>
    </row>
    <row r="517" spans="1:16" x14ac:dyDescent="0.25">
      <c r="A517" s="1">
        <v>45634.411377314813</v>
      </c>
      <c r="B517" t="s">
        <v>16</v>
      </c>
      <c r="C517">
        <v>-80.267499999999998</v>
      </c>
      <c r="D517">
        <v>-80.572599999999994</v>
      </c>
      <c r="E517">
        <v>472</v>
      </c>
      <c r="F517" t="s">
        <v>17</v>
      </c>
      <c r="G517">
        <v>23</v>
      </c>
      <c r="H517">
        <v>68</v>
      </c>
      <c r="I517" t="s">
        <v>22</v>
      </c>
      <c r="J517">
        <v>34</v>
      </c>
      <c r="K517">
        <v>365</v>
      </c>
      <c r="L517">
        <v>3</v>
      </c>
      <c r="M517" t="s">
        <v>27</v>
      </c>
      <c r="N517">
        <v>87.8</v>
      </c>
      <c r="O517">
        <v>294</v>
      </c>
      <c r="P517">
        <v>1</v>
      </c>
    </row>
    <row r="518" spans="1:16" x14ac:dyDescent="0.25">
      <c r="A518" s="1">
        <v>45420.077719907407</v>
      </c>
      <c r="B518" t="s">
        <v>32</v>
      </c>
      <c r="C518">
        <v>-70.321299999999994</v>
      </c>
      <c r="D518">
        <v>-61.917900000000003</v>
      </c>
      <c r="E518">
        <v>171</v>
      </c>
      <c r="F518" t="s">
        <v>26</v>
      </c>
      <c r="G518">
        <v>25.5</v>
      </c>
      <c r="H518">
        <v>51.1</v>
      </c>
      <c r="I518" t="s">
        <v>18</v>
      </c>
      <c r="J518">
        <v>43</v>
      </c>
      <c r="K518">
        <v>114</v>
      </c>
      <c r="L518">
        <v>1</v>
      </c>
      <c r="M518" t="s">
        <v>23</v>
      </c>
      <c r="N518">
        <v>92.5</v>
      </c>
      <c r="O518">
        <v>149</v>
      </c>
      <c r="P518">
        <v>0</v>
      </c>
    </row>
    <row r="519" spans="1:16" x14ac:dyDescent="0.25">
      <c r="A519" s="1">
        <v>45493.565081018518</v>
      </c>
      <c r="B519" t="s">
        <v>20</v>
      </c>
      <c r="C519">
        <v>48.251199999999997</v>
      </c>
      <c r="D519">
        <v>-106.6383</v>
      </c>
      <c r="E519">
        <v>204</v>
      </c>
      <c r="F519" t="s">
        <v>17</v>
      </c>
      <c r="G519">
        <v>19.2</v>
      </c>
      <c r="H519">
        <v>58</v>
      </c>
      <c r="I519" t="s">
        <v>22</v>
      </c>
      <c r="J519">
        <v>50</v>
      </c>
      <c r="K519">
        <v>465</v>
      </c>
      <c r="L519">
        <v>8</v>
      </c>
      <c r="M519" t="s">
        <v>23</v>
      </c>
      <c r="N519">
        <v>85.2</v>
      </c>
      <c r="O519">
        <v>133</v>
      </c>
      <c r="P519">
        <v>1</v>
      </c>
    </row>
    <row r="520" spans="1:16" x14ac:dyDescent="0.25">
      <c r="A520" s="1">
        <v>45589.624907407408</v>
      </c>
      <c r="B520" t="s">
        <v>29</v>
      </c>
      <c r="C520">
        <v>-74.674899999999994</v>
      </c>
      <c r="D520">
        <v>-159.71639999999999</v>
      </c>
      <c r="E520">
        <v>254</v>
      </c>
      <c r="F520" t="s">
        <v>21</v>
      </c>
      <c r="G520">
        <v>26.7</v>
      </c>
      <c r="H520">
        <v>51.3</v>
      </c>
      <c r="I520" t="s">
        <v>18</v>
      </c>
      <c r="J520">
        <v>11</v>
      </c>
      <c r="K520">
        <v>378</v>
      </c>
      <c r="L520">
        <v>8</v>
      </c>
      <c r="M520" t="s">
        <v>19</v>
      </c>
      <c r="N520">
        <v>90.6</v>
      </c>
      <c r="O520">
        <v>208</v>
      </c>
      <c r="P520">
        <v>0</v>
      </c>
    </row>
    <row r="521" spans="1:16" x14ac:dyDescent="0.25">
      <c r="A521" s="1">
        <v>45619.456192129626</v>
      </c>
      <c r="B521" t="s">
        <v>29</v>
      </c>
      <c r="C521">
        <v>-46.013199999999998</v>
      </c>
      <c r="D521">
        <v>-8.5335000000000001</v>
      </c>
      <c r="E521">
        <v>100</v>
      </c>
      <c r="F521" t="s">
        <v>17</v>
      </c>
      <c r="G521">
        <v>21</v>
      </c>
      <c r="H521">
        <v>71.2</v>
      </c>
      <c r="I521" t="s">
        <v>28</v>
      </c>
      <c r="J521">
        <v>19</v>
      </c>
      <c r="K521">
        <v>315</v>
      </c>
      <c r="L521">
        <v>9</v>
      </c>
      <c r="M521" t="s">
        <v>23</v>
      </c>
      <c r="N521">
        <v>82.2</v>
      </c>
      <c r="O521">
        <v>100</v>
      </c>
      <c r="P521">
        <v>1</v>
      </c>
    </row>
    <row r="522" spans="1:16" x14ac:dyDescent="0.25">
      <c r="A522" s="1">
        <v>45400.368750000001</v>
      </c>
      <c r="B522" t="s">
        <v>35</v>
      </c>
      <c r="C522">
        <v>9.3293999999999997</v>
      </c>
      <c r="D522">
        <v>-71.529899999999998</v>
      </c>
      <c r="E522">
        <v>211</v>
      </c>
      <c r="F522" t="s">
        <v>26</v>
      </c>
      <c r="G522">
        <v>23.7</v>
      </c>
      <c r="H522">
        <v>66.7</v>
      </c>
      <c r="I522" t="s">
        <v>22</v>
      </c>
      <c r="J522">
        <v>36</v>
      </c>
      <c r="K522">
        <v>149</v>
      </c>
      <c r="L522">
        <v>1</v>
      </c>
      <c r="M522" t="s">
        <v>31</v>
      </c>
      <c r="N522">
        <v>60.7</v>
      </c>
      <c r="O522">
        <v>256</v>
      </c>
      <c r="P522">
        <v>1</v>
      </c>
    </row>
    <row r="523" spans="1:16" x14ac:dyDescent="0.25">
      <c r="A523" s="1">
        <v>45515.196875000001</v>
      </c>
      <c r="B523" t="s">
        <v>25</v>
      </c>
      <c r="C523">
        <v>5.0095000000000001</v>
      </c>
      <c r="D523">
        <v>-113.8279</v>
      </c>
      <c r="E523">
        <v>145</v>
      </c>
      <c r="F523" t="s">
        <v>17</v>
      </c>
      <c r="G523">
        <v>18.2</v>
      </c>
      <c r="H523">
        <v>62.2</v>
      </c>
      <c r="I523" t="s">
        <v>22</v>
      </c>
      <c r="J523">
        <v>56</v>
      </c>
      <c r="K523">
        <v>430</v>
      </c>
      <c r="L523">
        <v>5</v>
      </c>
      <c r="M523" t="s">
        <v>27</v>
      </c>
      <c r="N523">
        <v>86.7</v>
      </c>
      <c r="O523">
        <v>260</v>
      </c>
      <c r="P523">
        <v>1</v>
      </c>
    </row>
    <row r="524" spans="1:16" x14ac:dyDescent="0.25">
      <c r="A524" s="1">
        <v>45574.561851851853</v>
      </c>
      <c r="B524" t="s">
        <v>20</v>
      </c>
      <c r="C524">
        <v>-70.809399999999997</v>
      </c>
      <c r="D524">
        <v>75.109399999999994</v>
      </c>
      <c r="E524">
        <v>244</v>
      </c>
      <c r="F524" t="s">
        <v>26</v>
      </c>
      <c r="G524">
        <v>21.3</v>
      </c>
      <c r="H524">
        <v>79.400000000000006</v>
      </c>
      <c r="I524" t="s">
        <v>22</v>
      </c>
      <c r="J524">
        <v>22</v>
      </c>
      <c r="K524">
        <v>312</v>
      </c>
      <c r="L524">
        <v>9</v>
      </c>
      <c r="M524" t="s">
        <v>19</v>
      </c>
      <c r="N524">
        <v>63.5</v>
      </c>
      <c r="O524">
        <v>171</v>
      </c>
      <c r="P524">
        <v>1</v>
      </c>
    </row>
    <row r="525" spans="1:16" x14ac:dyDescent="0.25">
      <c r="A525" s="1">
        <v>45647.643171296295</v>
      </c>
      <c r="B525" t="s">
        <v>35</v>
      </c>
      <c r="C525">
        <v>-43.247199999999999</v>
      </c>
      <c r="D525">
        <v>163.38210000000001</v>
      </c>
      <c r="E525">
        <v>104</v>
      </c>
      <c r="F525" t="s">
        <v>26</v>
      </c>
      <c r="G525">
        <v>29.4</v>
      </c>
      <c r="H525">
        <v>59.1</v>
      </c>
      <c r="I525" t="s">
        <v>18</v>
      </c>
      <c r="J525">
        <v>58</v>
      </c>
      <c r="K525">
        <v>229</v>
      </c>
      <c r="L525">
        <v>3</v>
      </c>
      <c r="M525" t="s">
        <v>23</v>
      </c>
      <c r="N525">
        <v>82.9</v>
      </c>
      <c r="O525">
        <v>283</v>
      </c>
      <c r="P525">
        <v>0</v>
      </c>
    </row>
    <row r="526" spans="1:16" x14ac:dyDescent="0.25">
      <c r="A526" s="1">
        <v>45312.967824074076</v>
      </c>
      <c r="B526" t="s">
        <v>34</v>
      </c>
      <c r="C526">
        <v>28.101600000000001</v>
      </c>
      <c r="D526">
        <v>167.19820000000001</v>
      </c>
      <c r="E526">
        <v>356</v>
      </c>
      <c r="F526" t="s">
        <v>21</v>
      </c>
      <c r="G526">
        <v>18.399999999999999</v>
      </c>
      <c r="H526">
        <v>75.2</v>
      </c>
      <c r="I526" t="s">
        <v>28</v>
      </c>
      <c r="J526">
        <v>32</v>
      </c>
      <c r="K526">
        <v>291</v>
      </c>
      <c r="L526">
        <v>6</v>
      </c>
      <c r="M526" t="s">
        <v>19</v>
      </c>
      <c r="N526">
        <v>90.7</v>
      </c>
      <c r="O526">
        <v>206</v>
      </c>
      <c r="P526">
        <v>0</v>
      </c>
    </row>
    <row r="527" spans="1:16" x14ac:dyDescent="0.25">
      <c r="A527" s="1">
        <v>45379.326909722222</v>
      </c>
      <c r="B527" t="s">
        <v>29</v>
      </c>
      <c r="C527">
        <v>-56.218699999999998</v>
      </c>
      <c r="D527">
        <v>27.6037</v>
      </c>
      <c r="E527">
        <v>114</v>
      </c>
      <c r="F527" t="s">
        <v>21</v>
      </c>
      <c r="G527">
        <v>26.8</v>
      </c>
      <c r="H527">
        <v>62.1</v>
      </c>
      <c r="I527" t="s">
        <v>22</v>
      </c>
      <c r="J527">
        <v>55</v>
      </c>
      <c r="K527">
        <v>334</v>
      </c>
      <c r="L527">
        <v>6</v>
      </c>
      <c r="M527" t="s">
        <v>19</v>
      </c>
      <c r="N527">
        <v>85.2</v>
      </c>
      <c r="O527">
        <v>202</v>
      </c>
      <c r="P527">
        <v>1</v>
      </c>
    </row>
    <row r="528" spans="1:16" x14ac:dyDescent="0.25">
      <c r="A528" s="1">
        <v>45628.452847222223</v>
      </c>
      <c r="B528" t="s">
        <v>20</v>
      </c>
      <c r="C528">
        <v>65.053799999999995</v>
      </c>
      <c r="D528">
        <v>-146.3887</v>
      </c>
      <c r="E528">
        <v>404</v>
      </c>
      <c r="F528" t="s">
        <v>26</v>
      </c>
      <c r="G528">
        <v>19</v>
      </c>
      <c r="H528">
        <v>76.2</v>
      </c>
      <c r="I528" t="s">
        <v>22</v>
      </c>
      <c r="J528">
        <v>54</v>
      </c>
      <c r="K528">
        <v>230</v>
      </c>
      <c r="L528">
        <v>4</v>
      </c>
      <c r="M528" t="s">
        <v>19</v>
      </c>
      <c r="N528">
        <v>83.7</v>
      </c>
      <c r="O528">
        <v>171</v>
      </c>
      <c r="P528">
        <v>1</v>
      </c>
    </row>
    <row r="529" spans="1:16" x14ac:dyDescent="0.25">
      <c r="A529" s="1">
        <v>45656.848587962966</v>
      </c>
      <c r="B529" t="s">
        <v>34</v>
      </c>
      <c r="C529">
        <v>-30.298999999999999</v>
      </c>
      <c r="D529">
        <v>153.4529</v>
      </c>
      <c r="E529">
        <v>500</v>
      </c>
      <c r="F529" t="s">
        <v>26</v>
      </c>
      <c r="G529">
        <v>21.7</v>
      </c>
      <c r="H529">
        <v>56.2</v>
      </c>
      <c r="I529" t="s">
        <v>18</v>
      </c>
      <c r="J529">
        <v>20</v>
      </c>
      <c r="K529">
        <v>381</v>
      </c>
      <c r="L529">
        <v>10</v>
      </c>
      <c r="M529" t="s">
        <v>31</v>
      </c>
      <c r="N529">
        <v>90.7</v>
      </c>
      <c r="O529">
        <v>222</v>
      </c>
      <c r="P529">
        <v>0</v>
      </c>
    </row>
    <row r="530" spans="1:16" x14ac:dyDescent="0.25">
      <c r="A530" s="1">
        <v>45547.487627314818</v>
      </c>
      <c r="B530" t="s">
        <v>34</v>
      </c>
      <c r="C530">
        <v>72.762600000000006</v>
      </c>
      <c r="D530">
        <v>105.821</v>
      </c>
      <c r="E530">
        <v>375</v>
      </c>
      <c r="F530" t="s">
        <v>17</v>
      </c>
      <c r="G530">
        <v>23</v>
      </c>
      <c r="H530">
        <v>76.3</v>
      </c>
      <c r="I530" t="s">
        <v>18</v>
      </c>
      <c r="J530">
        <v>49</v>
      </c>
      <c r="K530">
        <v>131</v>
      </c>
      <c r="L530">
        <v>4</v>
      </c>
      <c r="M530" t="s">
        <v>19</v>
      </c>
      <c r="N530">
        <v>87.8</v>
      </c>
      <c r="O530">
        <v>137</v>
      </c>
      <c r="P530">
        <v>1</v>
      </c>
    </row>
    <row r="531" spans="1:16" x14ac:dyDescent="0.25">
      <c r="A531" s="1">
        <v>45589.9609837963</v>
      </c>
      <c r="B531" t="s">
        <v>32</v>
      </c>
      <c r="C531">
        <v>61.8446</v>
      </c>
      <c r="D531">
        <v>115.5236</v>
      </c>
      <c r="E531">
        <v>361</v>
      </c>
      <c r="F531" t="s">
        <v>21</v>
      </c>
      <c r="G531">
        <v>22.3</v>
      </c>
      <c r="H531">
        <v>66.8</v>
      </c>
      <c r="I531" t="s">
        <v>22</v>
      </c>
      <c r="J531">
        <v>60</v>
      </c>
      <c r="K531">
        <v>157</v>
      </c>
      <c r="L531">
        <v>4</v>
      </c>
      <c r="M531" t="s">
        <v>27</v>
      </c>
      <c r="N531">
        <v>79.8</v>
      </c>
      <c r="O531">
        <v>247</v>
      </c>
      <c r="P531">
        <v>1</v>
      </c>
    </row>
    <row r="532" spans="1:16" x14ac:dyDescent="0.25">
      <c r="A532" s="1">
        <v>45358.911354166667</v>
      </c>
      <c r="B532" t="s">
        <v>33</v>
      </c>
      <c r="C532">
        <v>-31.179200000000002</v>
      </c>
      <c r="D532">
        <v>-46.048000000000002</v>
      </c>
      <c r="E532">
        <v>239</v>
      </c>
      <c r="F532" t="s">
        <v>17</v>
      </c>
      <c r="G532">
        <v>26.6</v>
      </c>
      <c r="H532">
        <v>51.6</v>
      </c>
      <c r="I532" t="s">
        <v>18</v>
      </c>
      <c r="J532">
        <v>33</v>
      </c>
      <c r="K532">
        <v>333</v>
      </c>
      <c r="L532">
        <v>2</v>
      </c>
      <c r="M532" t="s">
        <v>27</v>
      </c>
      <c r="N532">
        <v>95.1</v>
      </c>
      <c r="O532">
        <v>277</v>
      </c>
      <c r="P532">
        <v>1</v>
      </c>
    </row>
    <row r="533" spans="1:16" x14ac:dyDescent="0.25">
      <c r="A533" s="1">
        <v>45294.547488425924</v>
      </c>
      <c r="B533" t="s">
        <v>24</v>
      </c>
      <c r="C533">
        <v>-43.200400000000002</v>
      </c>
      <c r="D533">
        <v>134.85720000000001</v>
      </c>
      <c r="E533">
        <v>191</v>
      </c>
      <c r="F533" t="s">
        <v>21</v>
      </c>
      <c r="G533">
        <v>24</v>
      </c>
      <c r="H533">
        <v>59.7</v>
      </c>
      <c r="I533" t="s">
        <v>28</v>
      </c>
      <c r="J533">
        <v>51</v>
      </c>
      <c r="K533">
        <v>268</v>
      </c>
      <c r="L533">
        <v>8</v>
      </c>
      <c r="M533" t="s">
        <v>19</v>
      </c>
      <c r="N533">
        <v>97</v>
      </c>
      <c r="O533">
        <v>111</v>
      </c>
      <c r="P533">
        <v>0</v>
      </c>
    </row>
    <row r="534" spans="1:16" x14ac:dyDescent="0.25">
      <c r="A534" s="1">
        <v>45634.017152777778</v>
      </c>
      <c r="B534" t="s">
        <v>30</v>
      </c>
      <c r="C534">
        <v>-79.637200000000007</v>
      </c>
      <c r="D534">
        <v>-111.7492</v>
      </c>
      <c r="E534">
        <v>171</v>
      </c>
      <c r="F534" t="s">
        <v>17</v>
      </c>
      <c r="G534">
        <v>21.3</v>
      </c>
      <c r="H534">
        <v>58.7</v>
      </c>
      <c r="I534" t="s">
        <v>18</v>
      </c>
      <c r="J534">
        <v>10</v>
      </c>
      <c r="K534">
        <v>292</v>
      </c>
      <c r="L534">
        <v>4</v>
      </c>
      <c r="M534" t="s">
        <v>27</v>
      </c>
      <c r="N534">
        <v>65</v>
      </c>
      <c r="O534">
        <v>184</v>
      </c>
      <c r="P534">
        <v>1</v>
      </c>
    </row>
    <row r="535" spans="1:16" x14ac:dyDescent="0.25">
      <c r="A535" s="1">
        <v>45548.373715277776</v>
      </c>
      <c r="B535" t="s">
        <v>34</v>
      </c>
      <c r="C535">
        <v>66.837999999999994</v>
      </c>
      <c r="D535">
        <v>-175.16810000000001</v>
      </c>
      <c r="E535">
        <v>113</v>
      </c>
      <c r="F535" t="s">
        <v>17</v>
      </c>
      <c r="G535">
        <v>28.9</v>
      </c>
      <c r="H535">
        <v>56.3</v>
      </c>
      <c r="I535" t="s">
        <v>22</v>
      </c>
      <c r="J535">
        <v>22</v>
      </c>
      <c r="K535">
        <v>417</v>
      </c>
      <c r="L535">
        <v>6</v>
      </c>
      <c r="M535" t="s">
        <v>23</v>
      </c>
      <c r="N535">
        <v>60.8</v>
      </c>
      <c r="O535">
        <v>142</v>
      </c>
      <c r="P535">
        <v>1</v>
      </c>
    </row>
    <row r="536" spans="1:16" x14ac:dyDescent="0.25">
      <c r="A536" s="1">
        <v>45504.927858796298</v>
      </c>
      <c r="B536" t="s">
        <v>29</v>
      </c>
      <c r="C536">
        <v>13.7736</v>
      </c>
      <c r="D536">
        <v>12.991099999999999</v>
      </c>
      <c r="E536">
        <v>298</v>
      </c>
      <c r="F536" t="s">
        <v>21</v>
      </c>
      <c r="G536">
        <v>18.8</v>
      </c>
      <c r="H536">
        <v>79.5</v>
      </c>
      <c r="I536" t="s">
        <v>18</v>
      </c>
      <c r="J536">
        <v>51</v>
      </c>
      <c r="K536">
        <v>393</v>
      </c>
      <c r="L536">
        <v>4</v>
      </c>
      <c r="M536" t="s">
        <v>27</v>
      </c>
      <c r="N536">
        <v>74.599999999999994</v>
      </c>
      <c r="O536">
        <v>110</v>
      </c>
      <c r="P536">
        <v>0</v>
      </c>
    </row>
    <row r="537" spans="1:16" x14ac:dyDescent="0.25">
      <c r="A537" s="1">
        <v>45621.958310185182</v>
      </c>
      <c r="B537" t="s">
        <v>32</v>
      </c>
      <c r="C537">
        <v>-66.269599999999997</v>
      </c>
      <c r="D537">
        <v>-82.057900000000004</v>
      </c>
      <c r="E537">
        <v>184</v>
      </c>
      <c r="F537" t="s">
        <v>26</v>
      </c>
      <c r="G537">
        <v>26</v>
      </c>
      <c r="H537">
        <v>59.6</v>
      </c>
      <c r="I537" t="s">
        <v>22</v>
      </c>
      <c r="J537">
        <v>34</v>
      </c>
      <c r="K537">
        <v>235</v>
      </c>
      <c r="L537">
        <v>6</v>
      </c>
      <c r="M537" t="s">
        <v>31</v>
      </c>
      <c r="N537">
        <v>66.7</v>
      </c>
      <c r="O537">
        <v>299</v>
      </c>
      <c r="P537">
        <v>1</v>
      </c>
    </row>
    <row r="538" spans="1:16" x14ac:dyDescent="0.25">
      <c r="A538" s="1">
        <v>45442.653298611112</v>
      </c>
      <c r="B538" t="s">
        <v>29</v>
      </c>
      <c r="C538">
        <v>5.1238000000000001</v>
      </c>
      <c r="D538">
        <v>-67.8583</v>
      </c>
      <c r="E538">
        <v>298</v>
      </c>
      <c r="F538" t="s">
        <v>26</v>
      </c>
      <c r="G538">
        <v>18.899999999999999</v>
      </c>
      <c r="H538">
        <v>65.900000000000006</v>
      </c>
      <c r="I538" t="s">
        <v>18</v>
      </c>
      <c r="J538">
        <v>41</v>
      </c>
      <c r="K538">
        <v>269</v>
      </c>
      <c r="L538">
        <v>2</v>
      </c>
      <c r="M538" t="s">
        <v>19</v>
      </c>
      <c r="N538">
        <v>64.8</v>
      </c>
      <c r="O538">
        <v>234</v>
      </c>
      <c r="P538">
        <v>0</v>
      </c>
    </row>
    <row r="539" spans="1:16" x14ac:dyDescent="0.25">
      <c r="A539" s="1">
        <v>45356.874444444446</v>
      </c>
      <c r="B539" t="s">
        <v>33</v>
      </c>
      <c r="C539">
        <v>-85.871499999999997</v>
      </c>
      <c r="D539">
        <v>-162.7167</v>
      </c>
      <c r="E539">
        <v>439</v>
      </c>
      <c r="F539" t="s">
        <v>17</v>
      </c>
      <c r="G539">
        <v>25.1</v>
      </c>
      <c r="H539">
        <v>66.099999999999994</v>
      </c>
      <c r="I539" t="s">
        <v>28</v>
      </c>
      <c r="J539">
        <v>46</v>
      </c>
      <c r="K539">
        <v>151</v>
      </c>
      <c r="L539">
        <v>4</v>
      </c>
      <c r="M539" t="s">
        <v>19</v>
      </c>
      <c r="N539">
        <v>79.2</v>
      </c>
      <c r="O539">
        <v>209</v>
      </c>
      <c r="P539">
        <v>1</v>
      </c>
    </row>
    <row r="540" spans="1:16" x14ac:dyDescent="0.25">
      <c r="A540" s="1">
        <v>45524.645879629628</v>
      </c>
      <c r="B540" t="s">
        <v>33</v>
      </c>
      <c r="C540">
        <v>86.267899999999997</v>
      </c>
      <c r="D540">
        <v>-50.789499999999997</v>
      </c>
      <c r="E540">
        <v>142</v>
      </c>
      <c r="F540" t="s">
        <v>17</v>
      </c>
      <c r="G540">
        <v>28</v>
      </c>
      <c r="H540">
        <v>67.2</v>
      </c>
      <c r="I540" t="s">
        <v>22</v>
      </c>
      <c r="J540">
        <v>49</v>
      </c>
      <c r="K540">
        <v>458</v>
      </c>
      <c r="L540">
        <v>8</v>
      </c>
      <c r="M540" t="s">
        <v>27</v>
      </c>
      <c r="N540">
        <v>92.5</v>
      </c>
      <c r="O540">
        <v>224</v>
      </c>
      <c r="P540">
        <v>1</v>
      </c>
    </row>
    <row r="541" spans="1:16" x14ac:dyDescent="0.25">
      <c r="A541" s="1">
        <v>45554.513298611113</v>
      </c>
      <c r="B541" t="s">
        <v>20</v>
      </c>
      <c r="C541">
        <v>21.310400000000001</v>
      </c>
      <c r="D541">
        <v>-80.529200000000003</v>
      </c>
      <c r="E541">
        <v>202</v>
      </c>
      <c r="F541" t="s">
        <v>26</v>
      </c>
      <c r="G541">
        <v>18.5</v>
      </c>
      <c r="H541">
        <v>69.5</v>
      </c>
      <c r="I541" t="s">
        <v>22</v>
      </c>
      <c r="J541">
        <v>54</v>
      </c>
      <c r="K541">
        <v>261</v>
      </c>
      <c r="L541">
        <v>3</v>
      </c>
      <c r="M541" t="s">
        <v>19</v>
      </c>
      <c r="N541">
        <v>62.5</v>
      </c>
      <c r="O541">
        <v>213</v>
      </c>
      <c r="P541">
        <v>1</v>
      </c>
    </row>
    <row r="542" spans="1:16" x14ac:dyDescent="0.25">
      <c r="A542" s="1">
        <v>45353.65121527778</v>
      </c>
      <c r="B542" t="s">
        <v>33</v>
      </c>
      <c r="C542">
        <v>-2.2841</v>
      </c>
      <c r="D542">
        <v>23.415199999999999</v>
      </c>
      <c r="E542">
        <v>418</v>
      </c>
      <c r="F542" t="s">
        <v>17</v>
      </c>
      <c r="G542">
        <v>29.6</v>
      </c>
      <c r="H542">
        <v>67.400000000000006</v>
      </c>
      <c r="I542" t="s">
        <v>22</v>
      </c>
      <c r="J542">
        <v>54</v>
      </c>
      <c r="K542">
        <v>199</v>
      </c>
      <c r="L542">
        <v>9</v>
      </c>
      <c r="M542" t="s">
        <v>27</v>
      </c>
      <c r="N542">
        <v>99.9</v>
      </c>
      <c r="O542">
        <v>215</v>
      </c>
      <c r="P542">
        <v>1</v>
      </c>
    </row>
    <row r="543" spans="1:16" x14ac:dyDescent="0.25">
      <c r="A543" s="1">
        <v>45346.959780092591</v>
      </c>
      <c r="B543" t="s">
        <v>29</v>
      </c>
      <c r="C543">
        <v>-23.4709</v>
      </c>
      <c r="D543">
        <v>54.526499999999999</v>
      </c>
      <c r="E543">
        <v>458</v>
      </c>
      <c r="F543" t="s">
        <v>17</v>
      </c>
      <c r="G543">
        <v>23.3</v>
      </c>
      <c r="H543">
        <v>58.6</v>
      </c>
      <c r="I543" t="s">
        <v>22</v>
      </c>
      <c r="J543">
        <v>43</v>
      </c>
      <c r="K543">
        <v>372</v>
      </c>
      <c r="L543">
        <v>10</v>
      </c>
      <c r="M543" t="s">
        <v>31</v>
      </c>
      <c r="N543">
        <v>92.9</v>
      </c>
      <c r="O543">
        <v>262</v>
      </c>
      <c r="P543">
        <v>1</v>
      </c>
    </row>
    <row r="544" spans="1:16" x14ac:dyDescent="0.25">
      <c r="A544" s="1">
        <v>45356.472650462965</v>
      </c>
      <c r="B544" t="s">
        <v>32</v>
      </c>
      <c r="C544">
        <v>44.505200000000002</v>
      </c>
      <c r="D544">
        <v>-178.72810000000001</v>
      </c>
      <c r="E544">
        <v>313</v>
      </c>
      <c r="F544" t="s">
        <v>21</v>
      </c>
      <c r="G544">
        <v>18.7</v>
      </c>
      <c r="H544">
        <v>74.7</v>
      </c>
      <c r="I544" t="s">
        <v>22</v>
      </c>
      <c r="J544">
        <v>16</v>
      </c>
      <c r="K544">
        <v>284</v>
      </c>
      <c r="L544">
        <v>3</v>
      </c>
      <c r="M544" t="s">
        <v>31</v>
      </c>
      <c r="N544">
        <v>69</v>
      </c>
      <c r="O544">
        <v>105</v>
      </c>
      <c r="P544">
        <v>1</v>
      </c>
    </row>
    <row r="545" spans="1:16" x14ac:dyDescent="0.25">
      <c r="A545" s="1">
        <v>45355.982534722221</v>
      </c>
      <c r="B545" t="s">
        <v>25</v>
      </c>
      <c r="C545">
        <v>-8.1412999999999993</v>
      </c>
      <c r="D545">
        <v>92.868099999999998</v>
      </c>
      <c r="E545">
        <v>457</v>
      </c>
      <c r="F545" t="s">
        <v>17</v>
      </c>
      <c r="G545">
        <v>18.2</v>
      </c>
      <c r="H545">
        <v>62.6</v>
      </c>
      <c r="I545" t="s">
        <v>18</v>
      </c>
      <c r="J545">
        <v>18</v>
      </c>
      <c r="K545">
        <v>217</v>
      </c>
      <c r="L545">
        <v>9</v>
      </c>
      <c r="M545" t="s">
        <v>19</v>
      </c>
      <c r="N545">
        <v>97.8</v>
      </c>
      <c r="O545">
        <v>199</v>
      </c>
      <c r="P545">
        <v>1</v>
      </c>
    </row>
    <row r="546" spans="1:16" x14ac:dyDescent="0.25">
      <c r="A546" s="1">
        <v>45473.190266203703</v>
      </c>
      <c r="B546" t="s">
        <v>30</v>
      </c>
      <c r="C546">
        <v>0.71179999999999999</v>
      </c>
      <c r="D546">
        <v>108.5142</v>
      </c>
      <c r="E546">
        <v>298</v>
      </c>
      <c r="F546" t="s">
        <v>26</v>
      </c>
      <c r="G546">
        <v>27.8</v>
      </c>
      <c r="H546">
        <v>76.900000000000006</v>
      </c>
      <c r="I546" t="s">
        <v>22</v>
      </c>
      <c r="J546">
        <v>18</v>
      </c>
      <c r="K546">
        <v>414</v>
      </c>
      <c r="L546">
        <v>5</v>
      </c>
      <c r="M546" t="s">
        <v>19</v>
      </c>
      <c r="N546">
        <v>72.2</v>
      </c>
      <c r="O546">
        <v>164</v>
      </c>
      <c r="P546">
        <v>1</v>
      </c>
    </row>
    <row r="547" spans="1:16" x14ac:dyDescent="0.25">
      <c r="A547" s="1">
        <v>45628.430393518516</v>
      </c>
      <c r="B547" t="s">
        <v>29</v>
      </c>
      <c r="C547">
        <v>43.225499999999997</v>
      </c>
      <c r="D547">
        <v>-143.04150000000001</v>
      </c>
      <c r="E547">
        <v>106</v>
      </c>
      <c r="F547" t="s">
        <v>17</v>
      </c>
      <c r="G547">
        <v>23.7</v>
      </c>
      <c r="H547">
        <v>74.7</v>
      </c>
      <c r="I547" t="s">
        <v>22</v>
      </c>
      <c r="J547">
        <v>14</v>
      </c>
      <c r="K547">
        <v>442</v>
      </c>
      <c r="L547">
        <v>4</v>
      </c>
      <c r="M547" t="s">
        <v>31</v>
      </c>
      <c r="N547">
        <v>83.6</v>
      </c>
      <c r="O547">
        <v>276</v>
      </c>
      <c r="P547">
        <v>1</v>
      </c>
    </row>
    <row r="548" spans="1:16" x14ac:dyDescent="0.25">
      <c r="A548" s="1">
        <v>45518.460613425923</v>
      </c>
      <c r="B548" t="s">
        <v>20</v>
      </c>
      <c r="C548">
        <v>61.804699999999997</v>
      </c>
      <c r="D548">
        <v>-72.121899999999997</v>
      </c>
      <c r="E548">
        <v>293</v>
      </c>
      <c r="F548" t="s">
        <v>26</v>
      </c>
      <c r="G548">
        <v>28.5</v>
      </c>
      <c r="H548">
        <v>59.3</v>
      </c>
      <c r="I548" t="s">
        <v>28</v>
      </c>
      <c r="J548">
        <v>50</v>
      </c>
      <c r="K548">
        <v>168</v>
      </c>
      <c r="L548">
        <v>4</v>
      </c>
      <c r="M548" t="s">
        <v>23</v>
      </c>
      <c r="N548">
        <v>67.2</v>
      </c>
      <c r="O548">
        <v>199</v>
      </c>
      <c r="P548">
        <v>0</v>
      </c>
    </row>
    <row r="549" spans="1:16" x14ac:dyDescent="0.25">
      <c r="A549" s="1">
        <v>45548.132974537039</v>
      </c>
      <c r="B549" t="s">
        <v>25</v>
      </c>
      <c r="C549">
        <v>-42.692900000000002</v>
      </c>
      <c r="D549">
        <v>46.252499999999998</v>
      </c>
      <c r="E549">
        <v>301</v>
      </c>
      <c r="F549" t="s">
        <v>17</v>
      </c>
      <c r="G549">
        <v>19.2</v>
      </c>
      <c r="H549">
        <v>57.6</v>
      </c>
      <c r="I549" t="s">
        <v>22</v>
      </c>
      <c r="J549">
        <v>16</v>
      </c>
      <c r="K549">
        <v>256</v>
      </c>
      <c r="L549">
        <v>6</v>
      </c>
      <c r="M549" t="s">
        <v>19</v>
      </c>
      <c r="N549">
        <v>65.400000000000006</v>
      </c>
      <c r="O549">
        <v>148</v>
      </c>
      <c r="P549">
        <v>1</v>
      </c>
    </row>
    <row r="550" spans="1:16" x14ac:dyDescent="0.25">
      <c r="A550" s="1">
        <v>45655.765266203707</v>
      </c>
      <c r="B550" t="s">
        <v>35</v>
      </c>
      <c r="C550">
        <v>-78.075500000000005</v>
      </c>
      <c r="D550">
        <v>-11.8927</v>
      </c>
      <c r="E550">
        <v>287</v>
      </c>
      <c r="F550" t="s">
        <v>21</v>
      </c>
      <c r="G550">
        <v>25.2</v>
      </c>
      <c r="H550">
        <v>51.8</v>
      </c>
      <c r="I550" t="s">
        <v>18</v>
      </c>
      <c r="J550">
        <v>34</v>
      </c>
      <c r="K550">
        <v>399</v>
      </c>
      <c r="L550">
        <v>2</v>
      </c>
      <c r="M550" t="s">
        <v>31</v>
      </c>
      <c r="N550">
        <v>85</v>
      </c>
      <c r="O550">
        <v>124</v>
      </c>
      <c r="P550">
        <v>0</v>
      </c>
    </row>
    <row r="551" spans="1:16" x14ac:dyDescent="0.25">
      <c r="A551" s="1">
        <v>45615.578645833331</v>
      </c>
      <c r="B551" t="s">
        <v>34</v>
      </c>
      <c r="C551">
        <v>65.554699999999997</v>
      </c>
      <c r="D551">
        <v>-128.3673</v>
      </c>
      <c r="E551">
        <v>237</v>
      </c>
      <c r="F551" t="s">
        <v>21</v>
      </c>
      <c r="G551">
        <v>23.4</v>
      </c>
      <c r="H551">
        <v>53.3</v>
      </c>
      <c r="I551" t="s">
        <v>18</v>
      </c>
      <c r="J551">
        <v>38</v>
      </c>
      <c r="K551">
        <v>109</v>
      </c>
      <c r="L551">
        <v>2</v>
      </c>
      <c r="M551" t="s">
        <v>31</v>
      </c>
      <c r="N551">
        <v>87.9</v>
      </c>
      <c r="O551">
        <v>157</v>
      </c>
      <c r="P551">
        <v>0</v>
      </c>
    </row>
    <row r="552" spans="1:16" x14ac:dyDescent="0.25">
      <c r="A552" s="1">
        <v>45439.309872685182</v>
      </c>
      <c r="B552" t="s">
        <v>35</v>
      </c>
      <c r="C552">
        <v>-19.557400000000001</v>
      </c>
      <c r="D552">
        <v>-65.549300000000002</v>
      </c>
      <c r="E552">
        <v>258</v>
      </c>
      <c r="F552" t="s">
        <v>21</v>
      </c>
      <c r="G552">
        <v>25.2</v>
      </c>
      <c r="H552">
        <v>67.599999999999994</v>
      </c>
      <c r="I552" t="s">
        <v>28</v>
      </c>
      <c r="J552">
        <v>32</v>
      </c>
      <c r="K552">
        <v>484</v>
      </c>
      <c r="L552">
        <v>7</v>
      </c>
      <c r="M552" t="s">
        <v>27</v>
      </c>
      <c r="N552">
        <v>98.8</v>
      </c>
      <c r="O552">
        <v>191</v>
      </c>
      <c r="P552">
        <v>0</v>
      </c>
    </row>
    <row r="553" spans="1:16" x14ac:dyDescent="0.25">
      <c r="A553" s="1">
        <v>45615.835532407407</v>
      </c>
      <c r="B553" t="s">
        <v>33</v>
      </c>
      <c r="C553">
        <v>17.708300000000001</v>
      </c>
      <c r="D553">
        <v>-162.0043</v>
      </c>
      <c r="E553">
        <v>480</v>
      </c>
      <c r="F553" t="s">
        <v>21</v>
      </c>
      <c r="G553">
        <v>27.1</v>
      </c>
      <c r="H553">
        <v>76.3</v>
      </c>
      <c r="I553" t="s">
        <v>22</v>
      </c>
      <c r="J553">
        <v>22</v>
      </c>
      <c r="K553">
        <v>497</v>
      </c>
      <c r="L553">
        <v>9</v>
      </c>
      <c r="M553" t="s">
        <v>27</v>
      </c>
      <c r="N553">
        <v>74.900000000000006</v>
      </c>
      <c r="O553">
        <v>183</v>
      </c>
      <c r="P553">
        <v>1</v>
      </c>
    </row>
    <row r="554" spans="1:16" x14ac:dyDescent="0.25">
      <c r="A554" s="1">
        <v>45553.961388888885</v>
      </c>
      <c r="B554" t="s">
        <v>32</v>
      </c>
      <c r="C554">
        <v>-52.168599999999998</v>
      </c>
      <c r="D554">
        <v>-175.62690000000001</v>
      </c>
      <c r="E554">
        <v>441</v>
      </c>
      <c r="F554" t="s">
        <v>21</v>
      </c>
      <c r="G554">
        <v>22.6</v>
      </c>
      <c r="H554">
        <v>53.3</v>
      </c>
      <c r="I554" t="s">
        <v>28</v>
      </c>
      <c r="J554">
        <v>29</v>
      </c>
      <c r="K554">
        <v>343</v>
      </c>
      <c r="L554">
        <v>3</v>
      </c>
      <c r="M554" t="s">
        <v>31</v>
      </c>
      <c r="N554">
        <v>86.5</v>
      </c>
      <c r="O554">
        <v>172</v>
      </c>
      <c r="P554">
        <v>0</v>
      </c>
    </row>
    <row r="555" spans="1:16" x14ac:dyDescent="0.25">
      <c r="A555" s="1">
        <v>45642.095138888886</v>
      </c>
      <c r="B555" t="s">
        <v>20</v>
      </c>
      <c r="C555">
        <v>-84.237499999999997</v>
      </c>
      <c r="D555">
        <v>76.933899999999994</v>
      </c>
      <c r="E555">
        <v>346</v>
      </c>
      <c r="F555" t="s">
        <v>21</v>
      </c>
      <c r="G555">
        <v>21.6</v>
      </c>
      <c r="H555">
        <v>65.2</v>
      </c>
      <c r="I555" t="s">
        <v>28</v>
      </c>
      <c r="J555">
        <v>43</v>
      </c>
      <c r="K555">
        <v>402</v>
      </c>
      <c r="L555">
        <v>8</v>
      </c>
      <c r="M555" t="s">
        <v>27</v>
      </c>
      <c r="N555">
        <v>96.4</v>
      </c>
      <c r="O555">
        <v>157</v>
      </c>
      <c r="P555">
        <v>0</v>
      </c>
    </row>
    <row r="556" spans="1:16" x14ac:dyDescent="0.25">
      <c r="A556" s="1">
        <v>45564.792372685188</v>
      </c>
      <c r="B556" t="s">
        <v>30</v>
      </c>
      <c r="C556">
        <v>-7.5990000000000002</v>
      </c>
      <c r="D556">
        <v>-78.748900000000006</v>
      </c>
      <c r="E556">
        <v>205</v>
      </c>
      <c r="F556" t="s">
        <v>21</v>
      </c>
      <c r="G556">
        <v>23.6</v>
      </c>
      <c r="H556">
        <v>76.2</v>
      </c>
      <c r="I556" t="s">
        <v>22</v>
      </c>
      <c r="J556">
        <v>41</v>
      </c>
      <c r="K556">
        <v>324</v>
      </c>
      <c r="L556">
        <v>2</v>
      </c>
      <c r="M556" t="s">
        <v>19</v>
      </c>
      <c r="N556">
        <v>73.8</v>
      </c>
      <c r="O556">
        <v>153</v>
      </c>
      <c r="P556">
        <v>1</v>
      </c>
    </row>
    <row r="557" spans="1:16" x14ac:dyDescent="0.25">
      <c r="A557" s="1">
        <v>45380.057858796295</v>
      </c>
      <c r="B557" t="s">
        <v>30</v>
      </c>
      <c r="C557">
        <v>36.621000000000002</v>
      </c>
      <c r="D557">
        <v>97.219399999999993</v>
      </c>
      <c r="E557">
        <v>477</v>
      </c>
      <c r="F557" t="s">
        <v>17</v>
      </c>
      <c r="G557">
        <v>25.1</v>
      </c>
      <c r="H557">
        <v>50.3</v>
      </c>
      <c r="I557" t="s">
        <v>18</v>
      </c>
      <c r="J557">
        <v>32</v>
      </c>
      <c r="K557">
        <v>297</v>
      </c>
      <c r="L557">
        <v>7</v>
      </c>
      <c r="M557" t="s">
        <v>27</v>
      </c>
      <c r="N557">
        <v>96.4</v>
      </c>
      <c r="O557">
        <v>212</v>
      </c>
      <c r="P557">
        <v>1</v>
      </c>
    </row>
    <row r="558" spans="1:16" x14ac:dyDescent="0.25">
      <c r="A558" s="1">
        <v>45499.423310185186</v>
      </c>
      <c r="B558" t="s">
        <v>25</v>
      </c>
      <c r="C558">
        <v>-7.9898999999999996</v>
      </c>
      <c r="D558">
        <v>-23.572299999999998</v>
      </c>
      <c r="E558">
        <v>355</v>
      </c>
      <c r="F558" t="s">
        <v>17</v>
      </c>
      <c r="G558">
        <v>19.8</v>
      </c>
      <c r="H558">
        <v>60.9</v>
      </c>
      <c r="I558" t="s">
        <v>28</v>
      </c>
      <c r="J558">
        <v>24</v>
      </c>
      <c r="K558">
        <v>226</v>
      </c>
      <c r="L558">
        <v>9</v>
      </c>
      <c r="M558" t="s">
        <v>23</v>
      </c>
      <c r="N558">
        <v>62.8</v>
      </c>
      <c r="O558">
        <v>243</v>
      </c>
      <c r="P558">
        <v>1</v>
      </c>
    </row>
    <row r="559" spans="1:16" x14ac:dyDescent="0.25">
      <c r="A559" s="1">
        <v>45645.441921296297</v>
      </c>
      <c r="B559" t="s">
        <v>29</v>
      </c>
      <c r="C559">
        <v>-68.5749</v>
      </c>
      <c r="D559">
        <v>106.21120000000001</v>
      </c>
      <c r="E559">
        <v>148</v>
      </c>
      <c r="F559" t="s">
        <v>26</v>
      </c>
      <c r="G559">
        <v>23.3</v>
      </c>
      <c r="H559">
        <v>59.1</v>
      </c>
      <c r="I559" t="s">
        <v>18</v>
      </c>
      <c r="J559">
        <v>53</v>
      </c>
      <c r="K559">
        <v>161</v>
      </c>
      <c r="L559">
        <v>10</v>
      </c>
      <c r="M559" t="s">
        <v>23</v>
      </c>
      <c r="N559">
        <v>65.7</v>
      </c>
      <c r="O559">
        <v>189</v>
      </c>
      <c r="P559">
        <v>0</v>
      </c>
    </row>
    <row r="560" spans="1:16" x14ac:dyDescent="0.25">
      <c r="A560" s="1">
        <v>45457.43787037037</v>
      </c>
      <c r="B560" t="s">
        <v>20</v>
      </c>
      <c r="C560">
        <v>-86.647199999999998</v>
      </c>
      <c r="D560">
        <v>76.164100000000005</v>
      </c>
      <c r="E560">
        <v>190</v>
      </c>
      <c r="F560" t="s">
        <v>17</v>
      </c>
      <c r="G560">
        <v>27.8</v>
      </c>
      <c r="H560">
        <v>62.2</v>
      </c>
      <c r="I560" t="s">
        <v>18</v>
      </c>
      <c r="J560">
        <v>41</v>
      </c>
      <c r="K560">
        <v>238</v>
      </c>
      <c r="L560">
        <v>2</v>
      </c>
      <c r="M560" t="s">
        <v>19</v>
      </c>
      <c r="N560">
        <v>90.2</v>
      </c>
      <c r="O560">
        <v>122</v>
      </c>
      <c r="P560">
        <v>1</v>
      </c>
    </row>
    <row r="561" spans="1:16" x14ac:dyDescent="0.25">
      <c r="A561" s="1">
        <v>45297.224293981482</v>
      </c>
      <c r="B561" t="s">
        <v>24</v>
      </c>
      <c r="C561">
        <v>-20.073</v>
      </c>
      <c r="D561">
        <v>169.58629999999999</v>
      </c>
      <c r="E561">
        <v>356</v>
      </c>
      <c r="F561" t="s">
        <v>17</v>
      </c>
      <c r="G561">
        <v>24.8</v>
      </c>
      <c r="H561">
        <v>70</v>
      </c>
      <c r="I561" t="s">
        <v>18</v>
      </c>
      <c r="J561">
        <v>37</v>
      </c>
      <c r="K561">
        <v>345</v>
      </c>
      <c r="L561">
        <v>3</v>
      </c>
      <c r="M561" t="s">
        <v>27</v>
      </c>
      <c r="N561">
        <v>84</v>
      </c>
      <c r="O561">
        <v>245</v>
      </c>
      <c r="P561">
        <v>1</v>
      </c>
    </row>
    <row r="562" spans="1:16" x14ac:dyDescent="0.25">
      <c r="A562" s="1">
        <v>45552.747557870367</v>
      </c>
      <c r="B562" t="s">
        <v>30</v>
      </c>
      <c r="C562">
        <v>8.0303000000000004</v>
      </c>
      <c r="D562">
        <v>137.60730000000001</v>
      </c>
      <c r="E562">
        <v>228</v>
      </c>
      <c r="F562" t="s">
        <v>26</v>
      </c>
      <c r="G562">
        <v>18.3</v>
      </c>
      <c r="H562">
        <v>52.3</v>
      </c>
      <c r="I562" t="s">
        <v>28</v>
      </c>
      <c r="J562">
        <v>57</v>
      </c>
      <c r="K562">
        <v>350</v>
      </c>
      <c r="L562">
        <v>3</v>
      </c>
      <c r="M562" t="s">
        <v>27</v>
      </c>
      <c r="N562">
        <v>76.5</v>
      </c>
      <c r="O562">
        <v>285</v>
      </c>
      <c r="P562">
        <v>0</v>
      </c>
    </row>
    <row r="563" spans="1:16" x14ac:dyDescent="0.25">
      <c r="A563" s="1">
        <v>45655.717881944445</v>
      </c>
      <c r="B563" t="s">
        <v>20</v>
      </c>
      <c r="C563">
        <v>-58.6706</v>
      </c>
      <c r="D563">
        <v>162.76990000000001</v>
      </c>
      <c r="E563">
        <v>437</v>
      </c>
      <c r="F563" t="s">
        <v>21</v>
      </c>
      <c r="G563">
        <v>20.9</v>
      </c>
      <c r="H563">
        <v>55.2</v>
      </c>
      <c r="I563" t="s">
        <v>28</v>
      </c>
      <c r="J563">
        <v>44</v>
      </c>
      <c r="K563">
        <v>336</v>
      </c>
      <c r="L563">
        <v>7</v>
      </c>
      <c r="M563" t="s">
        <v>23</v>
      </c>
      <c r="N563">
        <v>88.6</v>
      </c>
      <c r="O563">
        <v>118</v>
      </c>
      <c r="P563">
        <v>0</v>
      </c>
    </row>
    <row r="564" spans="1:16" x14ac:dyDescent="0.25">
      <c r="A564" s="1">
        <v>45626.703831018516</v>
      </c>
      <c r="B564" t="s">
        <v>24</v>
      </c>
      <c r="C564">
        <v>63.609200000000001</v>
      </c>
      <c r="D564">
        <v>-40.485199999999999</v>
      </c>
      <c r="E564">
        <v>295</v>
      </c>
      <c r="F564" t="s">
        <v>17</v>
      </c>
      <c r="G564">
        <v>20.3</v>
      </c>
      <c r="H564">
        <v>68.599999999999994</v>
      </c>
      <c r="I564" t="s">
        <v>18</v>
      </c>
      <c r="J564">
        <v>29</v>
      </c>
      <c r="K564">
        <v>249</v>
      </c>
      <c r="L564">
        <v>6</v>
      </c>
      <c r="M564" t="s">
        <v>19</v>
      </c>
      <c r="N564">
        <v>63.2</v>
      </c>
      <c r="O564">
        <v>295</v>
      </c>
      <c r="P564">
        <v>1</v>
      </c>
    </row>
    <row r="565" spans="1:16" x14ac:dyDescent="0.25">
      <c r="A565" s="1">
        <v>45585.496006944442</v>
      </c>
      <c r="B565" t="s">
        <v>33</v>
      </c>
      <c r="C565">
        <v>69.9178</v>
      </c>
      <c r="D565">
        <v>-25.7593</v>
      </c>
      <c r="E565">
        <v>365</v>
      </c>
      <c r="F565" t="s">
        <v>21</v>
      </c>
      <c r="G565">
        <v>30</v>
      </c>
      <c r="H565">
        <v>60</v>
      </c>
      <c r="I565" t="s">
        <v>28</v>
      </c>
      <c r="J565">
        <v>18</v>
      </c>
      <c r="K565">
        <v>215</v>
      </c>
      <c r="L565">
        <v>5</v>
      </c>
      <c r="M565" t="s">
        <v>27</v>
      </c>
      <c r="N565">
        <v>95.8</v>
      </c>
      <c r="O565">
        <v>201</v>
      </c>
      <c r="P565">
        <v>0</v>
      </c>
    </row>
    <row r="566" spans="1:16" x14ac:dyDescent="0.25">
      <c r="A566" s="1">
        <v>45451.700960648152</v>
      </c>
      <c r="B566" t="s">
        <v>24</v>
      </c>
      <c r="C566">
        <v>27.388400000000001</v>
      </c>
      <c r="D566">
        <v>-85.693799999999996</v>
      </c>
      <c r="E566">
        <v>117</v>
      </c>
      <c r="F566" t="s">
        <v>17</v>
      </c>
      <c r="G566">
        <v>23.9</v>
      </c>
      <c r="H566">
        <v>64.3</v>
      </c>
      <c r="I566" t="s">
        <v>28</v>
      </c>
      <c r="J566">
        <v>16</v>
      </c>
      <c r="K566">
        <v>175</v>
      </c>
      <c r="L566">
        <v>8</v>
      </c>
      <c r="M566" t="s">
        <v>31</v>
      </c>
      <c r="N566">
        <v>73.900000000000006</v>
      </c>
      <c r="O566">
        <v>270</v>
      </c>
      <c r="P566">
        <v>1</v>
      </c>
    </row>
    <row r="567" spans="1:16" x14ac:dyDescent="0.25">
      <c r="A567" s="1">
        <v>45546.376400462963</v>
      </c>
      <c r="B567" t="s">
        <v>20</v>
      </c>
      <c r="C567">
        <v>5.5362999999999998</v>
      </c>
      <c r="D567">
        <v>-6.3697999999999997</v>
      </c>
      <c r="E567">
        <v>202</v>
      </c>
      <c r="F567" t="s">
        <v>17</v>
      </c>
      <c r="G567">
        <v>25.9</v>
      </c>
      <c r="H567">
        <v>62.3</v>
      </c>
      <c r="I567" t="s">
        <v>22</v>
      </c>
      <c r="J567">
        <v>11</v>
      </c>
      <c r="K567">
        <v>249</v>
      </c>
      <c r="L567">
        <v>4</v>
      </c>
      <c r="M567" t="s">
        <v>19</v>
      </c>
      <c r="N567">
        <v>98</v>
      </c>
      <c r="O567">
        <v>131</v>
      </c>
      <c r="P567">
        <v>1</v>
      </c>
    </row>
    <row r="568" spans="1:16" x14ac:dyDescent="0.25">
      <c r="A568" s="1">
        <v>45604.597037037034</v>
      </c>
      <c r="B568" t="s">
        <v>24</v>
      </c>
      <c r="C568">
        <v>-47.917400000000001</v>
      </c>
      <c r="D568">
        <v>-44.467300000000002</v>
      </c>
      <c r="E568">
        <v>408</v>
      </c>
      <c r="F568" t="s">
        <v>17</v>
      </c>
      <c r="G568">
        <v>29.9</v>
      </c>
      <c r="H568">
        <v>58.9</v>
      </c>
      <c r="I568" t="s">
        <v>22</v>
      </c>
      <c r="J568">
        <v>25</v>
      </c>
      <c r="K568">
        <v>390</v>
      </c>
      <c r="L568">
        <v>8</v>
      </c>
      <c r="M568" t="s">
        <v>19</v>
      </c>
      <c r="N568">
        <v>61.5</v>
      </c>
      <c r="O568">
        <v>117</v>
      </c>
      <c r="P568">
        <v>1</v>
      </c>
    </row>
    <row r="569" spans="1:16" x14ac:dyDescent="0.25">
      <c r="A569" s="1">
        <v>45458.600682870368</v>
      </c>
      <c r="B569" t="s">
        <v>30</v>
      </c>
      <c r="C569">
        <v>-58.288400000000003</v>
      </c>
      <c r="D569">
        <v>-53.9833</v>
      </c>
      <c r="E569">
        <v>277</v>
      </c>
      <c r="F569" t="s">
        <v>21</v>
      </c>
      <c r="G569">
        <v>18.2</v>
      </c>
      <c r="H569">
        <v>75.099999999999994</v>
      </c>
      <c r="I569" t="s">
        <v>28</v>
      </c>
      <c r="J569">
        <v>60</v>
      </c>
      <c r="K569">
        <v>122</v>
      </c>
      <c r="L569">
        <v>10</v>
      </c>
      <c r="M569" t="s">
        <v>19</v>
      </c>
      <c r="N569">
        <v>65</v>
      </c>
      <c r="O569">
        <v>147</v>
      </c>
      <c r="P569">
        <v>0</v>
      </c>
    </row>
    <row r="570" spans="1:16" x14ac:dyDescent="0.25">
      <c r="A570" s="1">
        <v>45428.077418981484</v>
      </c>
      <c r="B570" t="s">
        <v>24</v>
      </c>
      <c r="C570">
        <v>44.471499999999999</v>
      </c>
      <c r="D570">
        <v>61.1203</v>
      </c>
      <c r="E570">
        <v>430</v>
      </c>
      <c r="F570" t="s">
        <v>17</v>
      </c>
      <c r="G570">
        <v>25</v>
      </c>
      <c r="H570">
        <v>53.4</v>
      </c>
      <c r="I570" t="s">
        <v>18</v>
      </c>
      <c r="J570">
        <v>30</v>
      </c>
      <c r="K570">
        <v>251</v>
      </c>
      <c r="L570">
        <v>4</v>
      </c>
      <c r="M570" t="s">
        <v>31</v>
      </c>
      <c r="N570">
        <v>77.599999999999994</v>
      </c>
      <c r="O570">
        <v>119</v>
      </c>
      <c r="P570">
        <v>1</v>
      </c>
    </row>
    <row r="571" spans="1:16" x14ac:dyDescent="0.25">
      <c r="A571" s="1">
        <v>45377.611493055556</v>
      </c>
      <c r="B571" t="s">
        <v>16</v>
      </c>
      <c r="C571">
        <v>-73.573499999999996</v>
      </c>
      <c r="D571">
        <v>153.529</v>
      </c>
      <c r="E571">
        <v>451</v>
      </c>
      <c r="F571" t="s">
        <v>17</v>
      </c>
      <c r="G571">
        <v>21.3</v>
      </c>
      <c r="H571">
        <v>67.2</v>
      </c>
      <c r="I571" t="s">
        <v>18</v>
      </c>
      <c r="J571">
        <v>24</v>
      </c>
      <c r="K571">
        <v>187</v>
      </c>
      <c r="L571">
        <v>8</v>
      </c>
      <c r="M571" t="s">
        <v>19</v>
      </c>
      <c r="N571">
        <v>69.3</v>
      </c>
      <c r="O571">
        <v>221</v>
      </c>
      <c r="P571">
        <v>1</v>
      </c>
    </row>
    <row r="572" spans="1:16" x14ac:dyDescent="0.25">
      <c r="A572" s="1">
        <v>45387.650682870371</v>
      </c>
      <c r="B572" t="s">
        <v>32</v>
      </c>
      <c r="C572">
        <v>-39.396700000000003</v>
      </c>
      <c r="D572">
        <v>15.645200000000001</v>
      </c>
      <c r="E572">
        <v>421</v>
      </c>
      <c r="F572" t="s">
        <v>26</v>
      </c>
      <c r="G572">
        <v>26</v>
      </c>
      <c r="H572">
        <v>78.099999999999994</v>
      </c>
      <c r="I572" t="s">
        <v>22</v>
      </c>
      <c r="J572">
        <v>29</v>
      </c>
      <c r="K572">
        <v>379</v>
      </c>
      <c r="L572">
        <v>5</v>
      </c>
      <c r="M572" t="s">
        <v>27</v>
      </c>
      <c r="N572">
        <v>81</v>
      </c>
      <c r="O572">
        <v>118</v>
      </c>
      <c r="P572">
        <v>1</v>
      </c>
    </row>
    <row r="573" spans="1:16" x14ac:dyDescent="0.25">
      <c r="A573" s="1">
        <v>45609.166122685187</v>
      </c>
      <c r="B573" t="s">
        <v>25</v>
      </c>
      <c r="C573">
        <v>-46.818300000000001</v>
      </c>
      <c r="D573">
        <v>81.914199999999994</v>
      </c>
      <c r="E573">
        <v>175</v>
      </c>
      <c r="F573" t="s">
        <v>21</v>
      </c>
      <c r="G573">
        <v>29.6</v>
      </c>
      <c r="H573">
        <v>66</v>
      </c>
      <c r="I573" t="s">
        <v>28</v>
      </c>
      <c r="J573">
        <v>34</v>
      </c>
      <c r="K573">
        <v>467</v>
      </c>
      <c r="L573">
        <v>9</v>
      </c>
      <c r="M573" t="s">
        <v>23</v>
      </c>
      <c r="N573">
        <v>98.3</v>
      </c>
      <c r="O573">
        <v>220</v>
      </c>
      <c r="P573">
        <v>0</v>
      </c>
    </row>
    <row r="574" spans="1:16" x14ac:dyDescent="0.25">
      <c r="A574" s="1">
        <v>45456.047592592593</v>
      </c>
      <c r="B574" t="s">
        <v>30</v>
      </c>
      <c r="C574">
        <v>57.329900000000002</v>
      </c>
      <c r="D574">
        <v>-54.796199999999999</v>
      </c>
      <c r="E574">
        <v>357</v>
      </c>
      <c r="F574" t="s">
        <v>21</v>
      </c>
      <c r="G574">
        <v>27.4</v>
      </c>
      <c r="H574">
        <v>55.5</v>
      </c>
      <c r="I574" t="s">
        <v>18</v>
      </c>
      <c r="J574">
        <v>43</v>
      </c>
      <c r="K574">
        <v>207</v>
      </c>
      <c r="L574">
        <v>2</v>
      </c>
      <c r="M574" t="s">
        <v>23</v>
      </c>
      <c r="N574">
        <v>60.5</v>
      </c>
      <c r="O574">
        <v>111</v>
      </c>
      <c r="P574">
        <v>0</v>
      </c>
    </row>
    <row r="575" spans="1:16" x14ac:dyDescent="0.25">
      <c r="A575" s="1">
        <v>45312.377789351849</v>
      </c>
      <c r="B575" t="s">
        <v>25</v>
      </c>
      <c r="C575">
        <v>86.1935</v>
      </c>
      <c r="D575">
        <v>59.498699999999999</v>
      </c>
      <c r="E575">
        <v>419</v>
      </c>
      <c r="F575" t="s">
        <v>26</v>
      </c>
      <c r="G575">
        <v>26.5</v>
      </c>
      <c r="H575">
        <v>56.2</v>
      </c>
      <c r="I575" t="s">
        <v>18</v>
      </c>
      <c r="J575">
        <v>15</v>
      </c>
      <c r="K575">
        <v>277</v>
      </c>
      <c r="L575">
        <v>2</v>
      </c>
      <c r="M575" t="s">
        <v>23</v>
      </c>
      <c r="N575">
        <v>68.3</v>
      </c>
      <c r="O575">
        <v>280</v>
      </c>
      <c r="P575">
        <v>0</v>
      </c>
    </row>
    <row r="576" spans="1:16" x14ac:dyDescent="0.25">
      <c r="A576" s="1">
        <v>45570.599664351852</v>
      </c>
      <c r="B576" t="s">
        <v>16</v>
      </c>
      <c r="C576">
        <v>59.854300000000002</v>
      </c>
      <c r="D576">
        <v>-132.38650000000001</v>
      </c>
      <c r="E576">
        <v>455</v>
      </c>
      <c r="F576" t="s">
        <v>26</v>
      </c>
      <c r="G576">
        <v>19.8</v>
      </c>
      <c r="H576">
        <v>67.599999999999994</v>
      </c>
      <c r="I576" t="s">
        <v>28</v>
      </c>
      <c r="J576">
        <v>22</v>
      </c>
      <c r="K576">
        <v>301</v>
      </c>
      <c r="L576">
        <v>3</v>
      </c>
      <c r="M576" t="s">
        <v>27</v>
      </c>
      <c r="N576">
        <v>68.2</v>
      </c>
      <c r="O576">
        <v>254</v>
      </c>
      <c r="P576">
        <v>0</v>
      </c>
    </row>
    <row r="577" spans="1:16" x14ac:dyDescent="0.25">
      <c r="A577" s="1">
        <v>45403.309675925928</v>
      </c>
      <c r="B577" t="s">
        <v>30</v>
      </c>
      <c r="C577">
        <v>-41.790799999999997</v>
      </c>
      <c r="D577">
        <v>84.200100000000006</v>
      </c>
      <c r="E577">
        <v>438</v>
      </c>
      <c r="F577" t="s">
        <v>17</v>
      </c>
      <c r="G577">
        <v>24.3</v>
      </c>
      <c r="H577">
        <v>78.8</v>
      </c>
      <c r="I577" t="s">
        <v>18</v>
      </c>
      <c r="J577">
        <v>33</v>
      </c>
      <c r="K577">
        <v>322</v>
      </c>
      <c r="L577">
        <v>7</v>
      </c>
      <c r="M577" t="s">
        <v>23</v>
      </c>
      <c r="N577">
        <v>79</v>
      </c>
      <c r="O577">
        <v>206</v>
      </c>
      <c r="P577">
        <v>1</v>
      </c>
    </row>
    <row r="578" spans="1:16" x14ac:dyDescent="0.25">
      <c r="A578" s="1">
        <v>45406.935740740744</v>
      </c>
      <c r="B578" t="s">
        <v>20</v>
      </c>
      <c r="C578">
        <v>-3.7401</v>
      </c>
      <c r="D578">
        <v>43.269300000000001</v>
      </c>
      <c r="E578">
        <v>497</v>
      </c>
      <c r="F578" t="s">
        <v>21</v>
      </c>
      <c r="G578">
        <v>28.2</v>
      </c>
      <c r="H578">
        <v>68.2</v>
      </c>
      <c r="I578" t="s">
        <v>18</v>
      </c>
      <c r="J578">
        <v>47</v>
      </c>
      <c r="K578">
        <v>184</v>
      </c>
      <c r="L578">
        <v>6</v>
      </c>
      <c r="M578" t="s">
        <v>27</v>
      </c>
      <c r="N578">
        <v>63.8</v>
      </c>
      <c r="O578">
        <v>251</v>
      </c>
      <c r="P578">
        <v>0</v>
      </c>
    </row>
    <row r="579" spans="1:16" x14ac:dyDescent="0.25">
      <c r="A579" s="1">
        <v>45332.292662037034</v>
      </c>
      <c r="B579" t="s">
        <v>32</v>
      </c>
      <c r="C579">
        <v>-27.019600000000001</v>
      </c>
      <c r="D579">
        <v>-24.081</v>
      </c>
      <c r="E579">
        <v>410</v>
      </c>
      <c r="F579" t="s">
        <v>21</v>
      </c>
      <c r="G579">
        <v>29.8</v>
      </c>
      <c r="H579">
        <v>76.2</v>
      </c>
      <c r="I579" t="s">
        <v>18</v>
      </c>
      <c r="J579">
        <v>52</v>
      </c>
      <c r="K579">
        <v>152</v>
      </c>
      <c r="L579">
        <v>2</v>
      </c>
      <c r="M579" t="s">
        <v>31</v>
      </c>
      <c r="N579">
        <v>76.599999999999994</v>
      </c>
      <c r="O579">
        <v>149</v>
      </c>
      <c r="P579">
        <v>0</v>
      </c>
    </row>
    <row r="580" spans="1:16" x14ac:dyDescent="0.25">
      <c r="A580" s="1">
        <v>45561.707731481481</v>
      </c>
      <c r="B580" t="s">
        <v>16</v>
      </c>
      <c r="C580">
        <v>-53.710700000000003</v>
      </c>
      <c r="D580">
        <v>-60.595100000000002</v>
      </c>
      <c r="E580">
        <v>306</v>
      </c>
      <c r="F580" t="s">
        <v>26</v>
      </c>
      <c r="G580">
        <v>21.5</v>
      </c>
      <c r="H580">
        <v>78.5</v>
      </c>
      <c r="I580" t="s">
        <v>28</v>
      </c>
      <c r="J580">
        <v>48</v>
      </c>
      <c r="K580">
        <v>317</v>
      </c>
      <c r="L580">
        <v>7</v>
      </c>
      <c r="M580" t="s">
        <v>23</v>
      </c>
      <c r="N580">
        <v>92.8</v>
      </c>
      <c r="O580">
        <v>231</v>
      </c>
      <c r="P580">
        <v>0</v>
      </c>
    </row>
    <row r="581" spans="1:16" x14ac:dyDescent="0.25">
      <c r="A581" s="1">
        <v>45513.599444444444</v>
      </c>
      <c r="B581" t="s">
        <v>33</v>
      </c>
      <c r="C581">
        <v>65.986599999999996</v>
      </c>
      <c r="D581">
        <v>135.5421</v>
      </c>
      <c r="E581">
        <v>209</v>
      </c>
      <c r="F581" t="s">
        <v>17</v>
      </c>
      <c r="G581">
        <v>18.600000000000001</v>
      </c>
      <c r="H581">
        <v>69.599999999999994</v>
      </c>
      <c r="I581" t="s">
        <v>22</v>
      </c>
      <c r="J581">
        <v>50</v>
      </c>
      <c r="K581">
        <v>357</v>
      </c>
      <c r="L581">
        <v>10</v>
      </c>
      <c r="M581" t="s">
        <v>27</v>
      </c>
      <c r="N581">
        <v>92.9</v>
      </c>
      <c r="O581">
        <v>125</v>
      </c>
      <c r="P581">
        <v>1</v>
      </c>
    </row>
    <row r="582" spans="1:16" x14ac:dyDescent="0.25">
      <c r="A582" s="1">
        <v>45296.87976851852</v>
      </c>
      <c r="B582" t="s">
        <v>29</v>
      </c>
      <c r="C582">
        <v>-77.813299999999998</v>
      </c>
      <c r="D582">
        <v>-89.117900000000006</v>
      </c>
      <c r="E582">
        <v>155</v>
      </c>
      <c r="F582" t="s">
        <v>17</v>
      </c>
      <c r="G582">
        <v>30</v>
      </c>
      <c r="H582">
        <v>64.5</v>
      </c>
      <c r="I582" t="s">
        <v>18</v>
      </c>
      <c r="J582">
        <v>33</v>
      </c>
      <c r="K582">
        <v>342</v>
      </c>
      <c r="L582">
        <v>6</v>
      </c>
      <c r="M582" t="s">
        <v>23</v>
      </c>
      <c r="N582">
        <v>88.2</v>
      </c>
      <c r="O582">
        <v>179</v>
      </c>
      <c r="P582">
        <v>1</v>
      </c>
    </row>
    <row r="583" spans="1:16" x14ac:dyDescent="0.25">
      <c r="A583" s="1">
        <v>45626.277928240743</v>
      </c>
      <c r="B583" t="s">
        <v>33</v>
      </c>
      <c r="C583">
        <v>22.303599999999999</v>
      </c>
      <c r="D583">
        <v>59.468899999999998</v>
      </c>
      <c r="E583">
        <v>318</v>
      </c>
      <c r="F583" t="s">
        <v>17</v>
      </c>
      <c r="G583">
        <v>25.8</v>
      </c>
      <c r="H583">
        <v>79.5</v>
      </c>
      <c r="I583" t="s">
        <v>18</v>
      </c>
      <c r="J583">
        <v>11</v>
      </c>
      <c r="K583">
        <v>161</v>
      </c>
      <c r="L583">
        <v>10</v>
      </c>
      <c r="M583" t="s">
        <v>19</v>
      </c>
      <c r="N583">
        <v>90</v>
      </c>
      <c r="O583">
        <v>191</v>
      </c>
      <c r="P583">
        <v>1</v>
      </c>
    </row>
    <row r="584" spans="1:16" x14ac:dyDescent="0.25">
      <c r="A584" s="1">
        <v>45546.346736111111</v>
      </c>
      <c r="B584" t="s">
        <v>25</v>
      </c>
      <c r="C584">
        <v>-10.202299999999999</v>
      </c>
      <c r="D584">
        <v>76.794600000000003</v>
      </c>
      <c r="E584">
        <v>422</v>
      </c>
      <c r="F584" t="s">
        <v>26</v>
      </c>
      <c r="G584">
        <v>23.8</v>
      </c>
      <c r="H584">
        <v>62.4</v>
      </c>
      <c r="I584" t="s">
        <v>28</v>
      </c>
      <c r="J584">
        <v>10</v>
      </c>
      <c r="K584">
        <v>158</v>
      </c>
      <c r="L584">
        <v>4</v>
      </c>
      <c r="M584" t="s">
        <v>27</v>
      </c>
      <c r="N584">
        <v>84.7</v>
      </c>
      <c r="O584">
        <v>294</v>
      </c>
      <c r="P584">
        <v>0</v>
      </c>
    </row>
    <row r="585" spans="1:16" x14ac:dyDescent="0.25">
      <c r="A585" s="1">
        <v>45570.99832175926</v>
      </c>
      <c r="B585" t="s">
        <v>30</v>
      </c>
      <c r="C585">
        <v>-9.1011000000000006</v>
      </c>
      <c r="D585">
        <v>102.9819</v>
      </c>
      <c r="E585">
        <v>450</v>
      </c>
      <c r="F585" t="s">
        <v>21</v>
      </c>
      <c r="G585">
        <v>22.8</v>
      </c>
      <c r="H585">
        <v>58.7</v>
      </c>
      <c r="I585" t="s">
        <v>18</v>
      </c>
      <c r="J585">
        <v>45</v>
      </c>
      <c r="K585">
        <v>421</v>
      </c>
      <c r="L585">
        <v>9</v>
      </c>
      <c r="M585" t="s">
        <v>19</v>
      </c>
      <c r="N585">
        <v>90</v>
      </c>
      <c r="O585">
        <v>240</v>
      </c>
      <c r="P585">
        <v>0</v>
      </c>
    </row>
    <row r="586" spans="1:16" x14ac:dyDescent="0.25">
      <c r="A586" s="1">
        <v>45580.586018518516</v>
      </c>
      <c r="B586" t="s">
        <v>29</v>
      </c>
      <c r="C586">
        <v>-85.297300000000007</v>
      </c>
      <c r="D586">
        <v>149.08590000000001</v>
      </c>
      <c r="E586">
        <v>221</v>
      </c>
      <c r="F586" t="s">
        <v>26</v>
      </c>
      <c r="G586">
        <v>21.6</v>
      </c>
      <c r="H586">
        <v>67.7</v>
      </c>
      <c r="I586" t="s">
        <v>22</v>
      </c>
      <c r="J586">
        <v>39</v>
      </c>
      <c r="K586">
        <v>430</v>
      </c>
      <c r="L586">
        <v>6</v>
      </c>
      <c r="M586" t="s">
        <v>27</v>
      </c>
      <c r="N586">
        <v>71.900000000000006</v>
      </c>
      <c r="O586">
        <v>286</v>
      </c>
      <c r="P586">
        <v>1</v>
      </c>
    </row>
    <row r="587" spans="1:16" x14ac:dyDescent="0.25">
      <c r="A587" s="1">
        <v>45477.390810185185</v>
      </c>
      <c r="B587" t="s">
        <v>16</v>
      </c>
      <c r="C587">
        <v>-13.197699999999999</v>
      </c>
      <c r="D587">
        <v>107.4226</v>
      </c>
      <c r="E587">
        <v>271</v>
      </c>
      <c r="F587" t="s">
        <v>26</v>
      </c>
      <c r="G587">
        <v>18.7</v>
      </c>
      <c r="H587">
        <v>75.400000000000006</v>
      </c>
      <c r="I587" t="s">
        <v>28</v>
      </c>
      <c r="J587">
        <v>37</v>
      </c>
      <c r="K587">
        <v>210</v>
      </c>
      <c r="L587">
        <v>10</v>
      </c>
      <c r="M587" t="s">
        <v>27</v>
      </c>
      <c r="N587">
        <v>72</v>
      </c>
      <c r="O587">
        <v>120</v>
      </c>
      <c r="P587">
        <v>0</v>
      </c>
    </row>
    <row r="588" spans="1:16" x14ac:dyDescent="0.25">
      <c r="A588" s="1">
        <v>45525.722673611112</v>
      </c>
      <c r="B588" t="s">
        <v>29</v>
      </c>
      <c r="C588">
        <v>-77.326999999999998</v>
      </c>
      <c r="D588">
        <v>-33.600099999999998</v>
      </c>
      <c r="E588">
        <v>402</v>
      </c>
      <c r="F588" t="s">
        <v>17</v>
      </c>
      <c r="G588">
        <v>18.7</v>
      </c>
      <c r="H588">
        <v>59.6</v>
      </c>
      <c r="I588" t="s">
        <v>18</v>
      </c>
      <c r="J588">
        <v>16</v>
      </c>
      <c r="K588">
        <v>454</v>
      </c>
      <c r="L588">
        <v>1</v>
      </c>
      <c r="M588" t="s">
        <v>27</v>
      </c>
      <c r="N588">
        <v>62.9</v>
      </c>
      <c r="O588">
        <v>274</v>
      </c>
      <c r="P588">
        <v>1</v>
      </c>
    </row>
    <row r="589" spans="1:16" x14ac:dyDescent="0.25">
      <c r="A589" s="1">
        <v>45476.272627314815</v>
      </c>
      <c r="B589" t="s">
        <v>35</v>
      </c>
      <c r="C589">
        <v>-36.338799999999999</v>
      </c>
      <c r="D589">
        <v>69.5488</v>
      </c>
      <c r="E589">
        <v>119</v>
      </c>
      <c r="F589" t="s">
        <v>21</v>
      </c>
      <c r="G589">
        <v>24.4</v>
      </c>
      <c r="H589">
        <v>68.2</v>
      </c>
      <c r="I589" t="s">
        <v>22</v>
      </c>
      <c r="J589">
        <v>60</v>
      </c>
      <c r="K589">
        <v>125</v>
      </c>
      <c r="L589">
        <v>3</v>
      </c>
      <c r="M589" t="s">
        <v>19</v>
      </c>
      <c r="N589">
        <v>81.599999999999994</v>
      </c>
      <c r="O589">
        <v>106</v>
      </c>
      <c r="P589">
        <v>1</v>
      </c>
    </row>
    <row r="590" spans="1:16" x14ac:dyDescent="0.25">
      <c r="A590" s="1">
        <v>45342.734513888892</v>
      </c>
      <c r="B590" t="s">
        <v>20</v>
      </c>
      <c r="C590">
        <v>-35.495100000000001</v>
      </c>
      <c r="D590">
        <v>105.3877</v>
      </c>
      <c r="E590">
        <v>385</v>
      </c>
      <c r="F590" t="s">
        <v>26</v>
      </c>
      <c r="G590">
        <v>26.1</v>
      </c>
      <c r="H590">
        <v>68.3</v>
      </c>
      <c r="I590" t="s">
        <v>28</v>
      </c>
      <c r="J590">
        <v>38</v>
      </c>
      <c r="K590">
        <v>114</v>
      </c>
      <c r="L590">
        <v>6</v>
      </c>
      <c r="M590" t="s">
        <v>23</v>
      </c>
      <c r="N590">
        <v>64.599999999999994</v>
      </c>
      <c r="O590">
        <v>190</v>
      </c>
      <c r="P590">
        <v>0</v>
      </c>
    </row>
    <row r="591" spans="1:16" x14ac:dyDescent="0.25">
      <c r="A591" s="1">
        <v>45437.158715277779</v>
      </c>
      <c r="B591" t="s">
        <v>29</v>
      </c>
      <c r="C591">
        <v>-50.725499999999997</v>
      </c>
      <c r="D591">
        <v>49.299300000000002</v>
      </c>
      <c r="E591">
        <v>443</v>
      </c>
      <c r="F591" t="s">
        <v>26</v>
      </c>
      <c r="G591">
        <v>23.6</v>
      </c>
      <c r="H591">
        <v>66.599999999999994</v>
      </c>
      <c r="I591" t="s">
        <v>18</v>
      </c>
      <c r="J591">
        <v>42</v>
      </c>
      <c r="K591">
        <v>333</v>
      </c>
      <c r="L591">
        <v>9</v>
      </c>
      <c r="M591" t="s">
        <v>27</v>
      </c>
      <c r="N591">
        <v>93.1</v>
      </c>
      <c r="O591">
        <v>143</v>
      </c>
      <c r="P591">
        <v>0</v>
      </c>
    </row>
    <row r="592" spans="1:16" x14ac:dyDescent="0.25">
      <c r="A592" s="1">
        <v>45440.68378472222</v>
      </c>
      <c r="B592" t="s">
        <v>29</v>
      </c>
      <c r="C592">
        <v>-85.600499999999997</v>
      </c>
      <c r="D592">
        <v>35.888300000000001</v>
      </c>
      <c r="E592">
        <v>271</v>
      </c>
      <c r="F592" t="s">
        <v>21</v>
      </c>
      <c r="G592">
        <v>23.6</v>
      </c>
      <c r="H592">
        <v>74.2</v>
      </c>
      <c r="I592" t="s">
        <v>28</v>
      </c>
      <c r="J592">
        <v>30</v>
      </c>
      <c r="K592">
        <v>214</v>
      </c>
      <c r="L592">
        <v>5</v>
      </c>
      <c r="M592" t="s">
        <v>27</v>
      </c>
      <c r="N592">
        <v>72.099999999999994</v>
      </c>
      <c r="O592">
        <v>132</v>
      </c>
      <c r="P592">
        <v>0</v>
      </c>
    </row>
    <row r="593" spans="1:16" x14ac:dyDescent="0.25">
      <c r="A593" s="1">
        <v>45542.442696759259</v>
      </c>
      <c r="B593" t="s">
        <v>33</v>
      </c>
      <c r="C593">
        <v>-15.3475</v>
      </c>
      <c r="D593">
        <v>13.351599999999999</v>
      </c>
      <c r="E593">
        <v>133</v>
      </c>
      <c r="F593" t="s">
        <v>17</v>
      </c>
      <c r="G593">
        <v>29.4</v>
      </c>
      <c r="H593">
        <v>51.6</v>
      </c>
      <c r="I593" t="s">
        <v>28</v>
      </c>
      <c r="J593">
        <v>31</v>
      </c>
      <c r="K593">
        <v>485</v>
      </c>
      <c r="L593">
        <v>3</v>
      </c>
      <c r="M593" t="s">
        <v>23</v>
      </c>
      <c r="N593">
        <v>90.1</v>
      </c>
      <c r="O593">
        <v>172</v>
      </c>
      <c r="P593">
        <v>1</v>
      </c>
    </row>
    <row r="594" spans="1:16" x14ac:dyDescent="0.25">
      <c r="A594" s="1">
        <v>45524.63009259259</v>
      </c>
      <c r="B594" t="s">
        <v>29</v>
      </c>
      <c r="C594">
        <v>36.457299999999996</v>
      </c>
      <c r="D594">
        <v>-60.825499999999998</v>
      </c>
      <c r="E594">
        <v>388</v>
      </c>
      <c r="F594" t="s">
        <v>17</v>
      </c>
      <c r="G594">
        <v>23.1</v>
      </c>
      <c r="H594">
        <v>64.8</v>
      </c>
      <c r="I594" t="s">
        <v>18</v>
      </c>
      <c r="J594">
        <v>23</v>
      </c>
      <c r="K594">
        <v>329</v>
      </c>
      <c r="L594">
        <v>1</v>
      </c>
      <c r="M594" t="s">
        <v>31</v>
      </c>
      <c r="N594">
        <v>89.2</v>
      </c>
      <c r="O594">
        <v>296</v>
      </c>
      <c r="P594">
        <v>1</v>
      </c>
    </row>
    <row r="595" spans="1:16" x14ac:dyDescent="0.25">
      <c r="A595" s="1">
        <v>45607.802303240744</v>
      </c>
      <c r="B595" t="s">
        <v>35</v>
      </c>
      <c r="C595">
        <v>40.9268</v>
      </c>
      <c r="D595">
        <v>-145.29900000000001</v>
      </c>
      <c r="E595">
        <v>429</v>
      </c>
      <c r="F595" t="s">
        <v>21</v>
      </c>
      <c r="G595">
        <v>20.9</v>
      </c>
      <c r="H595">
        <v>68</v>
      </c>
      <c r="I595" t="s">
        <v>22</v>
      </c>
      <c r="J595">
        <v>50</v>
      </c>
      <c r="K595">
        <v>196</v>
      </c>
      <c r="L595">
        <v>10</v>
      </c>
      <c r="M595" t="s">
        <v>31</v>
      </c>
      <c r="N595">
        <v>72.900000000000006</v>
      </c>
      <c r="O595">
        <v>123</v>
      </c>
      <c r="P595">
        <v>1</v>
      </c>
    </row>
    <row r="596" spans="1:16" x14ac:dyDescent="0.25">
      <c r="A596" s="1">
        <v>45439.359791666669</v>
      </c>
      <c r="B596" t="s">
        <v>20</v>
      </c>
      <c r="C596">
        <v>-66.072400000000002</v>
      </c>
      <c r="D596">
        <v>48.259700000000002</v>
      </c>
      <c r="E596">
        <v>145</v>
      </c>
      <c r="F596" t="s">
        <v>26</v>
      </c>
      <c r="G596">
        <v>18.8</v>
      </c>
      <c r="H596">
        <v>62.6</v>
      </c>
      <c r="I596" t="s">
        <v>18</v>
      </c>
      <c r="J596">
        <v>14</v>
      </c>
      <c r="K596">
        <v>408</v>
      </c>
      <c r="L596">
        <v>9</v>
      </c>
      <c r="M596" t="s">
        <v>23</v>
      </c>
      <c r="N596">
        <v>81.3</v>
      </c>
      <c r="O596">
        <v>138</v>
      </c>
      <c r="P596">
        <v>0</v>
      </c>
    </row>
    <row r="597" spans="1:16" x14ac:dyDescent="0.25">
      <c r="A597" s="1">
        <v>45387.789386574077</v>
      </c>
      <c r="B597" t="s">
        <v>35</v>
      </c>
      <c r="C597">
        <v>24.197099999999999</v>
      </c>
      <c r="D597">
        <v>18.693000000000001</v>
      </c>
      <c r="E597">
        <v>135</v>
      </c>
      <c r="F597" t="s">
        <v>26</v>
      </c>
      <c r="G597">
        <v>20.100000000000001</v>
      </c>
      <c r="H597">
        <v>53.8</v>
      </c>
      <c r="I597" t="s">
        <v>18</v>
      </c>
      <c r="J597">
        <v>21</v>
      </c>
      <c r="K597">
        <v>108</v>
      </c>
      <c r="L597">
        <v>10</v>
      </c>
      <c r="M597" t="s">
        <v>27</v>
      </c>
      <c r="N597">
        <v>92</v>
      </c>
      <c r="O597">
        <v>243</v>
      </c>
      <c r="P597">
        <v>0</v>
      </c>
    </row>
    <row r="598" spans="1:16" x14ac:dyDescent="0.25">
      <c r="A598" s="1">
        <v>45496.630902777775</v>
      </c>
      <c r="B598" t="s">
        <v>34</v>
      </c>
      <c r="C598">
        <v>46.860900000000001</v>
      </c>
      <c r="D598">
        <v>37.823500000000003</v>
      </c>
      <c r="E598">
        <v>442</v>
      </c>
      <c r="F598" t="s">
        <v>17</v>
      </c>
      <c r="G598">
        <v>22.2</v>
      </c>
      <c r="H598">
        <v>65.400000000000006</v>
      </c>
      <c r="I598" t="s">
        <v>18</v>
      </c>
      <c r="J598">
        <v>33</v>
      </c>
      <c r="K598">
        <v>492</v>
      </c>
      <c r="L598">
        <v>5</v>
      </c>
      <c r="M598" t="s">
        <v>23</v>
      </c>
      <c r="N598">
        <v>86.4</v>
      </c>
      <c r="O598">
        <v>145</v>
      </c>
      <c r="P598">
        <v>1</v>
      </c>
    </row>
    <row r="599" spans="1:16" x14ac:dyDescent="0.25">
      <c r="A599" s="1">
        <v>45355.392187500001</v>
      </c>
      <c r="B599" t="s">
        <v>24</v>
      </c>
      <c r="C599">
        <v>-56.785400000000003</v>
      </c>
      <c r="D599">
        <v>25.8691</v>
      </c>
      <c r="E599">
        <v>342</v>
      </c>
      <c r="F599" t="s">
        <v>26</v>
      </c>
      <c r="G599">
        <v>27.2</v>
      </c>
      <c r="H599">
        <v>55.1</v>
      </c>
      <c r="I599" t="s">
        <v>22</v>
      </c>
      <c r="J599">
        <v>22</v>
      </c>
      <c r="K599">
        <v>326</v>
      </c>
      <c r="L599">
        <v>2</v>
      </c>
      <c r="M599" t="s">
        <v>19</v>
      </c>
      <c r="N599">
        <v>64.400000000000006</v>
      </c>
      <c r="O599">
        <v>300</v>
      </c>
      <c r="P599">
        <v>1</v>
      </c>
    </row>
    <row r="600" spans="1:16" x14ac:dyDescent="0.25">
      <c r="A600" s="1">
        <v>45294.534583333334</v>
      </c>
      <c r="B600" t="s">
        <v>24</v>
      </c>
      <c r="C600">
        <v>-35.432899999999997</v>
      </c>
      <c r="D600">
        <v>9.9153000000000002</v>
      </c>
      <c r="E600">
        <v>308</v>
      </c>
      <c r="F600" t="s">
        <v>17</v>
      </c>
      <c r="G600">
        <v>25.2</v>
      </c>
      <c r="H600">
        <v>52.5</v>
      </c>
      <c r="I600" t="s">
        <v>22</v>
      </c>
      <c r="J600">
        <v>19</v>
      </c>
      <c r="K600">
        <v>475</v>
      </c>
      <c r="L600">
        <v>8</v>
      </c>
      <c r="M600" t="s">
        <v>31</v>
      </c>
      <c r="N600">
        <v>95</v>
      </c>
      <c r="O600">
        <v>206</v>
      </c>
      <c r="P600">
        <v>1</v>
      </c>
    </row>
    <row r="601" spans="1:16" x14ac:dyDescent="0.25">
      <c r="A601" s="1">
        <v>45387.847511574073</v>
      </c>
      <c r="B601" t="s">
        <v>16</v>
      </c>
      <c r="C601">
        <v>63.6965</v>
      </c>
      <c r="D601">
        <v>-131.15190000000001</v>
      </c>
      <c r="E601">
        <v>358</v>
      </c>
      <c r="F601" t="s">
        <v>17</v>
      </c>
      <c r="G601">
        <v>21.6</v>
      </c>
      <c r="H601">
        <v>61.7</v>
      </c>
      <c r="I601" t="s">
        <v>28</v>
      </c>
      <c r="J601">
        <v>23</v>
      </c>
      <c r="K601">
        <v>127</v>
      </c>
      <c r="L601">
        <v>6</v>
      </c>
      <c r="M601" t="s">
        <v>19</v>
      </c>
      <c r="N601">
        <v>85.7</v>
      </c>
      <c r="O601">
        <v>199</v>
      </c>
      <c r="P601">
        <v>1</v>
      </c>
    </row>
    <row r="602" spans="1:16" x14ac:dyDescent="0.25">
      <c r="A602" s="1">
        <v>45420.422986111109</v>
      </c>
      <c r="B602" t="s">
        <v>20</v>
      </c>
      <c r="C602">
        <v>-43.417099999999998</v>
      </c>
      <c r="D602">
        <v>160.84229999999999</v>
      </c>
      <c r="E602">
        <v>128</v>
      </c>
      <c r="F602" t="s">
        <v>17</v>
      </c>
      <c r="G602">
        <v>23</v>
      </c>
      <c r="H602">
        <v>69.7</v>
      </c>
      <c r="I602" t="s">
        <v>28</v>
      </c>
      <c r="J602">
        <v>30</v>
      </c>
      <c r="K602">
        <v>462</v>
      </c>
      <c r="L602">
        <v>8</v>
      </c>
      <c r="M602" t="s">
        <v>19</v>
      </c>
      <c r="N602">
        <v>76.7</v>
      </c>
      <c r="O602">
        <v>105</v>
      </c>
      <c r="P602">
        <v>1</v>
      </c>
    </row>
    <row r="603" spans="1:16" x14ac:dyDescent="0.25">
      <c r="A603" s="1">
        <v>45480.825868055559</v>
      </c>
      <c r="B603" t="s">
        <v>30</v>
      </c>
      <c r="C603">
        <v>-82.705799999999996</v>
      </c>
      <c r="D603">
        <v>-62.704000000000001</v>
      </c>
      <c r="E603">
        <v>426</v>
      </c>
      <c r="F603" t="s">
        <v>17</v>
      </c>
      <c r="G603">
        <v>24.2</v>
      </c>
      <c r="H603">
        <v>75.7</v>
      </c>
      <c r="I603" t="s">
        <v>28</v>
      </c>
      <c r="J603">
        <v>51</v>
      </c>
      <c r="K603">
        <v>303</v>
      </c>
      <c r="L603">
        <v>10</v>
      </c>
      <c r="M603" t="s">
        <v>31</v>
      </c>
      <c r="N603">
        <v>94.1</v>
      </c>
      <c r="O603">
        <v>160</v>
      </c>
      <c r="P603">
        <v>1</v>
      </c>
    </row>
    <row r="604" spans="1:16" x14ac:dyDescent="0.25">
      <c r="A604" s="1">
        <v>45622.948194444441</v>
      </c>
      <c r="B604" t="s">
        <v>20</v>
      </c>
      <c r="C604">
        <v>-75.321100000000001</v>
      </c>
      <c r="D604">
        <v>-58.774900000000002</v>
      </c>
      <c r="E604">
        <v>349</v>
      </c>
      <c r="F604" t="s">
        <v>26</v>
      </c>
      <c r="G604">
        <v>21.1</v>
      </c>
      <c r="H604">
        <v>54.1</v>
      </c>
      <c r="I604" t="s">
        <v>18</v>
      </c>
      <c r="J604">
        <v>47</v>
      </c>
      <c r="K604">
        <v>290</v>
      </c>
      <c r="L604">
        <v>5</v>
      </c>
      <c r="M604" t="s">
        <v>19</v>
      </c>
      <c r="N604">
        <v>70.400000000000006</v>
      </c>
      <c r="O604">
        <v>233</v>
      </c>
      <c r="P604">
        <v>0</v>
      </c>
    </row>
    <row r="605" spans="1:16" x14ac:dyDescent="0.25">
      <c r="A605" s="1">
        <v>45295.133692129632</v>
      </c>
      <c r="B605" t="s">
        <v>29</v>
      </c>
      <c r="C605">
        <v>-50.708500000000001</v>
      </c>
      <c r="D605">
        <v>-85.451499999999996</v>
      </c>
      <c r="E605">
        <v>173</v>
      </c>
      <c r="F605" t="s">
        <v>21</v>
      </c>
      <c r="G605">
        <v>23.1</v>
      </c>
      <c r="H605">
        <v>56</v>
      </c>
      <c r="I605" t="s">
        <v>22</v>
      </c>
      <c r="J605">
        <v>50</v>
      </c>
      <c r="K605">
        <v>440</v>
      </c>
      <c r="L605">
        <v>3</v>
      </c>
      <c r="M605" t="s">
        <v>31</v>
      </c>
      <c r="N605">
        <v>73.400000000000006</v>
      </c>
      <c r="O605">
        <v>289</v>
      </c>
      <c r="P605">
        <v>1</v>
      </c>
    </row>
    <row r="606" spans="1:16" x14ac:dyDescent="0.25">
      <c r="A606" s="1">
        <v>45504.624571759261</v>
      </c>
      <c r="B606" t="s">
        <v>24</v>
      </c>
      <c r="C606">
        <v>70.710099999999997</v>
      </c>
      <c r="D606">
        <v>-175.98650000000001</v>
      </c>
      <c r="E606">
        <v>184</v>
      </c>
      <c r="F606" t="s">
        <v>17</v>
      </c>
      <c r="G606">
        <v>24.5</v>
      </c>
      <c r="H606">
        <v>54.9</v>
      </c>
      <c r="I606" t="s">
        <v>18</v>
      </c>
      <c r="J606">
        <v>23</v>
      </c>
      <c r="K606">
        <v>159</v>
      </c>
      <c r="L606">
        <v>7</v>
      </c>
      <c r="M606" t="s">
        <v>27</v>
      </c>
      <c r="N606">
        <v>60.2</v>
      </c>
      <c r="O606">
        <v>120</v>
      </c>
      <c r="P606">
        <v>1</v>
      </c>
    </row>
    <row r="607" spans="1:16" x14ac:dyDescent="0.25">
      <c r="A607" s="1">
        <v>45435.974733796298</v>
      </c>
      <c r="B607" t="s">
        <v>34</v>
      </c>
      <c r="C607">
        <v>-71.100399999999993</v>
      </c>
      <c r="D607">
        <v>-147.75700000000001</v>
      </c>
      <c r="E607">
        <v>318</v>
      </c>
      <c r="F607" t="s">
        <v>17</v>
      </c>
      <c r="G607">
        <v>25.5</v>
      </c>
      <c r="H607">
        <v>64.3</v>
      </c>
      <c r="I607" t="s">
        <v>22</v>
      </c>
      <c r="J607">
        <v>15</v>
      </c>
      <c r="K607">
        <v>215</v>
      </c>
      <c r="L607">
        <v>8</v>
      </c>
      <c r="M607" t="s">
        <v>27</v>
      </c>
      <c r="N607">
        <v>69.099999999999994</v>
      </c>
      <c r="O607">
        <v>158</v>
      </c>
      <c r="P607">
        <v>1</v>
      </c>
    </row>
    <row r="608" spans="1:16" x14ac:dyDescent="0.25">
      <c r="A608" s="1">
        <v>45477.003495370373</v>
      </c>
      <c r="B608" t="s">
        <v>33</v>
      </c>
      <c r="C608">
        <v>-76.897199999999998</v>
      </c>
      <c r="D608">
        <v>-3.6358000000000001</v>
      </c>
      <c r="E608">
        <v>288</v>
      </c>
      <c r="F608" t="s">
        <v>26</v>
      </c>
      <c r="G608">
        <v>24.7</v>
      </c>
      <c r="H608">
        <v>67.400000000000006</v>
      </c>
      <c r="I608" t="s">
        <v>18</v>
      </c>
      <c r="J608">
        <v>37</v>
      </c>
      <c r="K608">
        <v>230</v>
      </c>
      <c r="L608">
        <v>7</v>
      </c>
      <c r="M608" t="s">
        <v>31</v>
      </c>
      <c r="N608">
        <v>65</v>
      </c>
      <c r="O608">
        <v>259</v>
      </c>
      <c r="P608">
        <v>0</v>
      </c>
    </row>
    <row r="609" spans="1:16" x14ac:dyDescent="0.25">
      <c r="A609" s="1">
        <v>45522.976238425923</v>
      </c>
      <c r="B609" t="s">
        <v>20</v>
      </c>
      <c r="C609">
        <v>39.799799999999998</v>
      </c>
      <c r="D609">
        <v>58.746099999999998</v>
      </c>
      <c r="E609">
        <v>317</v>
      </c>
      <c r="F609" t="s">
        <v>26</v>
      </c>
      <c r="G609">
        <v>18.5</v>
      </c>
      <c r="H609">
        <v>66</v>
      </c>
      <c r="I609" t="s">
        <v>22</v>
      </c>
      <c r="J609">
        <v>36</v>
      </c>
      <c r="K609">
        <v>465</v>
      </c>
      <c r="L609">
        <v>1</v>
      </c>
      <c r="M609" t="s">
        <v>31</v>
      </c>
      <c r="N609">
        <v>68</v>
      </c>
      <c r="O609">
        <v>180</v>
      </c>
      <c r="P609">
        <v>1</v>
      </c>
    </row>
    <row r="610" spans="1:16" x14ac:dyDescent="0.25">
      <c r="A610" s="1">
        <v>45588.639074074075</v>
      </c>
      <c r="B610" t="s">
        <v>16</v>
      </c>
      <c r="C610">
        <v>78.595399999999998</v>
      </c>
      <c r="D610">
        <v>-173.0016</v>
      </c>
      <c r="E610">
        <v>122</v>
      </c>
      <c r="F610" t="s">
        <v>21</v>
      </c>
      <c r="G610">
        <v>26.7</v>
      </c>
      <c r="H610">
        <v>73.2</v>
      </c>
      <c r="I610" t="s">
        <v>28</v>
      </c>
      <c r="J610">
        <v>37</v>
      </c>
      <c r="K610">
        <v>128</v>
      </c>
      <c r="L610">
        <v>9</v>
      </c>
      <c r="M610" t="s">
        <v>19</v>
      </c>
      <c r="N610">
        <v>81.400000000000006</v>
      </c>
      <c r="O610">
        <v>174</v>
      </c>
      <c r="P610">
        <v>0</v>
      </c>
    </row>
    <row r="611" spans="1:16" x14ac:dyDescent="0.25">
      <c r="A611" s="1">
        <v>45475.69494212963</v>
      </c>
      <c r="B611" t="s">
        <v>29</v>
      </c>
      <c r="C611">
        <v>-53.526400000000002</v>
      </c>
      <c r="D611">
        <v>13.001899999999999</v>
      </c>
      <c r="E611">
        <v>291</v>
      </c>
      <c r="F611" t="s">
        <v>26</v>
      </c>
      <c r="G611">
        <v>24.2</v>
      </c>
      <c r="H611">
        <v>67</v>
      </c>
      <c r="I611" t="s">
        <v>22</v>
      </c>
      <c r="J611">
        <v>29</v>
      </c>
      <c r="K611">
        <v>431</v>
      </c>
      <c r="L611">
        <v>9</v>
      </c>
      <c r="M611" t="s">
        <v>27</v>
      </c>
      <c r="N611">
        <v>90.1</v>
      </c>
      <c r="O611">
        <v>172</v>
      </c>
      <c r="P611">
        <v>1</v>
      </c>
    </row>
    <row r="612" spans="1:16" x14ac:dyDescent="0.25">
      <c r="A612" s="1">
        <v>45301.702939814815</v>
      </c>
      <c r="B612" t="s">
        <v>35</v>
      </c>
      <c r="C612">
        <v>49.304900000000004</v>
      </c>
      <c r="D612">
        <v>-55.649299999999997</v>
      </c>
      <c r="E612">
        <v>199</v>
      </c>
      <c r="F612" t="s">
        <v>26</v>
      </c>
      <c r="G612">
        <v>23.4</v>
      </c>
      <c r="H612">
        <v>64.400000000000006</v>
      </c>
      <c r="I612" t="s">
        <v>22</v>
      </c>
      <c r="J612">
        <v>59</v>
      </c>
      <c r="K612">
        <v>476</v>
      </c>
      <c r="L612">
        <v>10</v>
      </c>
      <c r="M612" t="s">
        <v>27</v>
      </c>
      <c r="N612">
        <v>81.3</v>
      </c>
      <c r="O612">
        <v>123</v>
      </c>
      <c r="P612">
        <v>1</v>
      </c>
    </row>
    <row r="613" spans="1:16" x14ac:dyDescent="0.25">
      <c r="A613" s="1">
        <v>45590.668217592596</v>
      </c>
      <c r="B613" t="s">
        <v>32</v>
      </c>
      <c r="C613">
        <v>72.998099999999994</v>
      </c>
      <c r="D613">
        <v>12.402900000000001</v>
      </c>
      <c r="E613">
        <v>488</v>
      </c>
      <c r="F613" t="s">
        <v>26</v>
      </c>
      <c r="G613">
        <v>21.9</v>
      </c>
      <c r="H613">
        <v>75.8</v>
      </c>
      <c r="I613" t="s">
        <v>18</v>
      </c>
      <c r="J613">
        <v>30</v>
      </c>
      <c r="K613">
        <v>147</v>
      </c>
      <c r="L613">
        <v>3</v>
      </c>
      <c r="M613" t="s">
        <v>31</v>
      </c>
      <c r="N613">
        <v>81.599999999999994</v>
      </c>
      <c r="O613">
        <v>252</v>
      </c>
      <c r="P613">
        <v>0</v>
      </c>
    </row>
    <row r="614" spans="1:16" x14ac:dyDescent="0.25">
      <c r="A614" s="1">
        <v>45349.906967592593</v>
      </c>
      <c r="B614" t="s">
        <v>35</v>
      </c>
      <c r="C614">
        <v>80.417699999999996</v>
      </c>
      <c r="D614">
        <v>-39.963200000000001</v>
      </c>
      <c r="E614">
        <v>445</v>
      </c>
      <c r="F614" t="s">
        <v>17</v>
      </c>
      <c r="G614">
        <v>20.6</v>
      </c>
      <c r="H614">
        <v>68.2</v>
      </c>
      <c r="I614" t="s">
        <v>28</v>
      </c>
      <c r="J614">
        <v>41</v>
      </c>
      <c r="K614">
        <v>418</v>
      </c>
      <c r="L614">
        <v>9</v>
      </c>
      <c r="M614" t="s">
        <v>19</v>
      </c>
      <c r="N614">
        <v>93.6</v>
      </c>
      <c r="O614">
        <v>184</v>
      </c>
      <c r="P614">
        <v>1</v>
      </c>
    </row>
    <row r="615" spans="1:16" x14ac:dyDescent="0.25">
      <c r="A615" s="1">
        <v>45510.187060185184</v>
      </c>
      <c r="B615" t="s">
        <v>30</v>
      </c>
      <c r="C615">
        <v>-51.024700000000003</v>
      </c>
      <c r="D615">
        <v>1.8063</v>
      </c>
      <c r="E615">
        <v>247</v>
      </c>
      <c r="F615" t="s">
        <v>17</v>
      </c>
      <c r="G615">
        <v>19.3</v>
      </c>
      <c r="H615">
        <v>62.9</v>
      </c>
      <c r="I615" t="s">
        <v>28</v>
      </c>
      <c r="J615">
        <v>55</v>
      </c>
      <c r="K615">
        <v>466</v>
      </c>
      <c r="L615">
        <v>2</v>
      </c>
      <c r="M615" t="s">
        <v>23</v>
      </c>
      <c r="N615">
        <v>78</v>
      </c>
      <c r="O615">
        <v>183</v>
      </c>
      <c r="P615">
        <v>1</v>
      </c>
    </row>
    <row r="616" spans="1:16" x14ac:dyDescent="0.25">
      <c r="A616" s="1">
        <v>45544.787731481483</v>
      </c>
      <c r="B616" t="s">
        <v>29</v>
      </c>
      <c r="C616">
        <v>5.2922000000000002</v>
      </c>
      <c r="D616">
        <v>172.63759999999999</v>
      </c>
      <c r="E616">
        <v>351</v>
      </c>
      <c r="F616" t="s">
        <v>21</v>
      </c>
      <c r="G616">
        <v>29.7</v>
      </c>
      <c r="H616">
        <v>52.1</v>
      </c>
      <c r="I616" t="s">
        <v>28</v>
      </c>
      <c r="J616">
        <v>41</v>
      </c>
      <c r="K616">
        <v>330</v>
      </c>
      <c r="L616">
        <v>8</v>
      </c>
      <c r="M616" t="s">
        <v>23</v>
      </c>
      <c r="N616">
        <v>94.5</v>
      </c>
      <c r="O616">
        <v>108</v>
      </c>
      <c r="P616">
        <v>0</v>
      </c>
    </row>
    <row r="617" spans="1:16" x14ac:dyDescent="0.25">
      <c r="A617" s="1">
        <v>45312.538993055554</v>
      </c>
      <c r="B617" t="s">
        <v>35</v>
      </c>
      <c r="C617">
        <v>54.309899999999999</v>
      </c>
      <c r="D617">
        <v>-98.941000000000003</v>
      </c>
      <c r="E617">
        <v>311</v>
      </c>
      <c r="F617" t="s">
        <v>17</v>
      </c>
      <c r="G617">
        <v>28.9</v>
      </c>
      <c r="H617">
        <v>77.8</v>
      </c>
      <c r="I617" t="s">
        <v>22</v>
      </c>
      <c r="J617">
        <v>43</v>
      </c>
      <c r="K617">
        <v>415</v>
      </c>
      <c r="L617">
        <v>1</v>
      </c>
      <c r="M617" t="s">
        <v>31</v>
      </c>
      <c r="N617">
        <v>76.400000000000006</v>
      </c>
      <c r="O617">
        <v>210</v>
      </c>
      <c r="P617">
        <v>1</v>
      </c>
    </row>
    <row r="618" spans="1:16" x14ac:dyDescent="0.25">
      <c r="A618" s="1">
        <v>45588.882638888892</v>
      </c>
      <c r="B618" t="s">
        <v>34</v>
      </c>
      <c r="C618">
        <v>-3.8161</v>
      </c>
      <c r="D618">
        <v>-159.72569999999999</v>
      </c>
      <c r="E618">
        <v>495</v>
      </c>
      <c r="F618" t="s">
        <v>26</v>
      </c>
      <c r="G618">
        <v>29.5</v>
      </c>
      <c r="H618">
        <v>50.6</v>
      </c>
      <c r="I618" t="s">
        <v>18</v>
      </c>
      <c r="J618">
        <v>58</v>
      </c>
      <c r="K618">
        <v>179</v>
      </c>
      <c r="L618">
        <v>3</v>
      </c>
      <c r="M618" t="s">
        <v>31</v>
      </c>
      <c r="N618">
        <v>72.3</v>
      </c>
      <c r="O618">
        <v>245</v>
      </c>
      <c r="P618">
        <v>0</v>
      </c>
    </row>
    <row r="619" spans="1:16" x14ac:dyDescent="0.25">
      <c r="A619" s="1">
        <v>45373.129432870373</v>
      </c>
      <c r="B619" t="s">
        <v>33</v>
      </c>
      <c r="C619">
        <v>-69.843100000000007</v>
      </c>
      <c r="D619">
        <v>-171.5361</v>
      </c>
      <c r="E619">
        <v>237</v>
      </c>
      <c r="F619" t="s">
        <v>21</v>
      </c>
      <c r="G619">
        <v>23.6</v>
      </c>
      <c r="H619">
        <v>62.7</v>
      </c>
      <c r="I619" t="s">
        <v>18</v>
      </c>
      <c r="J619">
        <v>35</v>
      </c>
      <c r="K619">
        <v>323</v>
      </c>
      <c r="L619">
        <v>9</v>
      </c>
      <c r="M619" t="s">
        <v>23</v>
      </c>
      <c r="N619">
        <v>66.8</v>
      </c>
      <c r="O619">
        <v>267</v>
      </c>
      <c r="P619">
        <v>0</v>
      </c>
    </row>
    <row r="620" spans="1:16" x14ac:dyDescent="0.25">
      <c r="A620" s="1">
        <v>45542.082499999997</v>
      </c>
      <c r="B620" t="s">
        <v>30</v>
      </c>
      <c r="C620">
        <v>9.3528000000000002</v>
      </c>
      <c r="D620">
        <v>120.00109999999999</v>
      </c>
      <c r="E620">
        <v>290</v>
      </c>
      <c r="F620" t="s">
        <v>26</v>
      </c>
      <c r="G620">
        <v>28.7</v>
      </c>
      <c r="H620">
        <v>72.599999999999994</v>
      </c>
      <c r="I620" t="s">
        <v>28</v>
      </c>
      <c r="J620">
        <v>45</v>
      </c>
      <c r="K620">
        <v>151</v>
      </c>
      <c r="L620">
        <v>8</v>
      </c>
      <c r="M620" t="s">
        <v>27</v>
      </c>
      <c r="N620">
        <v>81.7</v>
      </c>
      <c r="O620">
        <v>280</v>
      </c>
      <c r="P620">
        <v>0</v>
      </c>
    </row>
    <row r="621" spans="1:16" x14ac:dyDescent="0.25">
      <c r="A621" s="1">
        <v>45335.22515046296</v>
      </c>
      <c r="B621" t="s">
        <v>30</v>
      </c>
      <c r="C621">
        <v>-74.339600000000004</v>
      </c>
      <c r="D621">
        <v>-150.63390000000001</v>
      </c>
      <c r="E621">
        <v>111</v>
      </c>
      <c r="F621" t="s">
        <v>17</v>
      </c>
      <c r="G621">
        <v>22.7</v>
      </c>
      <c r="H621">
        <v>75.599999999999994</v>
      </c>
      <c r="I621" t="s">
        <v>28</v>
      </c>
      <c r="J621">
        <v>47</v>
      </c>
      <c r="K621">
        <v>207</v>
      </c>
      <c r="L621">
        <v>4</v>
      </c>
      <c r="M621" t="s">
        <v>19</v>
      </c>
      <c r="N621">
        <v>60.4</v>
      </c>
      <c r="O621">
        <v>131</v>
      </c>
      <c r="P621">
        <v>1</v>
      </c>
    </row>
    <row r="622" spans="1:16" x14ac:dyDescent="0.25">
      <c r="A622" s="1">
        <v>45321.650416666664</v>
      </c>
      <c r="B622" t="s">
        <v>30</v>
      </c>
      <c r="C622">
        <v>-62.0623</v>
      </c>
      <c r="D622">
        <v>133.88720000000001</v>
      </c>
      <c r="E622">
        <v>373</v>
      </c>
      <c r="F622" t="s">
        <v>17</v>
      </c>
      <c r="G622">
        <v>27.6</v>
      </c>
      <c r="H622">
        <v>65.8</v>
      </c>
      <c r="I622" t="s">
        <v>22</v>
      </c>
      <c r="J622">
        <v>23</v>
      </c>
      <c r="K622">
        <v>396</v>
      </c>
      <c r="L622">
        <v>1</v>
      </c>
      <c r="M622" t="s">
        <v>27</v>
      </c>
      <c r="N622">
        <v>79.3</v>
      </c>
      <c r="O622">
        <v>126</v>
      </c>
      <c r="P622">
        <v>1</v>
      </c>
    </row>
    <row r="623" spans="1:16" x14ac:dyDescent="0.25">
      <c r="A623" s="1">
        <v>45357.257268518515</v>
      </c>
      <c r="B623" t="s">
        <v>24</v>
      </c>
      <c r="C623">
        <v>-53.135399999999997</v>
      </c>
      <c r="D623">
        <v>-164.488</v>
      </c>
      <c r="E623">
        <v>458</v>
      </c>
      <c r="F623" t="s">
        <v>21</v>
      </c>
      <c r="G623">
        <v>25.5</v>
      </c>
      <c r="H623">
        <v>52.1</v>
      </c>
      <c r="I623" t="s">
        <v>18</v>
      </c>
      <c r="J623">
        <v>32</v>
      </c>
      <c r="K623">
        <v>183</v>
      </c>
      <c r="L623">
        <v>6</v>
      </c>
      <c r="M623" t="s">
        <v>23</v>
      </c>
      <c r="N623">
        <v>93.5</v>
      </c>
      <c r="O623">
        <v>154</v>
      </c>
      <c r="P623">
        <v>0</v>
      </c>
    </row>
    <row r="624" spans="1:16" x14ac:dyDescent="0.25">
      <c r="A624" s="1">
        <v>45596.323750000003</v>
      </c>
      <c r="B624" t="s">
        <v>29</v>
      </c>
      <c r="C624">
        <v>85.038899999999998</v>
      </c>
      <c r="D624">
        <v>-138.32480000000001</v>
      </c>
      <c r="E624">
        <v>354</v>
      </c>
      <c r="F624" t="s">
        <v>21</v>
      </c>
      <c r="G624">
        <v>24.7</v>
      </c>
      <c r="H624">
        <v>64.099999999999994</v>
      </c>
      <c r="I624" t="s">
        <v>18</v>
      </c>
      <c r="J624">
        <v>15</v>
      </c>
      <c r="K624">
        <v>298</v>
      </c>
      <c r="L624">
        <v>4</v>
      </c>
      <c r="M624" t="s">
        <v>31</v>
      </c>
      <c r="N624">
        <v>71.900000000000006</v>
      </c>
      <c r="O624">
        <v>162</v>
      </c>
      <c r="P624">
        <v>0</v>
      </c>
    </row>
    <row r="625" spans="1:16" x14ac:dyDescent="0.25">
      <c r="A625" s="1">
        <v>45464.418113425927</v>
      </c>
      <c r="B625" t="s">
        <v>33</v>
      </c>
      <c r="C625">
        <v>48.959800000000001</v>
      </c>
      <c r="D625">
        <v>-160.9134</v>
      </c>
      <c r="E625">
        <v>165</v>
      </c>
      <c r="F625" t="s">
        <v>17</v>
      </c>
      <c r="G625">
        <v>28.8</v>
      </c>
      <c r="H625">
        <v>51.6</v>
      </c>
      <c r="I625" t="s">
        <v>22</v>
      </c>
      <c r="J625">
        <v>49</v>
      </c>
      <c r="K625">
        <v>410</v>
      </c>
      <c r="L625">
        <v>8</v>
      </c>
      <c r="M625" t="s">
        <v>31</v>
      </c>
      <c r="N625">
        <v>88.4</v>
      </c>
      <c r="O625">
        <v>291</v>
      </c>
      <c r="P625">
        <v>1</v>
      </c>
    </row>
    <row r="626" spans="1:16" x14ac:dyDescent="0.25">
      <c r="A626" s="1">
        <v>45498.749745370369</v>
      </c>
      <c r="B626" t="s">
        <v>32</v>
      </c>
      <c r="C626">
        <v>44.363900000000001</v>
      </c>
      <c r="D626">
        <v>134.39670000000001</v>
      </c>
      <c r="E626">
        <v>471</v>
      </c>
      <c r="F626" t="s">
        <v>17</v>
      </c>
      <c r="G626">
        <v>19.8</v>
      </c>
      <c r="H626">
        <v>55.2</v>
      </c>
      <c r="I626" t="s">
        <v>28</v>
      </c>
      <c r="J626">
        <v>36</v>
      </c>
      <c r="K626">
        <v>369</v>
      </c>
      <c r="L626">
        <v>6</v>
      </c>
      <c r="M626" t="s">
        <v>31</v>
      </c>
      <c r="N626">
        <v>94.7</v>
      </c>
      <c r="O626">
        <v>183</v>
      </c>
      <c r="P626">
        <v>1</v>
      </c>
    </row>
    <row r="627" spans="1:16" x14ac:dyDescent="0.25">
      <c r="A627" s="1">
        <v>45343.917071759257</v>
      </c>
      <c r="B627" t="s">
        <v>32</v>
      </c>
      <c r="C627">
        <v>-33.162799999999997</v>
      </c>
      <c r="D627">
        <v>143.55699999999999</v>
      </c>
      <c r="E627">
        <v>410</v>
      </c>
      <c r="F627" t="s">
        <v>26</v>
      </c>
      <c r="G627">
        <v>27.5</v>
      </c>
      <c r="H627">
        <v>58.5</v>
      </c>
      <c r="I627" t="s">
        <v>18</v>
      </c>
      <c r="J627">
        <v>21</v>
      </c>
      <c r="K627">
        <v>439</v>
      </c>
      <c r="L627">
        <v>9</v>
      </c>
      <c r="M627" t="s">
        <v>31</v>
      </c>
      <c r="N627">
        <v>72.400000000000006</v>
      </c>
      <c r="O627">
        <v>182</v>
      </c>
      <c r="P627">
        <v>0</v>
      </c>
    </row>
    <row r="628" spans="1:16" x14ac:dyDescent="0.25">
      <c r="A628" s="1">
        <v>45465.291516203702</v>
      </c>
      <c r="B628" t="s">
        <v>32</v>
      </c>
      <c r="C628">
        <v>-61.151800000000001</v>
      </c>
      <c r="D628">
        <v>140.8152</v>
      </c>
      <c r="E628">
        <v>407</v>
      </c>
      <c r="F628" t="s">
        <v>21</v>
      </c>
      <c r="G628">
        <v>19.899999999999999</v>
      </c>
      <c r="H628">
        <v>50.7</v>
      </c>
      <c r="I628" t="s">
        <v>22</v>
      </c>
      <c r="J628">
        <v>55</v>
      </c>
      <c r="K628">
        <v>421</v>
      </c>
      <c r="L628">
        <v>1</v>
      </c>
      <c r="M628" t="s">
        <v>31</v>
      </c>
      <c r="N628">
        <v>87.2</v>
      </c>
      <c r="O628">
        <v>237</v>
      </c>
      <c r="P628">
        <v>1</v>
      </c>
    </row>
    <row r="629" spans="1:16" x14ac:dyDescent="0.25">
      <c r="A629" s="1">
        <v>45331.875648148147</v>
      </c>
      <c r="B629" t="s">
        <v>24</v>
      </c>
      <c r="C629">
        <v>-87.811499999999995</v>
      </c>
      <c r="D629">
        <v>97.049199999999999</v>
      </c>
      <c r="E629">
        <v>134</v>
      </c>
      <c r="F629" t="s">
        <v>26</v>
      </c>
      <c r="G629">
        <v>19.5</v>
      </c>
      <c r="H629">
        <v>75.3</v>
      </c>
      <c r="I629" t="s">
        <v>28</v>
      </c>
      <c r="J629">
        <v>45</v>
      </c>
      <c r="K629">
        <v>424</v>
      </c>
      <c r="L629">
        <v>6</v>
      </c>
      <c r="M629" t="s">
        <v>23</v>
      </c>
      <c r="N629">
        <v>80.900000000000006</v>
      </c>
      <c r="O629">
        <v>175</v>
      </c>
      <c r="P629">
        <v>0</v>
      </c>
    </row>
    <row r="630" spans="1:16" x14ac:dyDescent="0.25">
      <c r="A630" s="1">
        <v>45642.021435185183</v>
      </c>
      <c r="B630" t="s">
        <v>24</v>
      </c>
      <c r="C630">
        <v>-48.357500000000002</v>
      </c>
      <c r="D630">
        <v>115.8351</v>
      </c>
      <c r="E630">
        <v>394</v>
      </c>
      <c r="F630" t="s">
        <v>17</v>
      </c>
      <c r="G630">
        <v>26.9</v>
      </c>
      <c r="H630">
        <v>62.1</v>
      </c>
      <c r="I630" t="s">
        <v>18</v>
      </c>
      <c r="J630">
        <v>29</v>
      </c>
      <c r="K630">
        <v>419</v>
      </c>
      <c r="L630">
        <v>10</v>
      </c>
      <c r="M630" t="s">
        <v>19</v>
      </c>
      <c r="N630">
        <v>90.7</v>
      </c>
      <c r="O630">
        <v>139</v>
      </c>
      <c r="P630">
        <v>1</v>
      </c>
    </row>
    <row r="631" spans="1:16" x14ac:dyDescent="0.25">
      <c r="A631" s="1">
        <v>45373.995497685188</v>
      </c>
      <c r="B631" t="s">
        <v>24</v>
      </c>
      <c r="C631">
        <v>-59.567399999999999</v>
      </c>
      <c r="D631">
        <v>11.3653</v>
      </c>
      <c r="E631">
        <v>480</v>
      </c>
      <c r="F631" t="s">
        <v>17</v>
      </c>
      <c r="G631">
        <v>23.9</v>
      </c>
      <c r="H631">
        <v>57.9</v>
      </c>
      <c r="I631" t="s">
        <v>22</v>
      </c>
      <c r="J631">
        <v>57</v>
      </c>
      <c r="K631">
        <v>204</v>
      </c>
      <c r="L631">
        <v>6</v>
      </c>
      <c r="M631" t="s">
        <v>19</v>
      </c>
      <c r="N631">
        <v>62.3</v>
      </c>
      <c r="O631">
        <v>146</v>
      </c>
      <c r="P631">
        <v>1</v>
      </c>
    </row>
    <row r="632" spans="1:16" x14ac:dyDescent="0.25">
      <c r="A632" s="1">
        <v>45499.334953703707</v>
      </c>
      <c r="B632" t="s">
        <v>16</v>
      </c>
      <c r="C632">
        <v>-37.205500000000001</v>
      </c>
      <c r="D632">
        <v>79.448499999999996</v>
      </c>
      <c r="E632">
        <v>159</v>
      </c>
      <c r="F632" t="s">
        <v>21</v>
      </c>
      <c r="G632">
        <v>25.6</v>
      </c>
      <c r="H632">
        <v>76.599999999999994</v>
      </c>
      <c r="I632" t="s">
        <v>28</v>
      </c>
      <c r="J632">
        <v>25</v>
      </c>
      <c r="K632">
        <v>213</v>
      </c>
      <c r="L632">
        <v>5</v>
      </c>
      <c r="M632" t="s">
        <v>23</v>
      </c>
      <c r="N632">
        <v>82.2</v>
      </c>
      <c r="O632">
        <v>144</v>
      </c>
      <c r="P632">
        <v>0</v>
      </c>
    </row>
    <row r="633" spans="1:16" x14ac:dyDescent="0.25">
      <c r="A633" s="1">
        <v>45393.201527777775</v>
      </c>
      <c r="B633" t="s">
        <v>32</v>
      </c>
      <c r="C633">
        <v>38.109499999999997</v>
      </c>
      <c r="D633">
        <v>164.7654</v>
      </c>
      <c r="E633">
        <v>131</v>
      </c>
      <c r="F633" t="s">
        <v>17</v>
      </c>
      <c r="G633">
        <v>19.100000000000001</v>
      </c>
      <c r="H633">
        <v>73.3</v>
      </c>
      <c r="I633" t="s">
        <v>22</v>
      </c>
      <c r="J633">
        <v>10</v>
      </c>
      <c r="K633">
        <v>353</v>
      </c>
      <c r="L633">
        <v>3</v>
      </c>
      <c r="M633" t="s">
        <v>23</v>
      </c>
      <c r="N633">
        <v>89.4</v>
      </c>
      <c r="O633">
        <v>149</v>
      </c>
      <c r="P633">
        <v>1</v>
      </c>
    </row>
    <row r="634" spans="1:16" x14ac:dyDescent="0.25">
      <c r="A634" s="1">
        <v>45443.630046296297</v>
      </c>
      <c r="B634" t="s">
        <v>35</v>
      </c>
      <c r="C634">
        <v>-20.0991</v>
      </c>
      <c r="D634">
        <v>20.182500000000001</v>
      </c>
      <c r="E634">
        <v>224</v>
      </c>
      <c r="F634" t="s">
        <v>17</v>
      </c>
      <c r="G634">
        <v>20.2</v>
      </c>
      <c r="H634">
        <v>58.9</v>
      </c>
      <c r="I634" t="s">
        <v>22</v>
      </c>
      <c r="J634">
        <v>34</v>
      </c>
      <c r="K634">
        <v>166</v>
      </c>
      <c r="L634">
        <v>6</v>
      </c>
      <c r="M634" t="s">
        <v>31</v>
      </c>
      <c r="N634">
        <v>84.6</v>
      </c>
      <c r="O634">
        <v>105</v>
      </c>
      <c r="P634">
        <v>1</v>
      </c>
    </row>
    <row r="635" spans="1:16" x14ac:dyDescent="0.25">
      <c r="A635" s="1">
        <v>45394.656099537038</v>
      </c>
      <c r="B635" t="s">
        <v>24</v>
      </c>
      <c r="C635">
        <v>89.389799999999994</v>
      </c>
      <c r="D635">
        <v>-93.103399999999993</v>
      </c>
      <c r="E635">
        <v>120</v>
      </c>
      <c r="F635" t="s">
        <v>26</v>
      </c>
      <c r="G635">
        <v>22.6</v>
      </c>
      <c r="H635">
        <v>56.4</v>
      </c>
      <c r="I635" t="s">
        <v>28</v>
      </c>
      <c r="J635">
        <v>60</v>
      </c>
      <c r="K635">
        <v>151</v>
      </c>
      <c r="L635">
        <v>9</v>
      </c>
      <c r="M635" t="s">
        <v>23</v>
      </c>
      <c r="N635">
        <v>69.900000000000006</v>
      </c>
      <c r="O635">
        <v>194</v>
      </c>
      <c r="P635">
        <v>0</v>
      </c>
    </row>
    <row r="636" spans="1:16" x14ac:dyDescent="0.25">
      <c r="A636" s="1">
        <v>45365.753784722219</v>
      </c>
      <c r="B636" t="s">
        <v>29</v>
      </c>
      <c r="C636">
        <v>85.839299999999994</v>
      </c>
      <c r="D636">
        <v>74.4208</v>
      </c>
      <c r="E636">
        <v>321</v>
      </c>
      <c r="F636" t="s">
        <v>17</v>
      </c>
      <c r="G636">
        <v>30</v>
      </c>
      <c r="H636">
        <v>75.400000000000006</v>
      </c>
      <c r="I636" t="s">
        <v>22</v>
      </c>
      <c r="J636">
        <v>14</v>
      </c>
      <c r="K636">
        <v>391</v>
      </c>
      <c r="L636">
        <v>1</v>
      </c>
      <c r="M636" t="s">
        <v>19</v>
      </c>
      <c r="N636">
        <v>67.3</v>
      </c>
      <c r="O636">
        <v>138</v>
      </c>
      <c r="P636">
        <v>1</v>
      </c>
    </row>
    <row r="637" spans="1:16" x14ac:dyDescent="0.25">
      <c r="A637" s="1">
        <v>45513.882118055553</v>
      </c>
      <c r="B637" t="s">
        <v>35</v>
      </c>
      <c r="C637">
        <v>29.563700000000001</v>
      </c>
      <c r="D637">
        <v>-162.339</v>
      </c>
      <c r="E637">
        <v>238</v>
      </c>
      <c r="F637" t="s">
        <v>26</v>
      </c>
      <c r="G637">
        <v>26.6</v>
      </c>
      <c r="H637">
        <v>50.9</v>
      </c>
      <c r="I637" t="s">
        <v>22</v>
      </c>
      <c r="J637">
        <v>59</v>
      </c>
      <c r="K637">
        <v>160</v>
      </c>
      <c r="L637">
        <v>1</v>
      </c>
      <c r="M637" t="s">
        <v>31</v>
      </c>
      <c r="N637">
        <v>76.8</v>
      </c>
      <c r="O637">
        <v>233</v>
      </c>
      <c r="P637">
        <v>1</v>
      </c>
    </row>
    <row r="638" spans="1:16" x14ac:dyDescent="0.25">
      <c r="A638" s="1">
        <v>45553.458136574074</v>
      </c>
      <c r="B638" t="s">
        <v>35</v>
      </c>
      <c r="C638">
        <v>13.5274</v>
      </c>
      <c r="D638">
        <v>-108.9153</v>
      </c>
      <c r="E638">
        <v>297</v>
      </c>
      <c r="F638" t="s">
        <v>21</v>
      </c>
      <c r="G638">
        <v>18.100000000000001</v>
      </c>
      <c r="H638">
        <v>77.3</v>
      </c>
      <c r="I638" t="s">
        <v>28</v>
      </c>
      <c r="J638">
        <v>22</v>
      </c>
      <c r="K638">
        <v>376</v>
      </c>
      <c r="L638">
        <v>10</v>
      </c>
      <c r="M638" t="s">
        <v>19</v>
      </c>
      <c r="N638">
        <v>80.2</v>
      </c>
      <c r="O638">
        <v>168</v>
      </c>
      <c r="P638">
        <v>0</v>
      </c>
    </row>
    <row r="639" spans="1:16" x14ac:dyDescent="0.25">
      <c r="A639" s="1">
        <v>45364.905185185184</v>
      </c>
      <c r="B639" t="s">
        <v>30</v>
      </c>
      <c r="C639">
        <v>49.889600000000002</v>
      </c>
      <c r="D639">
        <v>46.776499999999999</v>
      </c>
      <c r="E639">
        <v>219</v>
      </c>
      <c r="F639" t="s">
        <v>26</v>
      </c>
      <c r="G639">
        <v>22.3</v>
      </c>
      <c r="H639">
        <v>56.9</v>
      </c>
      <c r="I639" t="s">
        <v>22</v>
      </c>
      <c r="J639">
        <v>44</v>
      </c>
      <c r="K639">
        <v>144</v>
      </c>
      <c r="L639">
        <v>8</v>
      </c>
      <c r="M639" t="s">
        <v>19</v>
      </c>
      <c r="N639">
        <v>62.2</v>
      </c>
      <c r="O639">
        <v>188</v>
      </c>
      <c r="P639">
        <v>1</v>
      </c>
    </row>
    <row r="640" spans="1:16" x14ac:dyDescent="0.25">
      <c r="A640" s="1">
        <v>45521.193958333337</v>
      </c>
      <c r="B640" t="s">
        <v>33</v>
      </c>
      <c r="C640">
        <v>61.995100000000001</v>
      </c>
      <c r="D640">
        <v>28.0639</v>
      </c>
      <c r="E640">
        <v>204</v>
      </c>
      <c r="F640" t="s">
        <v>21</v>
      </c>
      <c r="G640">
        <v>29.8</v>
      </c>
      <c r="H640">
        <v>58.9</v>
      </c>
      <c r="I640" t="s">
        <v>22</v>
      </c>
      <c r="J640">
        <v>10</v>
      </c>
      <c r="K640">
        <v>484</v>
      </c>
      <c r="L640">
        <v>3</v>
      </c>
      <c r="M640" t="s">
        <v>23</v>
      </c>
      <c r="N640">
        <v>93</v>
      </c>
      <c r="O640">
        <v>238</v>
      </c>
      <c r="P640">
        <v>1</v>
      </c>
    </row>
    <row r="641" spans="1:16" x14ac:dyDescent="0.25">
      <c r="A641" s="1">
        <v>45322.001099537039</v>
      </c>
      <c r="B641" t="s">
        <v>35</v>
      </c>
      <c r="C641">
        <v>88.354500000000002</v>
      </c>
      <c r="D641">
        <v>123.8561</v>
      </c>
      <c r="E641">
        <v>469</v>
      </c>
      <c r="F641" t="s">
        <v>21</v>
      </c>
      <c r="G641">
        <v>21.5</v>
      </c>
      <c r="H641">
        <v>52.2</v>
      </c>
      <c r="I641" t="s">
        <v>22</v>
      </c>
      <c r="J641">
        <v>56</v>
      </c>
      <c r="K641">
        <v>405</v>
      </c>
      <c r="L641">
        <v>10</v>
      </c>
      <c r="M641" t="s">
        <v>23</v>
      </c>
      <c r="N641">
        <v>95.5</v>
      </c>
      <c r="O641">
        <v>135</v>
      </c>
      <c r="P641">
        <v>1</v>
      </c>
    </row>
    <row r="642" spans="1:16" x14ac:dyDescent="0.25">
      <c r="A642" s="1">
        <v>45349.729594907411</v>
      </c>
      <c r="B642" t="s">
        <v>25</v>
      </c>
      <c r="C642">
        <v>-1.4258</v>
      </c>
      <c r="D642">
        <v>112.81740000000001</v>
      </c>
      <c r="E642">
        <v>146</v>
      </c>
      <c r="F642" t="s">
        <v>17</v>
      </c>
      <c r="G642">
        <v>24.2</v>
      </c>
      <c r="H642">
        <v>72.400000000000006</v>
      </c>
      <c r="I642" t="s">
        <v>28</v>
      </c>
      <c r="J642">
        <v>22</v>
      </c>
      <c r="K642">
        <v>321</v>
      </c>
      <c r="L642">
        <v>9</v>
      </c>
      <c r="M642" t="s">
        <v>31</v>
      </c>
      <c r="N642">
        <v>88.2</v>
      </c>
      <c r="O642">
        <v>190</v>
      </c>
      <c r="P642">
        <v>1</v>
      </c>
    </row>
    <row r="643" spans="1:16" x14ac:dyDescent="0.25">
      <c r="A643" s="1">
        <v>45557.023657407408</v>
      </c>
      <c r="B643" t="s">
        <v>33</v>
      </c>
      <c r="C643">
        <v>-18.380099999999999</v>
      </c>
      <c r="D643">
        <v>-175.0496</v>
      </c>
      <c r="E643">
        <v>215</v>
      </c>
      <c r="F643" t="s">
        <v>26</v>
      </c>
      <c r="G643">
        <v>18.899999999999999</v>
      </c>
      <c r="H643">
        <v>63.4</v>
      </c>
      <c r="I643" t="s">
        <v>22</v>
      </c>
      <c r="J643">
        <v>57</v>
      </c>
      <c r="K643">
        <v>382</v>
      </c>
      <c r="L643">
        <v>4</v>
      </c>
      <c r="M643" t="s">
        <v>23</v>
      </c>
      <c r="N643">
        <v>71.2</v>
      </c>
      <c r="O643">
        <v>274</v>
      </c>
      <c r="P643">
        <v>1</v>
      </c>
    </row>
    <row r="644" spans="1:16" x14ac:dyDescent="0.25">
      <c r="A644" s="1">
        <v>45568.332465277781</v>
      </c>
      <c r="B644" t="s">
        <v>33</v>
      </c>
      <c r="C644">
        <v>72.620599999999996</v>
      </c>
      <c r="D644">
        <v>46.139299999999999</v>
      </c>
      <c r="E644">
        <v>454</v>
      </c>
      <c r="F644" t="s">
        <v>21</v>
      </c>
      <c r="G644">
        <v>22.8</v>
      </c>
      <c r="H644">
        <v>73.3</v>
      </c>
      <c r="I644" t="s">
        <v>22</v>
      </c>
      <c r="J644">
        <v>45</v>
      </c>
      <c r="K644">
        <v>276</v>
      </c>
      <c r="L644">
        <v>5</v>
      </c>
      <c r="M644" t="s">
        <v>23</v>
      </c>
      <c r="N644">
        <v>87.4</v>
      </c>
      <c r="O644">
        <v>261</v>
      </c>
      <c r="P644">
        <v>1</v>
      </c>
    </row>
    <row r="645" spans="1:16" x14ac:dyDescent="0.25">
      <c r="A645" s="1">
        <v>45518.809733796297</v>
      </c>
      <c r="B645" t="s">
        <v>29</v>
      </c>
      <c r="C645">
        <v>-10.0844</v>
      </c>
      <c r="D645">
        <v>-0.60419999999999996</v>
      </c>
      <c r="E645">
        <v>145</v>
      </c>
      <c r="F645" t="s">
        <v>26</v>
      </c>
      <c r="G645">
        <v>29.2</v>
      </c>
      <c r="H645">
        <v>67.3</v>
      </c>
      <c r="I645" t="s">
        <v>28</v>
      </c>
      <c r="J645">
        <v>36</v>
      </c>
      <c r="K645">
        <v>230</v>
      </c>
      <c r="L645">
        <v>4</v>
      </c>
      <c r="M645" t="s">
        <v>27</v>
      </c>
      <c r="N645">
        <v>85.3</v>
      </c>
      <c r="O645">
        <v>269</v>
      </c>
      <c r="P645">
        <v>0</v>
      </c>
    </row>
    <row r="646" spans="1:16" x14ac:dyDescent="0.25">
      <c r="A646" s="1">
        <v>45650.895868055559</v>
      </c>
      <c r="B646" t="s">
        <v>24</v>
      </c>
      <c r="C646">
        <v>73.622500000000002</v>
      </c>
      <c r="D646">
        <v>125.9589</v>
      </c>
      <c r="E646">
        <v>410</v>
      </c>
      <c r="F646" t="s">
        <v>26</v>
      </c>
      <c r="G646">
        <v>18.8</v>
      </c>
      <c r="H646">
        <v>78</v>
      </c>
      <c r="I646" t="s">
        <v>22</v>
      </c>
      <c r="J646">
        <v>35</v>
      </c>
      <c r="K646">
        <v>228</v>
      </c>
      <c r="L646">
        <v>2</v>
      </c>
      <c r="M646" t="s">
        <v>31</v>
      </c>
      <c r="N646">
        <v>92.1</v>
      </c>
      <c r="O646">
        <v>111</v>
      </c>
      <c r="P646">
        <v>1</v>
      </c>
    </row>
    <row r="647" spans="1:16" x14ac:dyDescent="0.25">
      <c r="A647" s="1">
        <v>45489.884745370371</v>
      </c>
      <c r="B647" t="s">
        <v>29</v>
      </c>
      <c r="C647">
        <v>-67.510900000000007</v>
      </c>
      <c r="D647">
        <v>-162.05369999999999</v>
      </c>
      <c r="E647">
        <v>350</v>
      </c>
      <c r="F647" t="s">
        <v>17</v>
      </c>
      <c r="G647">
        <v>21.8</v>
      </c>
      <c r="H647">
        <v>60.4</v>
      </c>
      <c r="I647" t="s">
        <v>28</v>
      </c>
      <c r="J647">
        <v>15</v>
      </c>
      <c r="K647">
        <v>238</v>
      </c>
      <c r="L647">
        <v>3</v>
      </c>
      <c r="M647" t="s">
        <v>23</v>
      </c>
      <c r="N647">
        <v>81.099999999999994</v>
      </c>
      <c r="O647">
        <v>300</v>
      </c>
      <c r="P647">
        <v>1</v>
      </c>
    </row>
    <row r="648" spans="1:16" x14ac:dyDescent="0.25">
      <c r="A648" s="1">
        <v>45627.735347222224</v>
      </c>
      <c r="B648" t="s">
        <v>35</v>
      </c>
      <c r="C648">
        <v>-4.42</v>
      </c>
      <c r="D648">
        <v>-44.161900000000003</v>
      </c>
      <c r="E648">
        <v>474</v>
      </c>
      <c r="F648" t="s">
        <v>17</v>
      </c>
      <c r="G648">
        <v>29.5</v>
      </c>
      <c r="H648">
        <v>51.1</v>
      </c>
      <c r="I648" t="s">
        <v>18</v>
      </c>
      <c r="J648">
        <v>34</v>
      </c>
      <c r="K648">
        <v>136</v>
      </c>
      <c r="L648">
        <v>8</v>
      </c>
      <c r="M648" t="s">
        <v>19</v>
      </c>
      <c r="N648">
        <v>67.8</v>
      </c>
      <c r="O648">
        <v>268</v>
      </c>
      <c r="P648">
        <v>1</v>
      </c>
    </row>
    <row r="649" spans="1:16" x14ac:dyDescent="0.25">
      <c r="A649" s="1">
        <v>45573.525023148148</v>
      </c>
      <c r="B649" t="s">
        <v>35</v>
      </c>
      <c r="C649">
        <v>-31.9299</v>
      </c>
      <c r="D649">
        <v>48.953600000000002</v>
      </c>
      <c r="E649">
        <v>357</v>
      </c>
      <c r="F649" t="s">
        <v>26</v>
      </c>
      <c r="G649">
        <v>20.9</v>
      </c>
      <c r="H649">
        <v>50.9</v>
      </c>
      <c r="I649" t="s">
        <v>18</v>
      </c>
      <c r="J649">
        <v>30</v>
      </c>
      <c r="K649">
        <v>495</v>
      </c>
      <c r="L649">
        <v>1</v>
      </c>
      <c r="M649" t="s">
        <v>23</v>
      </c>
      <c r="N649">
        <v>65.599999999999994</v>
      </c>
      <c r="O649">
        <v>288</v>
      </c>
      <c r="P649">
        <v>0</v>
      </c>
    </row>
    <row r="650" spans="1:16" x14ac:dyDescent="0.25">
      <c r="A650" s="1">
        <v>45439.806550925925</v>
      </c>
      <c r="B650" t="s">
        <v>35</v>
      </c>
      <c r="C650">
        <v>-84.586100000000002</v>
      </c>
      <c r="D650">
        <v>-56.904400000000003</v>
      </c>
      <c r="E650">
        <v>171</v>
      </c>
      <c r="F650" t="s">
        <v>21</v>
      </c>
      <c r="G650">
        <v>28.8</v>
      </c>
      <c r="H650">
        <v>59.3</v>
      </c>
      <c r="I650" t="s">
        <v>28</v>
      </c>
      <c r="J650">
        <v>56</v>
      </c>
      <c r="K650">
        <v>437</v>
      </c>
      <c r="L650">
        <v>10</v>
      </c>
      <c r="M650" t="s">
        <v>19</v>
      </c>
      <c r="N650">
        <v>99.6</v>
      </c>
      <c r="O650">
        <v>235</v>
      </c>
      <c r="P650">
        <v>0</v>
      </c>
    </row>
    <row r="651" spans="1:16" x14ac:dyDescent="0.25">
      <c r="A651" s="1">
        <v>45372.932453703703</v>
      </c>
      <c r="B651" t="s">
        <v>33</v>
      </c>
      <c r="C651">
        <v>-20.657699999999998</v>
      </c>
      <c r="D651">
        <v>-86.801299999999998</v>
      </c>
      <c r="E651">
        <v>137</v>
      </c>
      <c r="F651" t="s">
        <v>26</v>
      </c>
      <c r="G651">
        <v>24</v>
      </c>
      <c r="H651">
        <v>78</v>
      </c>
      <c r="I651" t="s">
        <v>22</v>
      </c>
      <c r="J651">
        <v>29</v>
      </c>
      <c r="K651">
        <v>425</v>
      </c>
      <c r="L651">
        <v>7</v>
      </c>
      <c r="M651" t="s">
        <v>23</v>
      </c>
      <c r="N651">
        <v>69.400000000000006</v>
      </c>
      <c r="O651">
        <v>270</v>
      </c>
      <c r="P651">
        <v>1</v>
      </c>
    </row>
    <row r="652" spans="1:16" x14ac:dyDescent="0.25">
      <c r="A652" s="1">
        <v>45416.452893518515</v>
      </c>
      <c r="B652" t="s">
        <v>33</v>
      </c>
      <c r="C652">
        <v>-56.5959</v>
      </c>
      <c r="D652">
        <v>153.5316</v>
      </c>
      <c r="E652">
        <v>147</v>
      </c>
      <c r="F652" t="s">
        <v>26</v>
      </c>
      <c r="G652">
        <v>24.9</v>
      </c>
      <c r="H652">
        <v>67.599999999999994</v>
      </c>
      <c r="I652" t="s">
        <v>22</v>
      </c>
      <c r="J652">
        <v>57</v>
      </c>
      <c r="K652">
        <v>157</v>
      </c>
      <c r="L652">
        <v>4</v>
      </c>
      <c r="M652" t="s">
        <v>27</v>
      </c>
      <c r="N652">
        <v>62.1</v>
      </c>
      <c r="O652">
        <v>261</v>
      </c>
      <c r="P652">
        <v>1</v>
      </c>
    </row>
    <row r="653" spans="1:16" x14ac:dyDescent="0.25">
      <c r="A653" s="1">
        <v>45423.509340277778</v>
      </c>
      <c r="B653" t="s">
        <v>34</v>
      </c>
      <c r="C653">
        <v>20.654599999999999</v>
      </c>
      <c r="D653">
        <v>79.9499</v>
      </c>
      <c r="E653">
        <v>194</v>
      </c>
      <c r="F653" t="s">
        <v>21</v>
      </c>
      <c r="G653">
        <v>22.9</v>
      </c>
      <c r="H653">
        <v>69.7</v>
      </c>
      <c r="I653" t="s">
        <v>28</v>
      </c>
      <c r="J653">
        <v>11</v>
      </c>
      <c r="K653">
        <v>140</v>
      </c>
      <c r="L653">
        <v>4</v>
      </c>
      <c r="M653" t="s">
        <v>23</v>
      </c>
      <c r="N653">
        <v>84.7</v>
      </c>
      <c r="O653">
        <v>293</v>
      </c>
      <c r="P653">
        <v>0</v>
      </c>
    </row>
    <row r="654" spans="1:16" x14ac:dyDescent="0.25">
      <c r="A654" s="1">
        <v>45654.850914351853</v>
      </c>
      <c r="B654" t="s">
        <v>34</v>
      </c>
      <c r="C654">
        <v>-19.755299999999998</v>
      </c>
      <c r="D654">
        <v>54.2697</v>
      </c>
      <c r="E654">
        <v>291</v>
      </c>
      <c r="F654" t="s">
        <v>17</v>
      </c>
      <c r="G654">
        <v>24.1</v>
      </c>
      <c r="H654">
        <v>70.8</v>
      </c>
      <c r="I654" t="s">
        <v>22</v>
      </c>
      <c r="J654">
        <v>25</v>
      </c>
      <c r="K654">
        <v>414</v>
      </c>
      <c r="L654">
        <v>8</v>
      </c>
      <c r="M654" t="s">
        <v>19</v>
      </c>
      <c r="N654">
        <v>99.4</v>
      </c>
      <c r="O654">
        <v>225</v>
      </c>
      <c r="P654">
        <v>1</v>
      </c>
    </row>
    <row r="655" spans="1:16" x14ac:dyDescent="0.25">
      <c r="A655" s="1">
        <v>45388.075416666667</v>
      </c>
      <c r="B655" t="s">
        <v>33</v>
      </c>
      <c r="C655">
        <v>68.0702</v>
      </c>
      <c r="D655">
        <v>98.599500000000006</v>
      </c>
      <c r="E655">
        <v>176</v>
      </c>
      <c r="F655" t="s">
        <v>26</v>
      </c>
      <c r="G655">
        <v>29.5</v>
      </c>
      <c r="H655">
        <v>61.9</v>
      </c>
      <c r="I655" t="s">
        <v>28</v>
      </c>
      <c r="J655">
        <v>31</v>
      </c>
      <c r="K655">
        <v>306</v>
      </c>
      <c r="L655">
        <v>6</v>
      </c>
      <c r="M655" t="s">
        <v>23</v>
      </c>
      <c r="N655">
        <v>73.5</v>
      </c>
      <c r="O655">
        <v>217</v>
      </c>
      <c r="P655">
        <v>0</v>
      </c>
    </row>
    <row r="656" spans="1:16" x14ac:dyDescent="0.25">
      <c r="A656" s="1">
        <v>45516.424791666665</v>
      </c>
      <c r="B656" t="s">
        <v>29</v>
      </c>
      <c r="C656">
        <v>25.963999999999999</v>
      </c>
      <c r="D656">
        <v>-133.3578</v>
      </c>
      <c r="E656">
        <v>240</v>
      </c>
      <c r="F656" t="s">
        <v>21</v>
      </c>
      <c r="G656">
        <v>27.4</v>
      </c>
      <c r="H656">
        <v>72.900000000000006</v>
      </c>
      <c r="I656" t="s">
        <v>18</v>
      </c>
      <c r="J656">
        <v>29</v>
      </c>
      <c r="K656">
        <v>272</v>
      </c>
      <c r="L656">
        <v>8</v>
      </c>
      <c r="M656" t="s">
        <v>31</v>
      </c>
      <c r="N656">
        <v>72.3</v>
      </c>
      <c r="O656">
        <v>106</v>
      </c>
      <c r="P656">
        <v>0</v>
      </c>
    </row>
    <row r="657" spans="1:16" x14ac:dyDescent="0.25">
      <c r="A657" s="1">
        <v>45330.425150462965</v>
      </c>
      <c r="B657" t="s">
        <v>35</v>
      </c>
      <c r="C657">
        <v>-86.700999999999993</v>
      </c>
      <c r="D657">
        <v>-140.03389999999999</v>
      </c>
      <c r="E657">
        <v>412</v>
      </c>
      <c r="F657" t="s">
        <v>17</v>
      </c>
      <c r="G657">
        <v>23.8</v>
      </c>
      <c r="H657">
        <v>71.599999999999994</v>
      </c>
      <c r="I657" t="s">
        <v>22</v>
      </c>
      <c r="J657">
        <v>54</v>
      </c>
      <c r="K657">
        <v>301</v>
      </c>
      <c r="L657">
        <v>6</v>
      </c>
      <c r="M657" t="s">
        <v>23</v>
      </c>
      <c r="N657">
        <v>76.8</v>
      </c>
      <c r="O657">
        <v>183</v>
      </c>
      <c r="P657">
        <v>1</v>
      </c>
    </row>
    <row r="658" spans="1:16" x14ac:dyDescent="0.25">
      <c r="A658" s="1">
        <v>45567.771747685183</v>
      </c>
      <c r="B658" t="s">
        <v>30</v>
      </c>
      <c r="C658">
        <v>-35.944099999999999</v>
      </c>
      <c r="D658">
        <v>-133.41829999999999</v>
      </c>
      <c r="E658">
        <v>359</v>
      </c>
      <c r="F658" t="s">
        <v>26</v>
      </c>
      <c r="G658">
        <v>22.6</v>
      </c>
      <c r="H658">
        <v>72.900000000000006</v>
      </c>
      <c r="I658" t="s">
        <v>28</v>
      </c>
      <c r="J658">
        <v>60</v>
      </c>
      <c r="K658">
        <v>142</v>
      </c>
      <c r="L658">
        <v>4</v>
      </c>
      <c r="M658" t="s">
        <v>27</v>
      </c>
      <c r="N658">
        <v>78.5</v>
      </c>
      <c r="O658">
        <v>255</v>
      </c>
      <c r="P658">
        <v>0</v>
      </c>
    </row>
    <row r="659" spans="1:16" x14ac:dyDescent="0.25">
      <c r="A659" s="1">
        <v>45621.782013888886</v>
      </c>
      <c r="B659" t="s">
        <v>32</v>
      </c>
      <c r="C659">
        <v>62.9176</v>
      </c>
      <c r="D659">
        <v>116.017</v>
      </c>
      <c r="E659">
        <v>491</v>
      </c>
      <c r="F659" t="s">
        <v>21</v>
      </c>
      <c r="G659">
        <v>20.6</v>
      </c>
      <c r="H659">
        <v>74.7</v>
      </c>
      <c r="I659" t="s">
        <v>18</v>
      </c>
      <c r="J659">
        <v>16</v>
      </c>
      <c r="K659">
        <v>183</v>
      </c>
      <c r="L659">
        <v>7</v>
      </c>
      <c r="M659" t="s">
        <v>23</v>
      </c>
      <c r="N659">
        <v>60.3</v>
      </c>
      <c r="O659">
        <v>273</v>
      </c>
      <c r="P659">
        <v>0</v>
      </c>
    </row>
    <row r="660" spans="1:16" x14ac:dyDescent="0.25">
      <c r="A660" s="1">
        <v>45379.60670138889</v>
      </c>
      <c r="B660" t="s">
        <v>33</v>
      </c>
      <c r="C660">
        <v>69.754900000000006</v>
      </c>
      <c r="D660">
        <v>-126.81229999999999</v>
      </c>
      <c r="E660">
        <v>130</v>
      </c>
      <c r="F660" t="s">
        <v>17</v>
      </c>
      <c r="G660">
        <v>29.9</v>
      </c>
      <c r="H660">
        <v>65</v>
      </c>
      <c r="I660" t="s">
        <v>18</v>
      </c>
      <c r="J660">
        <v>50</v>
      </c>
      <c r="K660">
        <v>385</v>
      </c>
      <c r="L660">
        <v>10</v>
      </c>
      <c r="M660" t="s">
        <v>27</v>
      </c>
      <c r="N660">
        <v>72.599999999999994</v>
      </c>
      <c r="O660">
        <v>106</v>
      </c>
      <c r="P660">
        <v>1</v>
      </c>
    </row>
    <row r="661" spans="1:16" x14ac:dyDescent="0.25">
      <c r="A661" s="1">
        <v>45640.529374999998</v>
      </c>
      <c r="B661" t="s">
        <v>32</v>
      </c>
      <c r="C661">
        <v>-0.53549999999999998</v>
      </c>
      <c r="D661">
        <v>120.97929999999999</v>
      </c>
      <c r="E661">
        <v>336</v>
      </c>
      <c r="F661" t="s">
        <v>21</v>
      </c>
      <c r="G661">
        <v>22.1</v>
      </c>
      <c r="H661">
        <v>75.2</v>
      </c>
      <c r="I661" t="s">
        <v>18</v>
      </c>
      <c r="J661">
        <v>33</v>
      </c>
      <c r="K661">
        <v>443</v>
      </c>
      <c r="L661">
        <v>5</v>
      </c>
      <c r="M661" t="s">
        <v>31</v>
      </c>
      <c r="N661">
        <v>73.2</v>
      </c>
      <c r="O661">
        <v>186</v>
      </c>
      <c r="P661">
        <v>0</v>
      </c>
    </row>
    <row r="662" spans="1:16" x14ac:dyDescent="0.25">
      <c r="A662" s="1">
        <v>45364.782754629632</v>
      </c>
      <c r="B662" t="s">
        <v>25</v>
      </c>
      <c r="C662">
        <v>57.927700000000002</v>
      </c>
      <c r="D662">
        <v>-106.3278</v>
      </c>
      <c r="E662">
        <v>330</v>
      </c>
      <c r="F662" t="s">
        <v>21</v>
      </c>
      <c r="G662">
        <v>29.5</v>
      </c>
      <c r="H662">
        <v>68.5</v>
      </c>
      <c r="I662" t="s">
        <v>28</v>
      </c>
      <c r="J662">
        <v>14</v>
      </c>
      <c r="K662">
        <v>358</v>
      </c>
      <c r="L662">
        <v>1</v>
      </c>
      <c r="M662" t="s">
        <v>31</v>
      </c>
      <c r="N662">
        <v>70</v>
      </c>
      <c r="O662">
        <v>283</v>
      </c>
      <c r="P662">
        <v>0</v>
      </c>
    </row>
    <row r="663" spans="1:16" x14ac:dyDescent="0.25">
      <c r="A663" s="1">
        <v>45350.037210648145</v>
      </c>
      <c r="B663" t="s">
        <v>20</v>
      </c>
      <c r="C663">
        <v>-86.177000000000007</v>
      </c>
      <c r="D663">
        <v>112.10680000000001</v>
      </c>
      <c r="E663">
        <v>118</v>
      </c>
      <c r="F663" t="s">
        <v>21</v>
      </c>
      <c r="G663">
        <v>25.1</v>
      </c>
      <c r="H663">
        <v>59.5</v>
      </c>
      <c r="I663" t="s">
        <v>28</v>
      </c>
      <c r="J663">
        <v>36</v>
      </c>
      <c r="K663">
        <v>200</v>
      </c>
      <c r="L663">
        <v>1</v>
      </c>
      <c r="M663" t="s">
        <v>19</v>
      </c>
      <c r="N663">
        <v>80.599999999999994</v>
      </c>
      <c r="O663">
        <v>239</v>
      </c>
      <c r="P663">
        <v>0</v>
      </c>
    </row>
    <row r="664" spans="1:16" x14ac:dyDescent="0.25">
      <c r="A664" s="1">
        <v>45583.893368055556</v>
      </c>
      <c r="B664" t="s">
        <v>30</v>
      </c>
      <c r="C664">
        <v>-9.2728000000000002</v>
      </c>
      <c r="D664">
        <v>-173.06989999999999</v>
      </c>
      <c r="E664">
        <v>147</v>
      </c>
      <c r="F664" t="s">
        <v>21</v>
      </c>
      <c r="G664">
        <v>21.6</v>
      </c>
      <c r="H664">
        <v>52</v>
      </c>
      <c r="I664" t="s">
        <v>28</v>
      </c>
      <c r="J664">
        <v>24</v>
      </c>
      <c r="K664">
        <v>187</v>
      </c>
      <c r="L664">
        <v>7</v>
      </c>
      <c r="M664" t="s">
        <v>27</v>
      </c>
      <c r="N664">
        <v>71</v>
      </c>
      <c r="O664">
        <v>173</v>
      </c>
      <c r="P664">
        <v>0</v>
      </c>
    </row>
    <row r="665" spans="1:16" x14ac:dyDescent="0.25">
      <c r="A665" s="1">
        <v>45302.131655092591</v>
      </c>
      <c r="B665" t="s">
        <v>33</v>
      </c>
      <c r="C665">
        <v>-84.322400000000002</v>
      </c>
      <c r="D665">
        <v>76.116299999999995</v>
      </c>
      <c r="E665">
        <v>258</v>
      </c>
      <c r="F665" t="s">
        <v>26</v>
      </c>
      <c r="G665">
        <v>23.3</v>
      </c>
      <c r="H665">
        <v>71.8</v>
      </c>
      <c r="I665" t="s">
        <v>22</v>
      </c>
      <c r="J665">
        <v>20</v>
      </c>
      <c r="K665">
        <v>466</v>
      </c>
      <c r="L665">
        <v>7</v>
      </c>
      <c r="M665" t="s">
        <v>27</v>
      </c>
      <c r="N665">
        <v>80.599999999999994</v>
      </c>
      <c r="O665">
        <v>277</v>
      </c>
      <c r="P665">
        <v>1</v>
      </c>
    </row>
    <row r="666" spans="1:16" x14ac:dyDescent="0.25">
      <c r="A666" s="1">
        <v>45560.406134259261</v>
      </c>
      <c r="B666" t="s">
        <v>16</v>
      </c>
      <c r="C666">
        <v>-27.880600000000001</v>
      </c>
      <c r="D666">
        <v>-32.477800000000002</v>
      </c>
      <c r="E666">
        <v>315</v>
      </c>
      <c r="F666" t="s">
        <v>17</v>
      </c>
      <c r="G666">
        <v>21.7</v>
      </c>
      <c r="H666">
        <v>54.9</v>
      </c>
      <c r="I666" t="s">
        <v>22</v>
      </c>
      <c r="J666">
        <v>51</v>
      </c>
      <c r="K666">
        <v>479</v>
      </c>
      <c r="L666">
        <v>7</v>
      </c>
      <c r="M666" t="s">
        <v>27</v>
      </c>
      <c r="N666">
        <v>83.7</v>
      </c>
      <c r="O666">
        <v>293</v>
      </c>
      <c r="P666">
        <v>1</v>
      </c>
    </row>
    <row r="667" spans="1:16" x14ac:dyDescent="0.25">
      <c r="A667" s="1">
        <v>45469.866423611114</v>
      </c>
      <c r="B667" t="s">
        <v>32</v>
      </c>
      <c r="C667">
        <v>-48.840899999999998</v>
      </c>
      <c r="D667">
        <v>171.33199999999999</v>
      </c>
      <c r="E667">
        <v>233</v>
      </c>
      <c r="F667" t="s">
        <v>17</v>
      </c>
      <c r="G667">
        <v>25.3</v>
      </c>
      <c r="H667">
        <v>52.8</v>
      </c>
      <c r="I667" t="s">
        <v>18</v>
      </c>
      <c r="J667">
        <v>19</v>
      </c>
      <c r="K667">
        <v>123</v>
      </c>
      <c r="L667">
        <v>7</v>
      </c>
      <c r="M667" t="s">
        <v>23</v>
      </c>
      <c r="N667">
        <v>92.3</v>
      </c>
      <c r="O667">
        <v>192</v>
      </c>
      <c r="P667">
        <v>1</v>
      </c>
    </row>
    <row r="668" spans="1:16" x14ac:dyDescent="0.25">
      <c r="A668" s="1">
        <v>45346.308252314811</v>
      </c>
      <c r="B668" t="s">
        <v>29</v>
      </c>
      <c r="C668">
        <v>28.626999999999999</v>
      </c>
      <c r="D668">
        <v>162.88570000000001</v>
      </c>
      <c r="E668">
        <v>282</v>
      </c>
      <c r="F668" t="s">
        <v>26</v>
      </c>
      <c r="G668">
        <v>18.399999999999999</v>
      </c>
      <c r="H668">
        <v>68.8</v>
      </c>
      <c r="I668" t="s">
        <v>22</v>
      </c>
      <c r="J668">
        <v>16</v>
      </c>
      <c r="K668">
        <v>281</v>
      </c>
      <c r="L668">
        <v>4</v>
      </c>
      <c r="M668" t="s">
        <v>31</v>
      </c>
      <c r="N668">
        <v>78.8</v>
      </c>
      <c r="O668">
        <v>285</v>
      </c>
      <c r="P668">
        <v>1</v>
      </c>
    </row>
    <row r="669" spans="1:16" x14ac:dyDescent="0.25">
      <c r="A669" s="1">
        <v>45326.862013888887</v>
      </c>
      <c r="B669" t="s">
        <v>30</v>
      </c>
      <c r="C669">
        <v>-7.2601000000000004</v>
      </c>
      <c r="D669">
        <v>52.512</v>
      </c>
      <c r="E669">
        <v>117</v>
      </c>
      <c r="F669" t="s">
        <v>17</v>
      </c>
      <c r="G669">
        <v>28</v>
      </c>
      <c r="H669">
        <v>73.900000000000006</v>
      </c>
      <c r="I669" t="s">
        <v>22</v>
      </c>
      <c r="J669">
        <v>55</v>
      </c>
      <c r="K669">
        <v>156</v>
      </c>
      <c r="L669">
        <v>10</v>
      </c>
      <c r="M669" t="s">
        <v>23</v>
      </c>
      <c r="N669">
        <v>63.7</v>
      </c>
      <c r="O669">
        <v>277</v>
      </c>
      <c r="P669">
        <v>1</v>
      </c>
    </row>
    <row r="670" spans="1:16" x14ac:dyDescent="0.25">
      <c r="A670" s="1">
        <v>45350.759212962963</v>
      </c>
      <c r="B670" t="s">
        <v>35</v>
      </c>
      <c r="C670">
        <v>-16.857600000000001</v>
      </c>
      <c r="D670">
        <v>-8.0032999999999994</v>
      </c>
      <c r="E670">
        <v>242</v>
      </c>
      <c r="F670" t="s">
        <v>21</v>
      </c>
      <c r="G670">
        <v>23.7</v>
      </c>
      <c r="H670">
        <v>56</v>
      </c>
      <c r="I670" t="s">
        <v>18</v>
      </c>
      <c r="J670">
        <v>41</v>
      </c>
      <c r="K670">
        <v>190</v>
      </c>
      <c r="L670">
        <v>5</v>
      </c>
      <c r="M670" t="s">
        <v>27</v>
      </c>
      <c r="N670">
        <v>61.8</v>
      </c>
      <c r="O670">
        <v>265</v>
      </c>
      <c r="P670">
        <v>0</v>
      </c>
    </row>
    <row r="671" spans="1:16" x14ac:dyDescent="0.25">
      <c r="A671" s="1">
        <v>45409.647962962961</v>
      </c>
      <c r="B671" t="s">
        <v>32</v>
      </c>
      <c r="C671">
        <v>-42.165199999999999</v>
      </c>
      <c r="D671">
        <v>-40.9587</v>
      </c>
      <c r="E671">
        <v>497</v>
      </c>
      <c r="F671" t="s">
        <v>26</v>
      </c>
      <c r="G671">
        <v>24.1</v>
      </c>
      <c r="H671">
        <v>77.5</v>
      </c>
      <c r="I671" t="s">
        <v>28</v>
      </c>
      <c r="J671">
        <v>39</v>
      </c>
      <c r="K671">
        <v>319</v>
      </c>
      <c r="L671">
        <v>10</v>
      </c>
      <c r="M671" t="s">
        <v>27</v>
      </c>
      <c r="N671">
        <v>60</v>
      </c>
      <c r="O671">
        <v>224</v>
      </c>
      <c r="P671">
        <v>0</v>
      </c>
    </row>
    <row r="672" spans="1:16" x14ac:dyDescent="0.25">
      <c r="A672" s="1">
        <v>45592.025682870371</v>
      </c>
      <c r="B672" t="s">
        <v>24</v>
      </c>
      <c r="C672">
        <v>4.2073</v>
      </c>
      <c r="D672">
        <v>-152.13200000000001</v>
      </c>
      <c r="E672">
        <v>384</v>
      </c>
      <c r="F672" t="s">
        <v>17</v>
      </c>
      <c r="G672">
        <v>25.6</v>
      </c>
      <c r="H672">
        <v>78.8</v>
      </c>
      <c r="I672" t="s">
        <v>18</v>
      </c>
      <c r="J672">
        <v>52</v>
      </c>
      <c r="K672">
        <v>161</v>
      </c>
      <c r="L672">
        <v>10</v>
      </c>
      <c r="M672" t="s">
        <v>31</v>
      </c>
      <c r="N672">
        <v>83.6</v>
      </c>
      <c r="O672">
        <v>161</v>
      </c>
      <c r="P672">
        <v>1</v>
      </c>
    </row>
    <row r="673" spans="1:16" x14ac:dyDescent="0.25">
      <c r="A673" s="1">
        <v>45299.391342592593</v>
      </c>
      <c r="B673" t="s">
        <v>25</v>
      </c>
      <c r="C673">
        <v>7.8030999999999997</v>
      </c>
      <c r="D673">
        <v>43.4739</v>
      </c>
      <c r="E673">
        <v>258</v>
      </c>
      <c r="F673" t="s">
        <v>26</v>
      </c>
      <c r="G673">
        <v>26.8</v>
      </c>
      <c r="H673">
        <v>60.5</v>
      </c>
      <c r="I673" t="s">
        <v>28</v>
      </c>
      <c r="J673">
        <v>12</v>
      </c>
      <c r="K673">
        <v>413</v>
      </c>
      <c r="L673">
        <v>8</v>
      </c>
      <c r="M673" t="s">
        <v>23</v>
      </c>
      <c r="N673">
        <v>86.9</v>
      </c>
      <c r="O673">
        <v>207</v>
      </c>
      <c r="P673">
        <v>0</v>
      </c>
    </row>
    <row r="674" spans="1:16" x14ac:dyDescent="0.25">
      <c r="A674" s="1">
        <v>45383.774733796294</v>
      </c>
      <c r="B674" t="s">
        <v>29</v>
      </c>
      <c r="C674">
        <v>-6.8792</v>
      </c>
      <c r="D674">
        <v>165.0017</v>
      </c>
      <c r="E674">
        <v>258</v>
      </c>
      <c r="F674" t="s">
        <v>26</v>
      </c>
      <c r="G674">
        <v>29.4</v>
      </c>
      <c r="H674">
        <v>66.099999999999994</v>
      </c>
      <c r="I674" t="s">
        <v>22</v>
      </c>
      <c r="J674">
        <v>54</v>
      </c>
      <c r="K674">
        <v>395</v>
      </c>
      <c r="L674">
        <v>2</v>
      </c>
      <c r="M674" t="s">
        <v>31</v>
      </c>
      <c r="N674">
        <v>71.400000000000006</v>
      </c>
      <c r="O674">
        <v>256</v>
      </c>
      <c r="P674">
        <v>1</v>
      </c>
    </row>
    <row r="675" spans="1:16" x14ac:dyDescent="0.25">
      <c r="A675" s="1">
        <v>45356.524629629632</v>
      </c>
      <c r="B675" t="s">
        <v>16</v>
      </c>
      <c r="C675">
        <v>60.607300000000002</v>
      </c>
      <c r="D675">
        <v>74.362499999999997</v>
      </c>
      <c r="E675">
        <v>291</v>
      </c>
      <c r="F675" t="s">
        <v>21</v>
      </c>
      <c r="G675">
        <v>26.9</v>
      </c>
      <c r="H675">
        <v>52.3</v>
      </c>
      <c r="I675" t="s">
        <v>22</v>
      </c>
      <c r="J675">
        <v>34</v>
      </c>
      <c r="K675">
        <v>253</v>
      </c>
      <c r="L675">
        <v>2</v>
      </c>
      <c r="M675" t="s">
        <v>27</v>
      </c>
      <c r="N675">
        <v>94.9</v>
      </c>
      <c r="O675">
        <v>228</v>
      </c>
      <c r="P675">
        <v>1</v>
      </c>
    </row>
    <row r="676" spans="1:16" x14ac:dyDescent="0.25">
      <c r="A676" s="1">
        <v>45526.276562500003</v>
      </c>
      <c r="B676" t="s">
        <v>25</v>
      </c>
      <c r="C676">
        <v>-87.231700000000004</v>
      </c>
      <c r="D676">
        <v>143.00059999999999</v>
      </c>
      <c r="E676">
        <v>135</v>
      </c>
      <c r="F676" t="s">
        <v>17</v>
      </c>
      <c r="G676">
        <v>29</v>
      </c>
      <c r="H676">
        <v>62.2</v>
      </c>
      <c r="I676" t="s">
        <v>22</v>
      </c>
      <c r="J676">
        <v>24</v>
      </c>
      <c r="K676">
        <v>155</v>
      </c>
      <c r="L676">
        <v>3</v>
      </c>
      <c r="M676" t="s">
        <v>31</v>
      </c>
      <c r="N676">
        <v>69.400000000000006</v>
      </c>
      <c r="O676">
        <v>196</v>
      </c>
      <c r="P676">
        <v>1</v>
      </c>
    </row>
    <row r="677" spans="1:16" x14ac:dyDescent="0.25">
      <c r="A677" s="1">
        <v>45311.610358796293</v>
      </c>
      <c r="B677" t="s">
        <v>24</v>
      </c>
      <c r="C677">
        <v>38.825000000000003</v>
      </c>
      <c r="D677">
        <v>-51.845100000000002</v>
      </c>
      <c r="E677">
        <v>437</v>
      </c>
      <c r="F677" t="s">
        <v>17</v>
      </c>
      <c r="G677">
        <v>23.3</v>
      </c>
      <c r="H677">
        <v>61.6</v>
      </c>
      <c r="I677" t="s">
        <v>22</v>
      </c>
      <c r="J677">
        <v>45</v>
      </c>
      <c r="K677">
        <v>177</v>
      </c>
      <c r="L677">
        <v>5</v>
      </c>
      <c r="M677" t="s">
        <v>31</v>
      </c>
      <c r="N677">
        <v>93.3</v>
      </c>
      <c r="O677">
        <v>106</v>
      </c>
      <c r="P677">
        <v>1</v>
      </c>
    </row>
    <row r="678" spans="1:16" x14ac:dyDescent="0.25">
      <c r="A678" s="1">
        <v>45479.753738425927</v>
      </c>
      <c r="B678" t="s">
        <v>25</v>
      </c>
      <c r="C678">
        <v>-53.525500000000001</v>
      </c>
      <c r="D678">
        <v>-1.9486000000000001</v>
      </c>
      <c r="E678">
        <v>441</v>
      </c>
      <c r="F678" t="s">
        <v>17</v>
      </c>
      <c r="G678">
        <v>23.1</v>
      </c>
      <c r="H678">
        <v>57.1</v>
      </c>
      <c r="I678" t="s">
        <v>28</v>
      </c>
      <c r="J678">
        <v>55</v>
      </c>
      <c r="K678">
        <v>490</v>
      </c>
      <c r="L678">
        <v>10</v>
      </c>
      <c r="M678" t="s">
        <v>23</v>
      </c>
      <c r="N678">
        <v>65.099999999999994</v>
      </c>
      <c r="O678">
        <v>289</v>
      </c>
      <c r="P678">
        <v>1</v>
      </c>
    </row>
    <row r="679" spans="1:16" x14ac:dyDescent="0.25">
      <c r="A679" s="1">
        <v>45424.858483796299</v>
      </c>
      <c r="B679" t="s">
        <v>20</v>
      </c>
      <c r="C679">
        <v>71.118200000000002</v>
      </c>
      <c r="D679">
        <v>-120.1134</v>
      </c>
      <c r="E679">
        <v>268</v>
      </c>
      <c r="F679" t="s">
        <v>17</v>
      </c>
      <c r="G679">
        <v>20.3</v>
      </c>
      <c r="H679">
        <v>78.099999999999994</v>
      </c>
      <c r="I679" t="s">
        <v>18</v>
      </c>
      <c r="J679">
        <v>30</v>
      </c>
      <c r="K679">
        <v>102</v>
      </c>
      <c r="L679">
        <v>6</v>
      </c>
      <c r="M679" t="s">
        <v>23</v>
      </c>
      <c r="N679">
        <v>91.7</v>
      </c>
      <c r="O679">
        <v>132</v>
      </c>
      <c r="P679">
        <v>1</v>
      </c>
    </row>
    <row r="680" spans="1:16" x14ac:dyDescent="0.25">
      <c r="A680" s="1">
        <v>45616.644131944442</v>
      </c>
      <c r="B680" t="s">
        <v>30</v>
      </c>
      <c r="C680">
        <v>-78.490200000000002</v>
      </c>
      <c r="D680">
        <v>-101.32550000000001</v>
      </c>
      <c r="E680">
        <v>142</v>
      </c>
      <c r="F680" t="s">
        <v>17</v>
      </c>
      <c r="G680">
        <v>24</v>
      </c>
      <c r="H680">
        <v>51.6</v>
      </c>
      <c r="I680" t="s">
        <v>28</v>
      </c>
      <c r="J680">
        <v>40</v>
      </c>
      <c r="K680">
        <v>160</v>
      </c>
      <c r="L680">
        <v>7</v>
      </c>
      <c r="M680" t="s">
        <v>19</v>
      </c>
      <c r="N680">
        <v>70</v>
      </c>
      <c r="O680">
        <v>276</v>
      </c>
      <c r="P680">
        <v>1</v>
      </c>
    </row>
    <row r="681" spans="1:16" x14ac:dyDescent="0.25">
      <c r="A681" s="1">
        <v>45518.789421296293</v>
      </c>
      <c r="B681" t="s">
        <v>25</v>
      </c>
      <c r="C681">
        <v>35.093299999999999</v>
      </c>
      <c r="D681">
        <v>-170.9221</v>
      </c>
      <c r="E681">
        <v>264</v>
      </c>
      <c r="F681" t="s">
        <v>21</v>
      </c>
      <c r="G681">
        <v>25.3</v>
      </c>
      <c r="H681">
        <v>55.2</v>
      </c>
      <c r="I681" t="s">
        <v>28</v>
      </c>
      <c r="J681">
        <v>51</v>
      </c>
      <c r="K681">
        <v>213</v>
      </c>
      <c r="L681">
        <v>10</v>
      </c>
      <c r="M681" t="s">
        <v>31</v>
      </c>
      <c r="N681">
        <v>85.5</v>
      </c>
      <c r="O681">
        <v>173</v>
      </c>
      <c r="P681">
        <v>0</v>
      </c>
    </row>
    <row r="682" spans="1:16" x14ac:dyDescent="0.25">
      <c r="A682" s="1">
        <v>45567.425347222219</v>
      </c>
      <c r="B682" t="s">
        <v>33</v>
      </c>
      <c r="C682">
        <v>67.029600000000002</v>
      </c>
      <c r="D682">
        <v>-18.707799999999999</v>
      </c>
      <c r="E682">
        <v>426</v>
      </c>
      <c r="F682" t="s">
        <v>17</v>
      </c>
      <c r="G682">
        <v>25.3</v>
      </c>
      <c r="H682">
        <v>56.8</v>
      </c>
      <c r="I682" t="s">
        <v>28</v>
      </c>
      <c r="J682">
        <v>15</v>
      </c>
      <c r="K682">
        <v>241</v>
      </c>
      <c r="L682">
        <v>5</v>
      </c>
      <c r="M682" t="s">
        <v>27</v>
      </c>
      <c r="N682">
        <v>83.5</v>
      </c>
      <c r="O682">
        <v>224</v>
      </c>
      <c r="P682">
        <v>1</v>
      </c>
    </row>
    <row r="683" spans="1:16" x14ac:dyDescent="0.25">
      <c r="A683" s="1">
        <v>45386.730613425927</v>
      </c>
      <c r="B683" t="s">
        <v>32</v>
      </c>
      <c r="C683">
        <v>-29.657299999999999</v>
      </c>
      <c r="D683">
        <v>-37.602899999999998</v>
      </c>
      <c r="E683">
        <v>214</v>
      </c>
      <c r="F683" t="s">
        <v>17</v>
      </c>
      <c r="G683">
        <v>24.3</v>
      </c>
      <c r="H683">
        <v>56.9</v>
      </c>
      <c r="I683" t="s">
        <v>28</v>
      </c>
      <c r="J683">
        <v>35</v>
      </c>
      <c r="K683">
        <v>497</v>
      </c>
      <c r="L683">
        <v>6</v>
      </c>
      <c r="M683" t="s">
        <v>23</v>
      </c>
      <c r="N683">
        <v>70.2</v>
      </c>
      <c r="O683">
        <v>111</v>
      </c>
      <c r="P683">
        <v>1</v>
      </c>
    </row>
    <row r="684" spans="1:16" x14ac:dyDescent="0.25">
      <c r="A684" s="1">
        <v>45299.886631944442</v>
      </c>
      <c r="B684" t="s">
        <v>34</v>
      </c>
      <c r="C684">
        <v>-9.1109000000000009</v>
      </c>
      <c r="D684">
        <v>76.762</v>
      </c>
      <c r="E684">
        <v>123</v>
      </c>
      <c r="F684" t="s">
        <v>26</v>
      </c>
      <c r="G684">
        <v>19.3</v>
      </c>
      <c r="H684">
        <v>63.4</v>
      </c>
      <c r="I684" t="s">
        <v>18</v>
      </c>
      <c r="J684">
        <v>35</v>
      </c>
      <c r="K684">
        <v>303</v>
      </c>
      <c r="L684">
        <v>3</v>
      </c>
      <c r="M684" t="s">
        <v>19</v>
      </c>
      <c r="N684">
        <v>64.900000000000006</v>
      </c>
      <c r="O684">
        <v>240</v>
      </c>
      <c r="P684">
        <v>0</v>
      </c>
    </row>
    <row r="685" spans="1:16" x14ac:dyDescent="0.25">
      <c r="A685" s="1">
        <v>45384.947534722225</v>
      </c>
      <c r="B685" t="s">
        <v>16</v>
      </c>
      <c r="C685">
        <v>50.707599999999999</v>
      </c>
      <c r="D685">
        <v>-21.7653</v>
      </c>
      <c r="E685">
        <v>295</v>
      </c>
      <c r="F685" t="s">
        <v>21</v>
      </c>
      <c r="G685">
        <v>22.2</v>
      </c>
      <c r="H685">
        <v>64.900000000000006</v>
      </c>
      <c r="I685" t="s">
        <v>22</v>
      </c>
      <c r="J685">
        <v>19</v>
      </c>
      <c r="K685">
        <v>385</v>
      </c>
      <c r="L685">
        <v>9</v>
      </c>
      <c r="M685" t="s">
        <v>23</v>
      </c>
      <c r="N685">
        <v>77.099999999999994</v>
      </c>
      <c r="O685">
        <v>235</v>
      </c>
      <c r="P685">
        <v>1</v>
      </c>
    </row>
    <row r="686" spans="1:16" x14ac:dyDescent="0.25">
      <c r="A686" s="1">
        <v>45391.925162037034</v>
      </c>
      <c r="B686" t="s">
        <v>34</v>
      </c>
      <c r="C686">
        <v>48.351999999999997</v>
      </c>
      <c r="D686">
        <v>-54.56</v>
      </c>
      <c r="E686">
        <v>378</v>
      </c>
      <c r="F686" t="s">
        <v>21</v>
      </c>
      <c r="G686">
        <v>23.3</v>
      </c>
      <c r="H686">
        <v>78.7</v>
      </c>
      <c r="I686" t="s">
        <v>28</v>
      </c>
      <c r="J686">
        <v>17</v>
      </c>
      <c r="K686">
        <v>364</v>
      </c>
      <c r="L686">
        <v>8</v>
      </c>
      <c r="M686" t="s">
        <v>31</v>
      </c>
      <c r="N686">
        <v>96.1</v>
      </c>
      <c r="O686">
        <v>230</v>
      </c>
      <c r="P686">
        <v>0</v>
      </c>
    </row>
    <row r="687" spans="1:16" x14ac:dyDescent="0.25">
      <c r="A687" s="1">
        <v>45481.459293981483</v>
      </c>
      <c r="B687" t="s">
        <v>29</v>
      </c>
      <c r="C687">
        <v>-39.786700000000003</v>
      </c>
      <c r="D687">
        <v>81.563599999999994</v>
      </c>
      <c r="E687">
        <v>209</v>
      </c>
      <c r="F687" t="s">
        <v>17</v>
      </c>
      <c r="G687">
        <v>19.3</v>
      </c>
      <c r="H687">
        <v>51</v>
      </c>
      <c r="I687" t="s">
        <v>18</v>
      </c>
      <c r="J687">
        <v>18</v>
      </c>
      <c r="K687">
        <v>443</v>
      </c>
      <c r="L687">
        <v>2</v>
      </c>
      <c r="M687" t="s">
        <v>31</v>
      </c>
      <c r="N687">
        <v>91.5</v>
      </c>
      <c r="O687">
        <v>213</v>
      </c>
      <c r="P687">
        <v>1</v>
      </c>
    </row>
    <row r="688" spans="1:16" x14ac:dyDescent="0.25">
      <c r="A688" s="1">
        <v>45372.451863425929</v>
      </c>
      <c r="B688" t="s">
        <v>20</v>
      </c>
      <c r="C688">
        <v>36.543599999999998</v>
      </c>
      <c r="D688">
        <v>71.759699999999995</v>
      </c>
      <c r="E688">
        <v>325</v>
      </c>
      <c r="F688" t="s">
        <v>17</v>
      </c>
      <c r="G688">
        <v>28.8</v>
      </c>
      <c r="H688">
        <v>55</v>
      </c>
      <c r="I688" t="s">
        <v>28</v>
      </c>
      <c r="J688">
        <v>56</v>
      </c>
      <c r="K688">
        <v>316</v>
      </c>
      <c r="L688">
        <v>4</v>
      </c>
      <c r="M688" t="s">
        <v>23</v>
      </c>
      <c r="N688">
        <v>77.8</v>
      </c>
      <c r="O688">
        <v>300</v>
      </c>
      <c r="P688">
        <v>1</v>
      </c>
    </row>
    <row r="689" spans="1:16" x14ac:dyDescent="0.25">
      <c r="A689" s="1">
        <v>45618.9296412037</v>
      </c>
      <c r="B689" t="s">
        <v>20</v>
      </c>
      <c r="C689">
        <v>32.866300000000003</v>
      </c>
      <c r="D689">
        <v>-79.992000000000004</v>
      </c>
      <c r="E689">
        <v>362</v>
      </c>
      <c r="F689" t="s">
        <v>17</v>
      </c>
      <c r="G689">
        <v>21.7</v>
      </c>
      <c r="H689">
        <v>54.6</v>
      </c>
      <c r="I689" t="s">
        <v>22</v>
      </c>
      <c r="J689">
        <v>22</v>
      </c>
      <c r="K689">
        <v>441</v>
      </c>
      <c r="L689">
        <v>3</v>
      </c>
      <c r="M689" t="s">
        <v>19</v>
      </c>
      <c r="N689">
        <v>74.599999999999994</v>
      </c>
      <c r="O689">
        <v>194</v>
      </c>
      <c r="P689">
        <v>1</v>
      </c>
    </row>
    <row r="690" spans="1:16" x14ac:dyDescent="0.25">
      <c r="A690" s="1">
        <v>45406.00613425926</v>
      </c>
      <c r="B690" t="s">
        <v>29</v>
      </c>
      <c r="C690">
        <v>-0.1019</v>
      </c>
      <c r="D690">
        <v>99.806899999999999</v>
      </c>
      <c r="E690">
        <v>451</v>
      </c>
      <c r="F690" t="s">
        <v>26</v>
      </c>
      <c r="G690">
        <v>27.5</v>
      </c>
      <c r="H690">
        <v>56.7</v>
      </c>
      <c r="I690" t="s">
        <v>28</v>
      </c>
      <c r="J690">
        <v>23</v>
      </c>
      <c r="K690">
        <v>446</v>
      </c>
      <c r="L690">
        <v>6</v>
      </c>
      <c r="M690" t="s">
        <v>27</v>
      </c>
      <c r="N690">
        <v>62.1</v>
      </c>
      <c r="O690">
        <v>203</v>
      </c>
      <c r="P690">
        <v>0</v>
      </c>
    </row>
    <row r="691" spans="1:16" x14ac:dyDescent="0.25">
      <c r="A691" s="1">
        <v>45448.368784722225</v>
      </c>
      <c r="B691" t="s">
        <v>25</v>
      </c>
      <c r="C691">
        <v>-56.823099999999997</v>
      </c>
      <c r="D691">
        <v>71.584100000000007</v>
      </c>
      <c r="E691">
        <v>201</v>
      </c>
      <c r="F691" t="s">
        <v>21</v>
      </c>
      <c r="G691">
        <v>27.5</v>
      </c>
      <c r="H691">
        <v>53.1</v>
      </c>
      <c r="I691" t="s">
        <v>28</v>
      </c>
      <c r="J691">
        <v>10</v>
      </c>
      <c r="K691">
        <v>169</v>
      </c>
      <c r="L691">
        <v>3</v>
      </c>
      <c r="M691" t="s">
        <v>19</v>
      </c>
      <c r="N691">
        <v>65.099999999999994</v>
      </c>
      <c r="O691">
        <v>242</v>
      </c>
      <c r="P691">
        <v>0</v>
      </c>
    </row>
    <row r="692" spans="1:16" x14ac:dyDescent="0.25">
      <c r="A692" s="1">
        <v>45352.423796296294</v>
      </c>
      <c r="B692" t="s">
        <v>33</v>
      </c>
      <c r="C692">
        <v>-61.966799999999999</v>
      </c>
      <c r="D692">
        <v>113.8899</v>
      </c>
      <c r="E692">
        <v>442</v>
      </c>
      <c r="F692" t="s">
        <v>17</v>
      </c>
      <c r="G692">
        <v>23.6</v>
      </c>
      <c r="H692">
        <v>58.1</v>
      </c>
      <c r="I692" t="s">
        <v>28</v>
      </c>
      <c r="J692">
        <v>47</v>
      </c>
      <c r="K692">
        <v>165</v>
      </c>
      <c r="L692">
        <v>1</v>
      </c>
      <c r="M692" t="s">
        <v>27</v>
      </c>
      <c r="N692">
        <v>93.3</v>
      </c>
      <c r="O692">
        <v>191</v>
      </c>
      <c r="P692">
        <v>1</v>
      </c>
    </row>
    <row r="693" spans="1:16" x14ac:dyDescent="0.25">
      <c r="A693" s="1">
        <v>45479.881562499999</v>
      </c>
      <c r="B693" t="s">
        <v>35</v>
      </c>
      <c r="C693">
        <v>-63.8035</v>
      </c>
      <c r="D693">
        <v>61.457099999999997</v>
      </c>
      <c r="E693">
        <v>274</v>
      </c>
      <c r="F693" t="s">
        <v>21</v>
      </c>
      <c r="G693">
        <v>19.3</v>
      </c>
      <c r="H693">
        <v>70.3</v>
      </c>
      <c r="I693" t="s">
        <v>18</v>
      </c>
      <c r="J693">
        <v>26</v>
      </c>
      <c r="K693">
        <v>404</v>
      </c>
      <c r="L693">
        <v>7</v>
      </c>
      <c r="M693" t="s">
        <v>23</v>
      </c>
      <c r="N693">
        <v>81</v>
      </c>
      <c r="O693">
        <v>141</v>
      </c>
      <c r="P693">
        <v>0</v>
      </c>
    </row>
    <row r="694" spans="1:16" x14ac:dyDescent="0.25">
      <c r="A694" s="1">
        <v>45624.67082175926</v>
      </c>
      <c r="B694" t="s">
        <v>34</v>
      </c>
      <c r="C694">
        <v>-31.727499999999999</v>
      </c>
      <c r="D694">
        <v>-28.567599999999999</v>
      </c>
      <c r="E694">
        <v>180</v>
      </c>
      <c r="F694" t="s">
        <v>21</v>
      </c>
      <c r="G694">
        <v>24.9</v>
      </c>
      <c r="H694">
        <v>68.900000000000006</v>
      </c>
      <c r="I694" t="s">
        <v>28</v>
      </c>
      <c r="J694">
        <v>14</v>
      </c>
      <c r="K694">
        <v>189</v>
      </c>
      <c r="L694">
        <v>3</v>
      </c>
      <c r="M694" t="s">
        <v>27</v>
      </c>
      <c r="N694">
        <v>89.4</v>
      </c>
      <c r="O694">
        <v>275</v>
      </c>
      <c r="P694">
        <v>0</v>
      </c>
    </row>
    <row r="695" spans="1:16" x14ac:dyDescent="0.25">
      <c r="A695" s="1">
        <v>45374.890636574077</v>
      </c>
      <c r="B695" t="s">
        <v>35</v>
      </c>
      <c r="C695">
        <v>69.995900000000006</v>
      </c>
      <c r="D695">
        <v>-10.5335</v>
      </c>
      <c r="E695">
        <v>213</v>
      </c>
      <c r="F695" t="s">
        <v>17</v>
      </c>
      <c r="G695">
        <v>22.8</v>
      </c>
      <c r="H695">
        <v>65</v>
      </c>
      <c r="I695" t="s">
        <v>18</v>
      </c>
      <c r="J695">
        <v>51</v>
      </c>
      <c r="K695">
        <v>361</v>
      </c>
      <c r="L695">
        <v>6</v>
      </c>
      <c r="M695" t="s">
        <v>19</v>
      </c>
      <c r="N695">
        <v>74.5</v>
      </c>
      <c r="O695">
        <v>274</v>
      </c>
      <c r="P695">
        <v>1</v>
      </c>
    </row>
    <row r="696" spans="1:16" x14ac:dyDescent="0.25">
      <c r="A696" s="1">
        <v>45406.238946759258</v>
      </c>
      <c r="B696" t="s">
        <v>24</v>
      </c>
      <c r="C696">
        <v>-63.172199999999997</v>
      </c>
      <c r="D696">
        <v>145.37559999999999</v>
      </c>
      <c r="E696">
        <v>353</v>
      </c>
      <c r="F696" t="s">
        <v>21</v>
      </c>
      <c r="G696">
        <v>22</v>
      </c>
      <c r="H696">
        <v>66.8</v>
      </c>
      <c r="I696" t="s">
        <v>22</v>
      </c>
      <c r="J696">
        <v>27</v>
      </c>
      <c r="K696">
        <v>327</v>
      </c>
      <c r="L696">
        <v>9</v>
      </c>
      <c r="M696" t="s">
        <v>27</v>
      </c>
      <c r="N696">
        <v>71.2</v>
      </c>
      <c r="O696">
        <v>146</v>
      </c>
      <c r="P696">
        <v>1</v>
      </c>
    </row>
    <row r="697" spans="1:16" x14ac:dyDescent="0.25">
      <c r="A697" s="1">
        <v>45454.199386574073</v>
      </c>
      <c r="B697" t="s">
        <v>32</v>
      </c>
      <c r="C697">
        <v>35.7913</v>
      </c>
      <c r="D697">
        <v>6.3765000000000001</v>
      </c>
      <c r="E697">
        <v>495</v>
      </c>
      <c r="F697" t="s">
        <v>26</v>
      </c>
      <c r="G697">
        <v>20.6</v>
      </c>
      <c r="H697">
        <v>71.5</v>
      </c>
      <c r="I697" t="s">
        <v>22</v>
      </c>
      <c r="J697">
        <v>32</v>
      </c>
      <c r="K697">
        <v>166</v>
      </c>
      <c r="L697">
        <v>2</v>
      </c>
      <c r="M697" t="s">
        <v>23</v>
      </c>
      <c r="N697">
        <v>62.5</v>
      </c>
      <c r="O697">
        <v>282</v>
      </c>
      <c r="P697">
        <v>1</v>
      </c>
    </row>
    <row r="698" spans="1:16" x14ac:dyDescent="0.25">
      <c r="A698" s="1">
        <v>45516.037592592591</v>
      </c>
      <c r="B698" t="s">
        <v>35</v>
      </c>
      <c r="C698">
        <v>-58.853099999999998</v>
      </c>
      <c r="D698">
        <v>45.049799999999998</v>
      </c>
      <c r="E698">
        <v>162</v>
      </c>
      <c r="F698" t="s">
        <v>17</v>
      </c>
      <c r="G698">
        <v>21.3</v>
      </c>
      <c r="H698">
        <v>76.8</v>
      </c>
      <c r="I698" t="s">
        <v>18</v>
      </c>
      <c r="J698">
        <v>53</v>
      </c>
      <c r="K698">
        <v>164</v>
      </c>
      <c r="L698">
        <v>3</v>
      </c>
      <c r="M698" t="s">
        <v>19</v>
      </c>
      <c r="N698">
        <v>61.6</v>
      </c>
      <c r="O698">
        <v>104</v>
      </c>
      <c r="P698">
        <v>1</v>
      </c>
    </row>
    <row r="699" spans="1:16" x14ac:dyDescent="0.25">
      <c r="A699" s="1">
        <v>45443.128842592596</v>
      </c>
      <c r="B699" t="s">
        <v>33</v>
      </c>
      <c r="C699">
        <v>49.400700000000001</v>
      </c>
      <c r="D699">
        <v>-106.15309999999999</v>
      </c>
      <c r="E699">
        <v>252</v>
      </c>
      <c r="F699" t="s">
        <v>17</v>
      </c>
      <c r="G699">
        <v>28</v>
      </c>
      <c r="H699">
        <v>66.5</v>
      </c>
      <c r="I699" t="s">
        <v>18</v>
      </c>
      <c r="J699">
        <v>44</v>
      </c>
      <c r="K699">
        <v>298</v>
      </c>
      <c r="L699">
        <v>6</v>
      </c>
      <c r="M699" t="s">
        <v>27</v>
      </c>
      <c r="N699">
        <v>72.8</v>
      </c>
      <c r="O699">
        <v>150</v>
      </c>
      <c r="P699">
        <v>1</v>
      </c>
    </row>
    <row r="700" spans="1:16" x14ac:dyDescent="0.25">
      <c r="A700" s="1">
        <v>45387.435104166667</v>
      </c>
      <c r="B700" t="s">
        <v>30</v>
      </c>
      <c r="C700">
        <v>8.4222000000000001</v>
      </c>
      <c r="D700">
        <v>-69.752200000000002</v>
      </c>
      <c r="E700">
        <v>361</v>
      </c>
      <c r="F700" t="s">
        <v>26</v>
      </c>
      <c r="G700">
        <v>19.5</v>
      </c>
      <c r="H700">
        <v>78.599999999999994</v>
      </c>
      <c r="I700" t="s">
        <v>28</v>
      </c>
      <c r="J700">
        <v>21</v>
      </c>
      <c r="K700">
        <v>358</v>
      </c>
      <c r="L700">
        <v>9</v>
      </c>
      <c r="M700" t="s">
        <v>23</v>
      </c>
      <c r="N700">
        <v>93</v>
      </c>
      <c r="O700">
        <v>235</v>
      </c>
      <c r="P700">
        <v>0</v>
      </c>
    </row>
    <row r="701" spans="1:16" x14ac:dyDescent="0.25">
      <c r="A701" s="1">
        <v>45638.681296296294</v>
      </c>
      <c r="B701" t="s">
        <v>20</v>
      </c>
      <c r="C701">
        <v>-6.5166000000000004</v>
      </c>
      <c r="D701">
        <v>-143.38220000000001</v>
      </c>
      <c r="E701">
        <v>115</v>
      </c>
      <c r="F701" t="s">
        <v>26</v>
      </c>
      <c r="G701">
        <v>29.3</v>
      </c>
      <c r="H701">
        <v>65.099999999999994</v>
      </c>
      <c r="I701" t="s">
        <v>22</v>
      </c>
      <c r="J701">
        <v>32</v>
      </c>
      <c r="K701">
        <v>445</v>
      </c>
      <c r="L701">
        <v>1</v>
      </c>
      <c r="M701" t="s">
        <v>23</v>
      </c>
      <c r="N701">
        <v>79.400000000000006</v>
      </c>
      <c r="O701">
        <v>123</v>
      </c>
      <c r="P701">
        <v>1</v>
      </c>
    </row>
    <row r="702" spans="1:16" x14ac:dyDescent="0.25">
      <c r="A702" s="1">
        <v>45333.345902777779</v>
      </c>
      <c r="B702" t="s">
        <v>33</v>
      </c>
      <c r="C702">
        <v>-43.179699999999997</v>
      </c>
      <c r="D702">
        <v>-64.476900000000001</v>
      </c>
      <c r="E702">
        <v>172</v>
      </c>
      <c r="F702" t="s">
        <v>26</v>
      </c>
      <c r="G702">
        <v>22.5</v>
      </c>
      <c r="H702">
        <v>69.7</v>
      </c>
      <c r="I702" t="s">
        <v>22</v>
      </c>
      <c r="J702">
        <v>55</v>
      </c>
      <c r="K702">
        <v>216</v>
      </c>
      <c r="L702">
        <v>9</v>
      </c>
      <c r="M702" t="s">
        <v>23</v>
      </c>
      <c r="N702">
        <v>72.099999999999994</v>
      </c>
      <c r="O702">
        <v>106</v>
      </c>
      <c r="P702">
        <v>1</v>
      </c>
    </row>
    <row r="703" spans="1:16" x14ac:dyDescent="0.25">
      <c r="A703" s="1">
        <v>45576.641516203701</v>
      </c>
      <c r="B703" t="s">
        <v>32</v>
      </c>
      <c r="C703">
        <v>45.046999999999997</v>
      </c>
      <c r="D703">
        <v>69.701400000000007</v>
      </c>
      <c r="E703">
        <v>403</v>
      </c>
      <c r="F703" t="s">
        <v>21</v>
      </c>
      <c r="G703">
        <v>28.2</v>
      </c>
      <c r="H703">
        <v>76.099999999999994</v>
      </c>
      <c r="I703" t="s">
        <v>22</v>
      </c>
      <c r="J703">
        <v>51</v>
      </c>
      <c r="K703">
        <v>457</v>
      </c>
      <c r="L703">
        <v>7</v>
      </c>
      <c r="M703" t="s">
        <v>27</v>
      </c>
      <c r="N703">
        <v>73.900000000000006</v>
      </c>
      <c r="O703">
        <v>229</v>
      </c>
      <c r="P703">
        <v>1</v>
      </c>
    </row>
    <row r="704" spans="1:16" x14ac:dyDescent="0.25">
      <c r="A704" s="1">
        <v>45470.685648148145</v>
      </c>
      <c r="B704" t="s">
        <v>30</v>
      </c>
      <c r="C704">
        <v>-15.8011</v>
      </c>
      <c r="D704">
        <v>138.77850000000001</v>
      </c>
      <c r="E704">
        <v>426</v>
      </c>
      <c r="F704" t="s">
        <v>21</v>
      </c>
      <c r="G704">
        <v>22</v>
      </c>
      <c r="H704">
        <v>73.099999999999994</v>
      </c>
      <c r="I704" t="s">
        <v>28</v>
      </c>
      <c r="J704">
        <v>29</v>
      </c>
      <c r="K704">
        <v>392</v>
      </c>
      <c r="L704">
        <v>5</v>
      </c>
      <c r="M704" t="s">
        <v>19</v>
      </c>
      <c r="N704">
        <v>94.6</v>
      </c>
      <c r="O704">
        <v>236</v>
      </c>
      <c r="P704">
        <v>0</v>
      </c>
    </row>
    <row r="705" spans="1:16" x14ac:dyDescent="0.25">
      <c r="A705" s="1">
        <v>45545.824594907404</v>
      </c>
      <c r="B705" t="s">
        <v>16</v>
      </c>
      <c r="C705">
        <v>-30.856400000000001</v>
      </c>
      <c r="D705">
        <v>26.7562</v>
      </c>
      <c r="E705">
        <v>368</v>
      </c>
      <c r="F705" t="s">
        <v>17</v>
      </c>
      <c r="G705">
        <v>26.6</v>
      </c>
      <c r="H705">
        <v>74.900000000000006</v>
      </c>
      <c r="I705" t="s">
        <v>18</v>
      </c>
      <c r="J705">
        <v>28</v>
      </c>
      <c r="K705">
        <v>341</v>
      </c>
      <c r="L705">
        <v>6</v>
      </c>
      <c r="M705" t="s">
        <v>19</v>
      </c>
      <c r="N705">
        <v>97.1</v>
      </c>
      <c r="O705">
        <v>217</v>
      </c>
      <c r="P705">
        <v>1</v>
      </c>
    </row>
    <row r="706" spans="1:16" x14ac:dyDescent="0.25">
      <c r="A706" s="1">
        <v>45475.546423611115</v>
      </c>
      <c r="B706" t="s">
        <v>25</v>
      </c>
      <c r="C706">
        <v>16.029599999999999</v>
      </c>
      <c r="D706">
        <v>-36.334899999999998</v>
      </c>
      <c r="E706">
        <v>173</v>
      </c>
      <c r="F706" t="s">
        <v>17</v>
      </c>
      <c r="G706">
        <v>24.9</v>
      </c>
      <c r="H706">
        <v>58.1</v>
      </c>
      <c r="I706" t="s">
        <v>28</v>
      </c>
      <c r="J706">
        <v>34</v>
      </c>
      <c r="K706">
        <v>287</v>
      </c>
      <c r="L706">
        <v>9</v>
      </c>
      <c r="M706" t="s">
        <v>31</v>
      </c>
      <c r="N706">
        <v>96.8</v>
      </c>
      <c r="O706">
        <v>131</v>
      </c>
      <c r="P706">
        <v>1</v>
      </c>
    </row>
    <row r="707" spans="1:16" x14ac:dyDescent="0.25">
      <c r="A707" s="1">
        <v>45535.846493055556</v>
      </c>
      <c r="B707" t="s">
        <v>25</v>
      </c>
      <c r="C707">
        <v>81.396199999999993</v>
      </c>
      <c r="D707">
        <v>-79.619299999999996</v>
      </c>
      <c r="E707">
        <v>371</v>
      </c>
      <c r="F707" t="s">
        <v>21</v>
      </c>
      <c r="G707">
        <v>22.9</v>
      </c>
      <c r="H707">
        <v>67.2</v>
      </c>
      <c r="I707" t="s">
        <v>22</v>
      </c>
      <c r="J707">
        <v>35</v>
      </c>
      <c r="K707">
        <v>121</v>
      </c>
      <c r="L707">
        <v>8</v>
      </c>
      <c r="M707" t="s">
        <v>23</v>
      </c>
      <c r="N707">
        <v>90.9</v>
      </c>
      <c r="O707">
        <v>213</v>
      </c>
      <c r="P707">
        <v>1</v>
      </c>
    </row>
    <row r="708" spans="1:16" x14ac:dyDescent="0.25">
      <c r="A708" s="1">
        <v>45486.016655092593</v>
      </c>
      <c r="B708" t="s">
        <v>29</v>
      </c>
      <c r="C708">
        <v>77.543599999999998</v>
      </c>
      <c r="D708">
        <v>-156.24789999999999</v>
      </c>
      <c r="E708">
        <v>199</v>
      </c>
      <c r="F708" t="s">
        <v>17</v>
      </c>
      <c r="G708">
        <v>28.5</v>
      </c>
      <c r="H708">
        <v>68.8</v>
      </c>
      <c r="I708" t="s">
        <v>22</v>
      </c>
      <c r="J708">
        <v>18</v>
      </c>
      <c r="K708">
        <v>201</v>
      </c>
      <c r="L708">
        <v>2</v>
      </c>
      <c r="M708" t="s">
        <v>31</v>
      </c>
      <c r="N708">
        <v>71.2</v>
      </c>
      <c r="O708">
        <v>181</v>
      </c>
      <c r="P708">
        <v>1</v>
      </c>
    </row>
    <row r="709" spans="1:16" x14ac:dyDescent="0.25">
      <c r="A709" s="1">
        <v>45482.425486111111</v>
      </c>
      <c r="B709" t="s">
        <v>29</v>
      </c>
      <c r="C709">
        <v>51.804699999999997</v>
      </c>
      <c r="D709">
        <v>66.019300000000001</v>
      </c>
      <c r="E709">
        <v>319</v>
      </c>
      <c r="F709" t="s">
        <v>21</v>
      </c>
      <c r="G709">
        <v>22.3</v>
      </c>
      <c r="H709">
        <v>50.8</v>
      </c>
      <c r="I709" t="s">
        <v>28</v>
      </c>
      <c r="J709">
        <v>52</v>
      </c>
      <c r="K709">
        <v>188</v>
      </c>
      <c r="L709">
        <v>8</v>
      </c>
      <c r="M709" t="s">
        <v>27</v>
      </c>
      <c r="N709">
        <v>66.400000000000006</v>
      </c>
      <c r="O709">
        <v>153</v>
      </c>
      <c r="P709">
        <v>0</v>
      </c>
    </row>
    <row r="710" spans="1:16" x14ac:dyDescent="0.25">
      <c r="A710" s="1">
        <v>45418.998773148145</v>
      </c>
      <c r="B710" t="s">
        <v>29</v>
      </c>
      <c r="C710">
        <v>37.552300000000002</v>
      </c>
      <c r="D710">
        <v>145.19730000000001</v>
      </c>
      <c r="E710">
        <v>437</v>
      </c>
      <c r="F710" t="s">
        <v>21</v>
      </c>
      <c r="G710">
        <v>29.1</v>
      </c>
      <c r="H710">
        <v>76.5</v>
      </c>
      <c r="I710" t="s">
        <v>28</v>
      </c>
      <c r="J710">
        <v>46</v>
      </c>
      <c r="K710">
        <v>122</v>
      </c>
      <c r="L710">
        <v>10</v>
      </c>
      <c r="M710" t="s">
        <v>19</v>
      </c>
      <c r="N710">
        <v>73.599999999999994</v>
      </c>
      <c r="O710">
        <v>111</v>
      </c>
      <c r="P710">
        <v>0</v>
      </c>
    </row>
    <row r="711" spans="1:16" x14ac:dyDescent="0.25">
      <c r="A711" s="1">
        <v>45298.625439814816</v>
      </c>
      <c r="B711" t="s">
        <v>25</v>
      </c>
      <c r="C711">
        <v>30.587499999999999</v>
      </c>
      <c r="D711">
        <v>132.73089999999999</v>
      </c>
      <c r="E711">
        <v>203</v>
      </c>
      <c r="F711" t="s">
        <v>17</v>
      </c>
      <c r="G711">
        <v>19.2</v>
      </c>
      <c r="H711">
        <v>63.6</v>
      </c>
      <c r="I711" t="s">
        <v>22</v>
      </c>
      <c r="J711">
        <v>31</v>
      </c>
      <c r="K711">
        <v>123</v>
      </c>
      <c r="L711">
        <v>9</v>
      </c>
      <c r="M711" t="s">
        <v>31</v>
      </c>
      <c r="N711">
        <v>84.1</v>
      </c>
      <c r="O711">
        <v>270</v>
      </c>
      <c r="P711">
        <v>1</v>
      </c>
    </row>
    <row r="712" spans="1:16" x14ac:dyDescent="0.25">
      <c r="A712" s="1">
        <v>45359.751921296294</v>
      </c>
      <c r="B712" t="s">
        <v>32</v>
      </c>
      <c r="C712">
        <v>-86.927599999999998</v>
      </c>
      <c r="D712">
        <v>120.7534</v>
      </c>
      <c r="E712">
        <v>466</v>
      </c>
      <c r="F712" t="s">
        <v>21</v>
      </c>
      <c r="G712">
        <v>26.3</v>
      </c>
      <c r="H712">
        <v>70.400000000000006</v>
      </c>
      <c r="I712" t="s">
        <v>22</v>
      </c>
      <c r="J712">
        <v>53</v>
      </c>
      <c r="K712">
        <v>291</v>
      </c>
      <c r="L712">
        <v>8</v>
      </c>
      <c r="M712" t="s">
        <v>23</v>
      </c>
      <c r="N712">
        <v>62.1</v>
      </c>
      <c r="O712">
        <v>287</v>
      </c>
      <c r="P712">
        <v>1</v>
      </c>
    </row>
    <row r="713" spans="1:16" x14ac:dyDescent="0.25">
      <c r="A713" s="1">
        <v>45355.393275462964</v>
      </c>
      <c r="B713" t="s">
        <v>32</v>
      </c>
      <c r="C713">
        <v>-44.6569</v>
      </c>
      <c r="D713">
        <v>129.86250000000001</v>
      </c>
      <c r="E713">
        <v>418</v>
      </c>
      <c r="F713" t="s">
        <v>21</v>
      </c>
      <c r="G713">
        <v>22.9</v>
      </c>
      <c r="H713">
        <v>62</v>
      </c>
      <c r="I713" t="s">
        <v>18</v>
      </c>
      <c r="J713">
        <v>26</v>
      </c>
      <c r="K713">
        <v>405</v>
      </c>
      <c r="L713">
        <v>1</v>
      </c>
      <c r="M713" t="s">
        <v>19</v>
      </c>
      <c r="N713">
        <v>62.3</v>
      </c>
      <c r="O713">
        <v>124</v>
      </c>
      <c r="P713">
        <v>0</v>
      </c>
    </row>
    <row r="714" spans="1:16" x14ac:dyDescent="0.25">
      <c r="A714" s="1">
        <v>45577.296620370369</v>
      </c>
      <c r="B714" t="s">
        <v>16</v>
      </c>
      <c r="C714">
        <v>53.818600000000004</v>
      </c>
      <c r="D714">
        <v>-158.42519999999999</v>
      </c>
      <c r="E714">
        <v>124</v>
      </c>
      <c r="F714" t="s">
        <v>17</v>
      </c>
      <c r="G714">
        <v>26.7</v>
      </c>
      <c r="H714">
        <v>50.1</v>
      </c>
      <c r="I714" t="s">
        <v>28</v>
      </c>
      <c r="J714">
        <v>10</v>
      </c>
      <c r="K714">
        <v>460</v>
      </c>
      <c r="L714">
        <v>5</v>
      </c>
      <c r="M714" t="s">
        <v>31</v>
      </c>
      <c r="N714">
        <v>69.400000000000006</v>
      </c>
      <c r="O714">
        <v>130</v>
      </c>
      <c r="P714">
        <v>1</v>
      </c>
    </row>
    <row r="715" spans="1:16" x14ac:dyDescent="0.25">
      <c r="A715" s="1">
        <v>45511.220231481479</v>
      </c>
      <c r="B715" t="s">
        <v>35</v>
      </c>
      <c r="C715">
        <v>26.022600000000001</v>
      </c>
      <c r="D715">
        <v>103.2098</v>
      </c>
      <c r="E715">
        <v>322</v>
      </c>
      <c r="F715" t="s">
        <v>17</v>
      </c>
      <c r="G715">
        <v>25</v>
      </c>
      <c r="H715">
        <v>57.7</v>
      </c>
      <c r="I715" t="s">
        <v>28</v>
      </c>
      <c r="J715">
        <v>15</v>
      </c>
      <c r="K715">
        <v>190</v>
      </c>
      <c r="L715">
        <v>4</v>
      </c>
      <c r="M715" t="s">
        <v>27</v>
      </c>
      <c r="N715">
        <v>86.8</v>
      </c>
      <c r="O715">
        <v>159</v>
      </c>
      <c r="P715">
        <v>1</v>
      </c>
    </row>
    <row r="716" spans="1:16" x14ac:dyDescent="0.25">
      <c r="A716" s="1">
        <v>45378.875509259262</v>
      </c>
      <c r="B716" t="s">
        <v>32</v>
      </c>
      <c r="C716">
        <v>14.1508</v>
      </c>
      <c r="D716">
        <v>-54.465899999999998</v>
      </c>
      <c r="E716">
        <v>351</v>
      </c>
      <c r="F716" t="s">
        <v>26</v>
      </c>
      <c r="G716">
        <v>25.1</v>
      </c>
      <c r="H716">
        <v>74.2</v>
      </c>
      <c r="I716" t="s">
        <v>22</v>
      </c>
      <c r="J716">
        <v>54</v>
      </c>
      <c r="K716">
        <v>223</v>
      </c>
      <c r="L716">
        <v>9</v>
      </c>
      <c r="M716" t="s">
        <v>27</v>
      </c>
      <c r="N716">
        <v>62.2</v>
      </c>
      <c r="O716">
        <v>267</v>
      </c>
      <c r="P716">
        <v>1</v>
      </c>
    </row>
    <row r="717" spans="1:16" x14ac:dyDescent="0.25">
      <c r="A717" s="1">
        <v>45568.31890046296</v>
      </c>
      <c r="B717" t="s">
        <v>29</v>
      </c>
      <c r="C717">
        <v>22.835599999999999</v>
      </c>
      <c r="D717">
        <v>-12.872999999999999</v>
      </c>
      <c r="E717">
        <v>350</v>
      </c>
      <c r="F717" t="s">
        <v>21</v>
      </c>
      <c r="G717">
        <v>27</v>
      </c>
      <c r="H717">
        <v>66.7</v>
      </c>
      <c r="I717" t="s">
        <v>18</v>
      </c>
      <c r="J717">
        <v>56</v>
      </c>
      <c r="K717">
        <v>207</v>
      </c>
      <c r="L717">
        <v>2</v>
      </c>
      <c r="M717" t="s">
        <v>31</v>
      </c>
      <c r="N717">
        <v>64</v>
      </c>
      <c r="O717">
        <v>248</v>
      </c>
      <c r="P717">
        <v>0</v>
      </c>
    </row>
    <row r="718" spans="1:16" x14ac:dyDescent="0.25">
      <c r="A718" s="1">
        <v>45467.05914351852</v>
      </c>
      <c r="B718" t="s">
        <v>16</v>
      </c>
      <c r="C718">
        <v>79.233400000000003</v>
      </c>
      <c r="D718">
        <v>166.45490000000001</v>
      </c>
      <c r="E718">
        <v>179</v>
      </c>
      <c r="F718" t="s">
        <v>26</v>
      </c>
      <c r="G718">
        <v>20.6</v>
      </c>
      <c r="H718">
        <v>53.6</v>
      </c>
      <c r="I718" t="s">
        <v>22</v>
      </c>
      <c r="J718">
        <v>36</v>
      </c>
      <c r="K718">
        <v>480</v>
      </c>
      <c r="L718">
        <v>7</v>
      </c>
      <c r="M718" t="s">
        <v>31</v>
      </c>
      <c r="N718">
        <v>72.099999999999994</v>
      </c>
      <c r="O718">
        <v>246</v>
      </c>
      <c r="P718">
        <v>1</v>
      </c>
    </row>
    <row r="719" spans="1:16" x14ac:dyDescent="0.25">
      <c r="A719" s="1">
        <v>45321.356168981481</v>
      </c>
      <c r="B719" t="s">
        <v>20</v>
      </c>
      <c r="C719">
        <v>-9.0289000000000001</v>
      </c>
      <c r="D719">
        <v>-69.425600000000003</v>
      </c>
      <c r="E719">
        <v>338</v>
      </c>
      <c r="F719" t="s">
        <v>26</v>
      </c>
      <c r="G719">
        <v>27.3</v>
      </c>
      <c r="H719">
        <v>70.099999999999994</v>
      </c>
      <c r="I719" t="s">
        <v>22</v>
      </c>
      <c r="J719">
        <v>29</v>
      </c>
      <c r="K719">
        <v>129</v>
      </c>
      <c r="L719">
        <v>1</v>
      </c>
      <c r="M719" t="s">
        <v>19</v>
      </c>
      <c r="N719">
        <v>82.4</v>
      </c>
      <c r="O719">
        <v>281</v>
      </c>
      <c r="P719">
        <v>1</v>
      </c>
    </row>
    <row r="720" spans="1:16" x14ac:dyDescent="0.25">
      <c r="A720" s="1">
        <v>45306.325439814813</v>
      </c>
      <c r="B720" t="s">
        <v>24</v>
      </c>
      <c r="C720">
        <v>71.222800000000007</v>
      </c>
      <c r="D720">
        <v>-86.399299999999997</v>
      </c>
      <c r="E720">
        <v>334</v>
      </c>
      <c r="F720" t="s">
        <v>26</v>
      </c>
      <c r="G720">
        <v>28.9</v>
      </c>
      <c r="H720">
        <v>62.8</v>
      </c>
      <c r="I720" t="s">
        <v>28</v>
      </c>
      <c r="J720">
        <v>15</v>
      </c>
      <c r="K720">
        <v>106</v>
      </c>
      <c r="L720">
        <v>5</v>
      </c>
      <c r="M720" t="s">
        <v>23</v>
      </c>
      <c r="N720">
        <v>97.2</v>
      </c>
      <c r="O720">
        <v>127</v>
      </c>
      <c r="P720">
        <v>0</v>
      </c>
    </row>
    <row r="721" spans="1:16" x14ac:dyDescent="0.25">
      <c r="A721" s="1">
        <v>45656.344282407408</v>
      </c>
      <c r="B721" t="s">
        <v>24</v>
      </c>
      <c r="C721">
        <v>-29.686399999999999</v>
      </c>
      <c r="D721">
        <v>-88.690100000000001</v>
      </c>
      <c r="E721">
        <v>411</v>
      </c>
      <c r="F721" t="s">
        <v>21</v>
      </c>
      <c r="G721">
        <v>19</v>
      </c>
      <c r="H721">
        <v>55.4</v>
      </c>
      <c r="I721" t="s">
        <v>28</v>
      </c>
      <c r="J721">
        <v>14</v>
      </c>
      <c r="K721">
        <v>409</v>
      </c>
      <c r="L721">
        <v>7</v>
      </c>
      <c r="M721" t="s">
        <v>19</v>
      </c>
      <c r="N721">
        <v>94.5</v>
      </c>
      <c r="O721">
        <v>192</v>
      </c>
      <c r="P721">
        <v>0</v>
      </c>
    </row>
    <row r="722" spans="1:16" x14ac:dyDescent="0.25">
      <c r="A722" s="1">
        <v>45505.904722222222</v>
      </c>
      <c r="B722" t="s">
        <v>16</v>
      </c>
      <c r="C722">
        <v>-19.575900000000001</v>
      </c>
      <c r="D722">
        <v>-39.553100000000001</v>
      </c>
      <c r="E722">
        <v>481</v>
      </c>
      <c r="F722" t="s">
        <v>17</v>
      </c>
      <c r="G722">
        <v>22.8</v>
      </c>
      <c r="H722">
        <v>74.7</v>
      </c>
      <c r="I722" t="s">
        <v>18</v>
      </c>
      <c r="J722">
        <v>42</v>
      </c>
      <c r="K722">
        <v>157</v>
      </c>
      <c r="L722">
        <v>1</v>
      </c>
      <c r="M722" t="s">
        <v>23</v>
      </c>
      <c r="N722">
        <v>65.2</v>
      </c>
      <c r="O722">
        <v>259</v>
      </c>
      <c r="P722">
        <v>1</v>
      </c>
    </row>
    <row r="723" spans="1:16" x14ac:dyDescent="0.25">
      <c r="A723" s="1">
        <v>45429.828819444447</v>
      </c>
      <c r="B723" t="s">
        <v>30</v>
      </c>
      <c r="C723">
        <v>81.099999999999994</v>
      </c>
      <c r="D723">
        <v>113.2247</v>
      </c>
      <c r="E723">
        <v>224</v>
      </c>
      <c r="F723" t="s">
        <v>17</v>
      </c>
      <c r="G723">
        <v>26.4</v>
      </c>
      <c r="H723">
        <v>75.400000000000006</v>
      </c>
      <c r="I723" t="s">
        <v>18</v>
      </c>
      <c r="J723">
        <v>23</v>
      </c>
      <c r="K723">
        <v>234</v>
      </c>
      <c r="L723">
        <v>4</v>
      </c>
      <c r="M723" t="s">
        <v>31</v>
      </c>
      <c r="N723">
        <v>86.6</v>
      </c>
      <c r="O723">
        <v>131</v>
      </c>
      <c r="P723">
        <v>1</v>
      </c>
    </row>
    <row r="724" spans="1:16" x14ac:dyDescent="0.25">
      <c r="A724" s="1">
        <v>45326.226805555554</v>
      </c>
      <c r="B724" t="s">
        <v>32</v>
      </c>
      <c r="C724">
        <v>32.7849</v>
      </c>
      <c r="D724">
        <v>30.954999999999998</v>
      </c>
      <c r="E724">
        <v>377</v>
      </c>
      <c r="F724" t="s">
        <v>17</v>
      </c>
      <c r="G724">
        <v>19.5</v>
      </c>
      <c r="H724">
        <v>51</v>
      </c>
      <c r="I724" t="s">
        <v>18</v>
      </c>
      <c r="J724">
        <v>11</v>
      </c>
      <c r="K724">
        <v>226</v>
      </c>
      <c r="L724">
        <v>8</v>
      </c>
      <c r="M724" t="s">
        <v>23</v>
      </c>
      <c r="N724">
        <v>64.099999999999994</v>
      </c>
      <c r="O724">
        <v>266</v>
      </c>
      <c r="P724">
        <v>1</v>
      </c>
    </row>
    <row r="725" spans="1:16" x14ac:dyDescent="0.25">
      <c r="A725" s="1">
        <v>45491.550532407404</v>
      </c>
      <c r="B725" t="s">
        <v>16</v>
      </c>
      <c r="C725">
        <v>49.048000000000002</v>
      </c>
      <c r="D725">
        <v>4.8895999999999997</v>
      </c>
      <c r="E725">
        <v>283</v>
      </c>
      <c r="F725" t="s">
        <v>17</v>
      </c>
      <c r="G725">
        <v>19.600000000000001</v>
      </c>
      <c r="H725">
        <v>75.5</v>
      </c>
      <c r="I725" t="s">
        <v>22</v>
      </c>
      <c r="J725">
        <v>49</v>
      </c>
      <c r="K725">
        <v>496</v>
      </c>
      <c r="L725">
        <v>6</v>
      </c>
      <c r="M725" t="s">
        <v>23</v>
      </c>
      <c r="N725">
        <v>78.900000000000006</v>
      </c>
      <c r="O725">
        <v>130</v>
      </c>
      <c r="P725">
        <v>1</v>
      </c>
    </row>
    <row r="726" spans="1:16" x14ac:dyDescent="0.25">
      <c r="A726" s="1">
        <v>45292.732499999998</v>
      </c>
      <c r="B726" t="s">
        <v>24</v>
      </c>
      <c r="C726">
        <v>-13.9612</v>
      </c>
      <c r="D726">
        <v>89.534199999999998</v>
      </c>
      <c r="E726">
        <v>174</v>
      </c>
      <c r="F726" t="s">
        <v>17</v>
      </c>
      <c r="G726">
        <v>20.2</v>
      </c>
      <c r="H726">
        <v>74.2</v>
      </c>
      <c r="I726" t="s">
        <v>18</v>
      </c>
      <c r="J726">
        <v>49</v>
      </c>
      <c r="K726">
        <v>403</v>
      </c>
      <c r="L726">
        <v>5</v>
      </c>
      <c r="M726" t="s">
        <v>19</v>
      </c>
      <c r="N726">
        <v>83.5</v>
      </c>
      <c r="O726">
        <v>227</v>
      </c>
      <c r="P726">
        <v>1</v>
      </c>
    </row>
    <row r="727" spans="1:16" x14ac:dyDescent="0.25">
      <c r="A727" s="1">
        <v>45543.603668981479</v>
      </c>
      <c r="B727" t="s">
        <v>29</v>
      </c>
      <c r="C727">
        <v>64.411299999999997</v>
      </c>
      <c r="D727">
        <v>-121.7647</v>
      </c>
      <c r="E727">
        <v>440</v>
      </c>
      <c r="F727" t="s">
        <v>26</v>
      </c>
      <c r="G727">
        <v>20.399999999999999</v>
      </c>
      <c r="H727">
        <v>62.4</v>
      </c>
      <c r="I727" t="s">
        <v>28</v>
      </c>
      <c r="J727">
        <v>35</v>
      </c>
      <c r="K727">
        <v>199</v>
      </c>
      <c r="L727">
        <v>10</v>
      </c>
      <c r="M727" t="s">
        <v>19</v>
      </c>
      <c r="N727">
        <v>80.3</v>
      </c>
      <c r="O727">
        <v>269</v>
      </c>
      <c r="P727">
        <v>0</v>
      </c>
    </row>
    <row r="728" spans="1:16" x14ac:dyDescent="0.25">
      <c r="A728" s="1">
        <v>45348.142789351848</v>
      </c>
      <c r="B728" t="s">
        <v>30</v>
      </c>
      <c r="C728">
        <v>-77.798599999999993</v>
      </c>
      <c r="D728">
        <v>-155.40979999999999</v>
      </c>
      <c r="E728">
        <v>497</v>
      </c>
      <c r="F728" t="s">
        <v>17</v>
      </c>
      <c r="G728">
        <v>21.8</v>
      </c>
      <c r="H728">
        <v>71.3</v>
      </c>
      <c r="I728" t="s">
        <v>22</v>
      </c>
      <c r="J728">
        <v>22</v>
      </c>
      <c r="K728">
        <v>424</v>
      </c>
      <c r="L728">
        <v>2</v>
      </c>
      <c r="M728" t="s">
        <v>23</v>
      </c>
      <c r="N728">
        <v>79.8</v>
      </c>
      <c r="O728">
        <v>168</v>
      </c>
      <c r="P728">
        <v>1</v>
      </c>
    </row>
    <row r="729" spans="1:16" x14ac:dyDescent="0.25">
      <c r="A729" s="1">
        <v>45398.19263888889</v>
      </c>
      <c r="B729" t="s">
        <v>16</v>
      </c>
      <c r="C729">
        <v>16.2591</v>
      </c>
      <c r="D729">
        <v>175.14850000000001</v>
      </c>
      <c r="E729">
        <v>337</v>
      </c>
      <c r="F729" t="s">
        <v>26</v>
      </c>
      <c r="G729">
        <v>21.1</v>
      </c>
      <c r="H729">
        <v>64.400000000000006</v>
      </c>
      <c r="I729" t="s">
        <v>18</v>
      </c>
      <c r="J729">
        <v>49</v>
      </c>
      <c r="K729">
        <v>226</v>
      </c>
      <c r="L729">
        <v>2</v>
      </c>
      <c r="M729" t="s">
        <v>27</v>
      </c>
      <c r="N729">
        <v>89.6</v>
      </c>
      <c r="O729">
        <v>298</v>
      </c>
      <c r="P729">
        <v>0</v>
      </c>
    </row>
    <row r="730" spans="1:16" x14ac:dyDescent="0.25">
      <c r="A730" s="1">
        <v>45637.736006944448</v>
      </c>
      <c r="B730" t="s">
        <v>24</v>
      </c>
      <c r="C730">
        <v>30.674900000000001</v>
      </c>
      <c r="D730">
        <v>78.474299999999999</v>
      </c>
      <c r="E730">
        <v>315</v>
      </c>
      <c r="F730" t="s">
        <v>26</v>
      </c>
      <c r="G730">
        <v>21.4</v>
      </c>
      <c r="H730">
        <v>62.6</v>
      </c>
      <c r="I730" t="s">
        <v>22</v>
      </c>
      <c r="J730">
        <v>27</v>
      </c>
      <c r="K730">
        <v>482</v>
      </c>
      <c r="L730">
        <v>9</v>
      </c>
      <c r="M730" t="s">
        <v>27</v>
      </c>
      <c r="N730">
        <v>77.2</v>
      </c>
      <c r="O730">
        <v>153</v>
      </c>
      <c r="P730">
        <v>1</v>
      </c>
    </row>
    <row r="731" spans="1:16" x14ac:dyDescent="0.25">
      <c r="A731" s="1">
        <v>45551.532094907408</v>
      </c>
      <c r="B731" t="s">
        <v>16</v>
      </c>
      <c r="C731">
        <v>-18.067499999999999</v>
      </c>
      <c r="D731">
        <v>76.780199999999994</v>
      </c>
      <c r="E731">
        <v>219</v>
      </c>
      <c r="F731" t="s">
        <v>26</v>
      </c>
      <c r="G731">
        <v>18.100000000000001</v>
      </c>
      <c r="H731">
        <v>64.599999999999994</v>
      </c>
      <c r="I731" t="s">
        <v>28</v>
      </c>
      <c r="J731">
        <v>24</v>
      </c>
      <c r="K731">
        <v>179</v>
      </c>
      <c r="L731">
        <v>8</v>
      </c>
      <c r="M731" t="s">
        <v>23</v>
      </c>
      <c r="N731">
        <v>83.3</v>
      </c>
      <c r="O731">
        <v>202</v>
      </c>
      <c r="P731">
        <v>0</v>
      </c>
    </row>
    <row r="732" spans="1:16" x14ac:dyDescent="0.25">
      <c r="A732" s="1">
        <v>45314.786759259259</v>
      </c>
      <c r="B732" t="s">
        <v>32</v>
      </c>
      <c r="C732">
        <v>-89.778400000000005</v>
      </c>
      <c r="D732">
        <v>-163.79650000000001</v>
      </c>
      <c r="E732">
        <v>247</v>
      </c>
      <c r="F732" t="s">
        <v>17</v>
      </c>
      <c r="G732">
        <v>28.3</v>
      </c>
      <c r="H732">
        <v>76.2</v>
      </c>
      <c r="I732" t="s">
        <v>28</v>
      </c>
      <c r="J732">
        <v>53</v>
      </c>
      <c r="K732">
        <v>190</v>
      </c>
      <c r="L732">
        <v>10</v>
      </c>
      <c r="M732" t="s">
        <v>31</v>
      </c>
      <c r="N732">
        <v>93.6</v>
      </c>
      <c r="O732">
        <v>111</v>
      </c>
      <c r="P732">
        <v>1</v>
      </c>
    </row>
    <row r="733" spans="1:16" x14ac:dyDescent="0.25">
      <c r="A733" s="1">
        <v>45379.306585648148</v>
      </c>
      <c r="B733" t="s">
        <v>25</v>
      </c>
      <c r="C733">
        <v>-30.547599999999999</v>
      </c>
      <c r="D733">
        <v>63.528199999999998</v>
      </c>
      <c r="E733">
        <v>148</v>
      </c>
      <c r="F733" t="s">
        <v>17</v>
      </c>
      <c r="G733">
        <v>19</v>
      </c>
      <c r="H733">
        <v>50.3</v>
      </c>
      <c r="I733" t="s">
        <v>18</v>
      </c>
      <c r="J733">
        <v>50</v>
      </c>
      <c r="K733">
        <v>481</v>
      </c>
      <c r="L733">
        <v>2</v>
      </c>
      <c r="M733" t="s">
        <v>31</v>
      </c>
      <c r="N733">
        <v>87.3</v>
      </c>
      <c r="O733">
        <v>243</v>
      </c>
      <c r="P733">
        <v>1</v>
      </c>
    </row>
    <row r="734" spans="1:16" x14ac:dyDescent="0.25">
      <c r="A734" s="1">
        <v>45410.150150462963</v>
      </c>
      <c r="B734" t="s">
        <v>20</v>
      </c>
      <c r="C734">
        <v>-16.831700000000001</v>
      </c>
      <c r="D734">
        <v>-114.4787</v>
      </c>
      <c r="E734">
        <v>205</v>
      </c>
      <c r="F734" t="s">
        <v>21</v>
      </c>
      <c r="G734">
        <v>23.4</v>
      </c>
      <c r="H734">
        <v>61.4</v>
      </c>
      <c r="I734" t="s">
        <v>28</v>
      </c>
      <c r="J734">
        <v>31</v>
      </c>
      <c r="K734">
        <v>279</v>
      </c>
      <c r="L734">
        <v>2</v>
      </c>
      <c r="M734" t="s">
        <v>27</v>
      </c>
      <c r="N734">
        <v>79.099999999999994</v>
      </c>
      <c r="O734">
        <v>118</v>
      </c>
      <c r="P734">
        <v>0</v>
      </c>
    </row>
    <row r="735" spans="1:16" x14ac:dyDescent="0.25">
      <c r="A735" s="1">
        <v>45394.823217592595</v>
      </c>
      <c r="B735" t="s">
        <v>30</v>
      </c>
      <c r="C735">
        <v>42.6126</v>
      </c>
      <c r="D735">
        <v>-69.540800000000004</v>
      </c>
      <c r="E735">
        <v>243</v>
      </c>
      <c r="F735" t="s">
        <v>21</v>
      </c>
      <c r="G735">
        <v>28.9</v>
      </c>
      <c r="H735">
        <v>57.8</v>
      </c>
      <c r="I735" t="s">
        <v>28</v>
      </c>
      <c r="J735">
        <v>33</v>
      </c>
      <c r="K735">
        <v>277</v>
      </c>
      <c r="L735">
        <v>10</v>
      </c>
      <c r="M735" t="s">
        <v>27</v>
      </c>
      <c r="N735">
        <v>84.4</v>
      </c>
      <c r="O735">
        <v>151</v>
      </c>
      <c r="P735">
        <v>0</v>
      </c>
    </row>
    <row r="736" spans="1:16" x14ac:dyDescent="0.25">
      <c r="A736" s="1">
        <v>45656.105219907404</v>
      </c>
      <c r="B736" t="s">
        <v>32</v>
      </c>
      <c r="C736">
        <v>44.5289</v>
      </c>
      <c r="D736">
        <v>31.100200000000001</v>
      </c>
      <c r="E736">
        <v>226</v>
      </c>
      <c r="F736" t="s">
        <v>17</v>
      </c>
      <c r="G736">
        <v>21</v>
      </c>
      <c r="H736">
        <v>69.400000000000006</v>
      </c>
      <c r="I736" t="s">
        <v>18</v>
      </c>
      <c r="J736">
        <v>27</v>
      </c>
      <c r="K736">
        <v>406</v>
      </c>
      <c r="L736">
        <v>5</v>
      </c>
      <c r="M736" t="s">
        <v>19</v>
      </c>
      <c r="N736">
        <v>99.9</v>
      </c>
      <c r="O736">
        <v>285</v>
      </c>
      <c r="P736">
        <v>1</v>
      </c>
    </row>
    <row r="737" spans="1:16" x14ac:dyDescent="0.25">
      <c r="A737" s="1">
        <v>45504.716192129628</v>
      </c>
      <c r="B737" t="s">
        <v>30</v>
      </c>
      <c r="C737">
        <v>84.716099999999997</v>
      </c>
      <c r="D737">
        <v>77.111400000000003</v>
      </c>
      <c r="E737">
        <v>350</v>
      </c>
      <c r="F737" t="s">
        <v>26</v>
      </c>
      <c r="G737">
        <v>23.7</v>
      </c>
      <c r="H737">
        <v>59.8</v>
      </c>
      <c r="I737" t="s">
        <v>18</v>
      </c>
      <c r="J737">
        <v>42</v>
      </c>
      <c r="K737">
        <v>188</v>
      </c>
      <c r="L737">
        <v>10</v>
      </c>
      <c r="M737" t="s">
        <v>19</v>
      </c>
      <c r="N737">
        <v>98.6</v>
      </c>
      <c r="O737">
        <v>248</v>
      </c>
      <c r="P737">
        <v>0</v>
      </c>
    </row>
    <row r="738" spans="1:16" x14ac:dyDescent="0.25">
      <c r="A738" s="1">
        <v>45295.832118055558</v>
      </c>
      <c r="B738" t="s">
        <v>29</v>
      </c>
      <c r="C738">
        <v>-64.095399999999998</v>
      </c>
      <c r="D738">
        <v>-155.4074</v>
      </c>
      <c r="E738">
        <v>272</v>
      </c>
      <c r="F738" t="s">
        <v>17</v>
      </c>
      <c r="G738">
        <v>23.4</v>
      </c>
      <c r="H738">
        <v>57.2</v>
      </c>
      <c r="I738" t="s">
        <v>28</v>
      </c>
      <c r="J738">
        <v>51</v>
      </c>
      <c r="K738">
        <v>419</v>
      </c>
      <c r="L738">
        <v>6</v>
      </c>
      <c r="M738" t="s">
        <v>31</v>
      </c>
      <c r="N738">
        <v>63.1</v>
      </c>
      <c r="O738">
        <v>159</v>
      </c>
      <c r="P738">
        <v>1</v>
      </c>
    </row>
    <row r="739" spans="1:16" x14ac:dyDescent="0.25">
      <c r="A739" s="1">
        <v>45327.033541666664</v>
      </c>
      <c r="B739" t="s">
        <v>30</v>
      </c>
      <c r="C739">
        <v>20.338799999999999</v>
      </c>
      <c r="D739">
        <v>-109.3313</v>
      </c>
      <c r="E739">
        <v>378</v>
      </c>
      <c r="F739" t="s">
        <v>21</v>
      </c>
      <c r="G739">
        <v>21</v>
      </c>
      <c r="H739">
        <v>60.8</v>
      </c>
      <c r="I739" t="s">
        <v>22</v>
      </c>
      <c r="J739">
        <v>30</v>
      </c>
      <c r="K739">
        <v>318</v>
      </c>
      <c r="L739">
        <v>3</v>
      </c>
      <c r="M739" t="s">
        <v>23</v>
      </c>
      <c r="N739">
        <v>84.8</v>
      </c>
      <c r="O739">
        <v>181</v>
      </c>
      <c r="P739">
        <v>1</v>
      </c>
    </row>
    <row r="740" spans="1:16" x14ac:dyDescent="0.25">
      <c r="A740" s="1">
        <v>45562.723703703705</v>
      </c>
      <c r="B740" t="s">
        <v>24</v>
      </c>
      <c r="C740">
        <v>-14.5017</v>
      </c>
      <c r="D740">
        <v>-20.148599999999998</v>
      </c>
      <c r="E740">
        <v>127</v>
      </c>
      <c r="F740" t="s">
        <v>17</v>
      </c>
      <c r="G740">
        <v>23.7</v>
      </c>
      <c r="H740">
        <v>51.2</v>
      </c>
      <c r="I740" t="s">
        <v>22</v>
      </c>
      <c r="J740">
        <v>38</v>
      </c>
      <c r="K740">
        <v>463</v>
      </c>
      <c r="L740">
        <v>1</v>
      </c>
      <c r="M740" t="s">
        <v>27</v>
      </c>
      <c r="N740">
        <v>78.900000000000006</v>
      </c>
      <c r="O740">
        <v>272</v>
      </c>
      <c r="P740">
        <v>1</v>
      </c>
    </row>
    <row r="741" spans="1:16" x14ac:dyDescent="0.25">
      <c r="A741" s="1">
        <v>45572.601435185185</v>
      </c>
      <c r="B741" t="s">
        <v>29</v>
      </c>
      <c r="C741">
        <v>-35.3643</v>
      </c>
      <c r="D741">
        <v>134.89089999999999</v>
      </c>
      <c r="E741">
        <v>275</v>
      </c>
      <c r="F741" t="s">
        <v>21</v>
      </c>
      <c r="G741">
        <v>23</v>
      </c>
      <c r="H741">
        <v>55.7</v>
      </c>
      <c r="I741" t="s">
        <v>28</v>
      </c>
      <c r="J741">
        <v>39</v>
      </c>
      <c r="K741">
        <v>264</v>
      </c>
      <c r="L741">
        <v>1</v>
      </c>
      <c r="M741" t="s">
        <v>31</v>
      </c>
      <c r="N741">
        <v>64.400000000000006</v>
      </c>
      <c r="O741">
        <v>281</v>
      </c>
      <c r="P741">
        <v>0</v>
      </c>
    </row>
    <row r="742" spans="1:16" x14ac:dyDescent="0.25">
      <c r="A742" s="1">
        <v>45300.97111111111</v>
      </c>
      <c r="B742" t="s">
        <v>16</v>
      </c>
      <c r="C742">
        <v>1.3294999999999999</v>
      </c>
      <c r="D742">
        <v>83.6357</v>
      </c>
      <c r="E742">
        <v>483</v>
      </c>
      <c r="F742" t="s">
        <v>17</v>
      </c>
      <c r="G742">
        <v>28.6</v>
      </c>
      <c r="H742">
        <v>72.400000000000006</v>
      </c>
      <c r="I742" t="s">
        <v>28</v>
      </c>
      <c r="J742">
        <v>51</v>
      </c>
      <c r="K742">
        <v>243</v>
      </c>
      <c r="L742">
        <v>1</v>
      </c>
      <c r="M742" t="s">
        <v>27</v>
      </c>
      <c r="N742">
        <v>73.7</v>
      </c>
      <c r="O742">
        <v>167</v>
      </c>
      <c r="P742">
        <v>1</v>
      </c>
    </row>
    <row r="743" spans="1:16" x14ac:dyDescent="0.25">
      <c r="A743" s="1">
        <v>45292.770335648151</v>
      </c>
      <c r="B743" t="s">
        <v>33</v>
      </c>
      <c r="C743">
        <v>88.765199999999993</v>
      </c>
      <c r="D743">
        <v>-178.2706</v>
      </c>
      <c r="E743">
        <v>179</v>
      </c>
      <c r="F743" t="s">
        <v>17</v>
      </c>
      <c r="G743">
        <v>25.5</v>
      </c>
      <c r="H743">
        <v>70.900000000000006</v>
      </c>
      <c r="I743" t="s">
        <v>18</v>
      </c>
      <c r="J743">
        <v>12</v>
      </c>
      <c r="K743">
        <v>427</v>
      </c>
      <c r="L743">
        <v>9</v>
      </c>
      <c r="M743" t="s">
        <v>19</v>
      </c>
      <c r="N743">
        <v>60.3</v>
      </c>
      <c r="O743">
        <v>157</v>
      </c>
      <c r="P743">
        <v>1</v>
      </c>
    </row>
    <row r="744" spans="1:16" x14ac:dyDescent="0.25">
      <c r="A744" s="1">
        <v>45644.350648148145</v>
      </c>
      <c r="B744" t="s">
        <v>33</v>
      </c>
      <c r="C744">
        <v>54.493000000000002</v>
      </c>
      <c r="D744">
        <v>24.597899999999999</v>
      </c>
      <c r="E744">
        <v>325</v>
      </c>
      <c r="F744" t="s">
        <v>26</v>
      </c>
      <c r="G744">
        <v>26.4</v>
      </c>
      <c r="H744">
        <v>53.7</v>
      </c>
      <c r="I744" t="s">
        <v>18</v>
      </c>
      <c r="J744">
        <v>49</v>
      </c>
      <c r="K744">
        <v>495</v>
      </c>
      <c r="L744">
        <v>3</v>
      </c>
      <c r="M744" t="s">
        <v>23</v>
      </c>
      <c r="N744">
        <v>79.5</v>
      </c>
      <c r="O744">
        <v>145</v>
      </c>
      <c r="P744">
        <v>0</v>
      </c>
    </row>
    <row r="745" spans="1:16" x14ac:dyDescent="0.25">
      <c r="A745" s="1">
        <v>45307.407731481479</v>
      </c>
      <c r="B745" t="s">
        <v>24</v>
      </c>
      <c r="C745">
        <v>49.743099999999998</v>
      </c>
      <c r="D745">
        <v>156.32159999999999</v>
      </c>
      <c r="E745">
        <v>256</v>
      </c>
      <c r="F745" t="s">
        <v>26</v>
      </c>
      <c r="G745">
        <v>22.3</v>
      </c>
      <c r="H745">
        <v>66.3</v>
      </c>
      <c r="I745" t="s">
        <v>22</v>
      </c>
      <c r="J745">
        <v>10</v>
      </c>
      <c r="K745">
        <v>462</v>
      </c>
      <c r="L745">
        <v>1</v>
      </c>
      <c r="M745" t="s">
        <v>23</v>
      </c>
      <c r="N745">
        <v>95.5</v>
      </c>
      <c r="O745">
        <v>276</v>
      </c>
      <c r="P745">
        <v>1</v>
      </c>
    </row>
    <row r="746" spans="1:16" x14ac:dyDescent="0.25">
      <c r="A746" s="1">
        <v>45547.135000000002</v>
      </c>
      <c r="B746" t="s">
        <v>29</v>
      </c>
      <c r="C746">
        <v>-86.935699999999997</v>
      </c>
      <c r="D746">
        <v>-84.971800000000002</v>
      </c>
      <c r="E746">
        <v>405</v>
      </c>
      <c r="F746" t="s">
        <v>21</v>
      </c>
      <c r="G746">
        <v>20.5</v>
      </c>
      <c r="H746">
        <v>55.6</v>
      </c>
      <c r="I746" t="s">
        <v>22</v>
      </c>
      <c r="J746">
        <v>25</v>
      </c>
      <c r="K746">
        <v>442</v>
      </c>
      <c r="L746">
        <v>4</v>
      </c>
      <c r="M746" t="s">
        <v>27</v>
      </c>
      <c r="N746">
        <v>70.5</v>
      </c>
      <c r="O746">
        <v>269</v>
      </c>
      <c r="P746">
        <v>1</v>
      </c>
    </row>
    <row r="747" spans="1:16" x14ac:dyDescent="0.25">
      <c r="A747" s="1">
        <v>45612.074664351851</v>
      </c>
      <c r="B747" t="s">
        <v>34</v>
      </c>
      <c r="C747">
        <v>-59.607799999999997</v>
      </c>
      <c r="D747">
        <v>157.02000000000001</v>
      </c>
      <c r="E747">
        <v>428</v>
      </c>
      <c r="F747" t="s">
        <v>17</v>
      </c>
      <c r="G747">
        <v>23.5</v>
      </c>
      <c r="H747">
        <v>67.3</v>
      </c>
      <c r="I747" t="s">
        <v>22</v>
      </c>
      <c r="J747">
        <v>33</v>
      </c>
      <c r="K747">
        <v>152</v>
      </c>
      <c r="L747">
        <v>8</v>
      </c>
      <c r="M747" t="s">
        <v>19</v>
      </c>
      <c r="N747">
        <v>71.3</v>
      </c>
      <c r="O747">
        <v>300</v>
      </c>
      <c r="P747">
        <v>1</v>
      </c>
    </row>
    <row r="748" spans="1:16" x14ac:dyDescent="0.25">
      <c r="A748" s="1">
        <v>45434.201550925929</v>
      </c>
      <c r="B748" t="s">
        <v>35</v>
      </c>
      <c r="C748">
        <v>-10.9298</v>
      </c>
      <c r="D748">
        <v>-89.030600000000007</v>
      </c>
      <c r="E748">
        <v>247</v>
      </c>
      <c r="F748" t="s">
        <v>17</v>
      </c>
      <c r="G748">
        <v>18.3</v>
      </c>
      <c r="H748">
        <v>56.7</v>
      </c>
      <c r="I748" t="s">
        <v>22</v>
      </c>
      <c r="J748">
        <v>60</v>
      </c>
      <c r="K748">
        <v>194</v>
      </c>
      <c r="L748">
        <v>6</v>
      </c>
      <c r="M748" t="s">
        <v>19</v>
      </c>
      <c r="N748">
        <v>66.8</v>
      </c>
      <c r="O748">
        <v>192</v>
      </c>
      <c r="P748">
        <v>1</v>
      </c>
    </row>
    <row r="749" spans="1:16" x14ac:dyDescent="0.25">
      <c r="A749" s="1">
        <v>45446.845567129632</v>
      </c>
      <c r="B749" t="s">
        <v>32</v>
      </c>
      <c r="C749">
        <v>-54.357100000000003</v>
      </c>
      <c r="D749">
        <v>-133.19380000000001</v>
      </c>
      <c r="E749">
        <v>276</v>
      </c>
      <c r="F749" t="s">
        <v>26</v>
      </c>
      <c r="G749">
        <v>19.600000000000001</v>
      </c>
      <c r="H749">
        <v>53.4</v>
      </c>
      <c r="I749" t="s">
        <v>22</v>
      </c>
      <c r="J749">
        <v>38</v>
      </c>
      <c r="K749">
        <v>408</v>
      </c>
      <c r="L749">
        <v>2</v>
      </c>
      <c r="M749" t="s">
        <v>27</v>
      </c>
      <c r="N749">
        <v>89.2</v>
      </c>
      <c r="O749">
        <v>118</v>
      </c>
      <c r="P749">
        <v>1</v>
      </c>
    </row>
    <row r="750" spans="1:16" x14ac:dyDescent="0.25">
      <c r="A750" s="1">
        <v>45368.012974537036</v>
      </c>
      <c r="B750" t="s">
        <v>32</v>
      </c>
      <c r="C750">
        <v>-82.175399999999996</v>
      </c>
      <c r="D750">
        <v>-169.42189999999999</v>
      </c>
      <c r="E750">
        <v>410</v>
      </c>
      <c r="F750" t="s">
        <v>26</v>
      </c>
      <c r="G750">
        <v>25</v>
      </c>
      <c r="H750">
        <v>72.900000000000006</v>
      </c>
      <c r="I750" t="s">
        <v>28</v>
      </c>
      <c r="J750">
        <v>21</v>
      </c>
      <c r="K750">
        <v>306</v>
      </c>
      <c r="L750">
        <v>2</v>
      </c>
      <c r="M750" t="s">
        <v>27</v>
      </c>
      <c r="N750">
        <v>71.2</v>
      </c>
      <c r="O750">
        <v>132</v>
      </c>
      <c r="P750">
        <v>0</v>
      </c>
    </row>
    <row r="751" spans="1:16" x14ac:dyDescent="0.25">
      <c r="A751" s="1">
        <v>45494.405474537038</v>
      </c>
      <c r="B751" t="s">
        <v>35</v>
      </c>
      <c r="C751">
        <v>-11.363099999999999</v>
      </c>
      <c r="D751">
        <v>83.081900000000005</v>
      </c>
      <c r="E751">
        <v>449</v>
      </c>
      <c r="F751" t="s">
        <v>26</v>
      </c>
      <c r="G751">
        <v>28.8</v>
      </c>
      <c r="H751">
        <v>76.2</v>
      </c>
      <c r="I751" t="s">
        <v>28</v>
      </c>
      <c r="J751">
        <v>31</v>
      </c>
      <c r="K751">
        <v>234</v>
      </c>
      <c r="L751">
        <v>8</v>
      </c>
      <c r="M751" t="s">
        <v>27</v>
      </c>
      <c r="N751">
        <v>91.7</v>
      </c>
      <c r="O751">
        <v>129</v>
      </c>
      <c r="P751">
        <v>0</v>
      </c>
    </row>
    <row r="752" spans="1:16" x14ac:dyDescent="0.25">
      <c r="A752" s="1">
        <v>45387.281157407408</v>
      </c>
      <c r="B752" t="s">
        <v>20</v>
      </c>
      <c r="C752">
        <v>-48.383800000000001</v>
      </c>
      <c r="D752">
        <v>-163.11770000000001</v>
      </c>
      <c r="E752">
        <v>403</v>
      </c>
      <c r="F752" t="s">
        <v>26</v>
      </c>
      <c r="G752">
        <v>19.399999999999999</v>
      </c>
      <c r="H752">
        <v>70.3</v>
      </c>
      <c r="I752" t="s">
        <v>28</v>
      </c>
      <c r="J752">
        <v>43</v>
      </c>
      <c r="K752">
        <v>238</v>
      </c>
      <c r="L752">
        <v>5</v>
      </c>
      <c r="M752" t="s">
        <v>31</v>
      </c>
      <c r="N752">
        <v>79.7</v>
      </c>
      <c r="O752">
        <v>202</v>
      </c>
      <c r="P752">
        <v>0</v>
      </c>
    </row>
    <row r="753" spans="1:16" x14ac:dyDescent="0.25">
      <c r="A753" s="1">
        <v>45307.728414351855</v>
      </c>
      <c r="B753" t="s">
        <v>16</v>
      </c>
      <c r="C753">
        <v>7.0556999999999999</v>
      </c>
      <c r="D753">
        <v>-122.6525</v>
      </c>
      <c r="E753">
        <v>380</v>
      </c>
      <c r="F753" t="s">
        <v>17</v>
      </c>
      <c r="G753">
        <v>27.1</v>
      </c>
      <c r="H753">
        <v>71.5</v>
      </c>
      <c r="I753" t="s">
        <v>28</v>
      </c>
      <c r="J753">
        <v>23</v>
      </c>
      <c r="K753">
        <v>373</v>
      </c>
      <c r="L753">
        <v>3</v>
      </c>
      <c r="M753" t="s">
        <v>31</v>
      </c>
      <c r="N753">
        <v>97.1</v>
      </c>
      <c r="O753">
        <v>286</v>
      </c>
      <c r="P753">
        <v>1</v>
      </c>
    </row>
    <row r="754" spans="1:16" x14ac:dyDescent="0.25">
      <c r="A754" s="1">
        <v>45644.058263888888</v>
      </c>
      <c r="B754" t="s">
        <v>34</v>
      </c>
      <c r="C754">
        <v>-1.0775999999999999</v>
      </c>
      <c r="D754">
        <v>51.907499999999999</v>
      </c>
      <c r="E754">
        <v>417</v>
      </c>
      <c r="F754" t="s">
        <v>21</v>
      </c>
      <c r="G754">
        <v>27</v>
      </c>
      <c r="H754">
        <v>62.8</v>
      </c>
      <c r="I754" t="s">
        <v>22</v>
      </c>
      <c r="J754">
        <v>33</v>
      </c>
      <c r="K754">
        <v>373</v>
      </c>
      <c r="L754">
        <v>1</v>
      </c>
      <c r="M754" t="s">
        <v>23</v>
      </c>
      <c r="N754">
        <v>74.099999999999994</v>
      </c>
      <c r="O754">
        <v>122</v>
      </c>
      <c r="P754">
        <v>1</v>
      </c>
    </row>
    <row r="755" spans="1:16" x14ac:dyDescent="0.25">
      <c r="A755" s="1">
        <v>45644.611215277779</v>
      </c>
      <c r="B755" t="s">
        <v>35</v>
      </c>
      <c r="C755">
        <v>-81.573300000000003</v>
      </c>
      <c r="D755">
        <v>-17.378699999999998</v>
      </c>
      <c r="E755">
        <v>169</v>
      </c>
      <c r="F755" t="s">
        <v>17</v>
      </c>
      <c r="G755">
        <v>28.4</v>
      </c>
      <c r="H755">
        <v>74.400000000000006</v>
      </c>
      <c r="I755" t="s">
        <v>22</v>
      </c>
      <c r="J755">
        <v>53</v>
      </c>
      <c r="K755">
        <v>342</v>
      </c>
      <c r="L755">
        <v>6</v>
      </c>
      <c r="M755" t="s">
        <v>27</v>
      </c>
      <c r="N755">
        <v>98.1</v>
      </c>
      <c r="O755">
        <v>179</v>
      </c>
      <c r="P755">
        <v>1</v>
      </c>
    </row>
    <row r="756" spans="1:16" x14ac:dyDescent="0.25">
      <c r="A756" s="1">
        <v>45355.378217592595</v>
      </c>
      <c r="B756" t="s">
        <v>16</v>
      </c>
      <c r="C756">
        <v>75.210899999999995</v>
      </c>
      <c r="D756">
        <v>170.33709999999999</v>
      </c>
      <c r="E756">
        <v>382</v>
      </c>
      <c r="F756" t="s">
        <v>17</v>
      </c>
      <c r="G756">
        <v>22.2</v>
      </c>
      <c r="H756">
        <v>63.2</v>
      </c>
      <c r="I756" t="s">
        <v>28</v>
      </c>
      <c r="J756">
        <v>12</v>
      </c>
      <c r="K756">
        <v>467</v>
      </c>
      <c r="L756">
        <v>6</v>
      </c>
      <c r="M756" t="s">
        <v>19</v>
      </c>
      <c r="N756">
        <v>80.599999999999994</v>
      </c>
      <c r="O756">
        <v>210</v>
      </c>
      <c r="P756">
        <v>1</v>
      </c>
    </row>
    <row r="757" spans="1:16" x14ac:dyDescent="0.25">
      <c r="A757" s="1">
        <v>45604.089143518519</v>
      </c>
      <c r="B757" t="s">
        <v>20</v>
      </c>
      <c r="C757">
        <v>-21.428799999999999</v>
      </c>
      <c r="D757">
        <v>-164.29150000000001</v>
      </c>
      <c r="E757">
        <v>404</v>
      </c>
      <c r="F757" t="s">
        <v>17</v>
      </c>
      <c r="G757">
        <v>18.8</v>
      </c>
      <c r="H757">
        <v>69.3</v>
      </c>
      <c r="I757" t="s">
        <v>18</v>
      </c>
      <c r="J757">
        <v>59</v>
      </c>
      <c r="K757">
        <v>307</v>
      </c>
      <c r="L757">
        <v>10</v>
      </c>
      <c r="M757" t="s">
        <v>23</v>
      </c>
      <c r="N757">
        <v>67.7</v>
      </c>
      <c r="O757">
        <v>223</v>
      </c>
      <c r="P757">
        <v>1</v>
      </c>
    </row>
    <row r="758" spans="1:16" x14ac:dyDescent="0.25">
      <c r="A758" s="1">
        <v>45434.147349537037</v>
      </c>
      <c r="B758" t="s">
        <v>32</v>
      </c>
      <c r="C758">
        <v>-49.145000000000003</v>
      </c>
      <c r="D758">
        <v>-120.0898</v>
      </c>
      <c r="E758">
        <v>399</v>
      </c>
      <c r="F758" t="s">
        <v>17</v>
      </c>
      <c r="G758">
        <v>20.100000000000001</v>
      </c>
      <c r="H758">
        <v>74.2</v>
      </c>
      <c r="I758" t="s">
        <v>18</v>
      </c>
      <c r="J758">
        <v>54</v>
      </c>
      <c r="K758">
        <v>317</v>
      </c>
      <c r="L758">
        <v>8</v>
      </c>
      <c r="M758" t="s">
        <v>31</v>
      </c>
      <c r="N758">
        <v>88.2</v>
      </c>
      <c r="O758">
        <v>143</v>
      </c>
      <c r="P758">
        <v>1</v>
      </c>
    </row>
    <row r="759" spans="1:16" x14ac:dyDescent="0.25">
      <c r="A759" s="1">
        <v>45489.102870370371</v>
      </c>
      <c r="B759" t="s">
        <v>35</v>
      </c>
      <c r="C759">
        <v>-87.383499999999998</v>
      </c>
      <c r="D759">
        <v>60.460900000000002</v>
      </c>
      <c r="E759">
        <v>271</v>
      </c>
      <c r="F759" t="s">
        <v>26</v>
      </c>
      <c r="G759">
        <v>24.6</v>
      </c>
      <c r="H759">
        <v>73</v>
      </c>
      <c r="I759" t="s">
        <v>18</v>
      </c>
      <c r="J759">
        <v>53</v>
      </c>
      <c r="K759">
        <v>382</v>
      </c>
      <c r="L759">
        <v>3</v>
      </c>
      <c r="M759" t="s">
        <v>19</v>
      </c>
      <c r="N759">
        <v>94.1</v>
      </c>
      <c r="O759">
        <v>166</v>
      </c>
      <c r="P759">
        <v>0</v>
      </c>
    </row>
    <row r="760" spans="1:16" x14ac:dyDescent="0.25">
      <c r="A760" s="1">
        <v>45311.879224537035</v>
      </c>
      <c r="B760" t="s">
        <v>35</v>
      </c>
      <c r="C760">
        <v>69.641300000000001</v>
      </c>
      <c r="D760">
        <v>1.4327000000000001</v>
      </c>
      <c r="E760">
        <v>332</v>
      </c>
      <c r="F760" t="s">
        <v>17</v>
      </c>
      <c r="G760">
        <v>18.8</v>
      </c>
      <c r="H760">
        <v>74.7</v>
      </c>
      <c r="I760" t="s">
        <v>22</v>
      </c>
      <c r="J760">
        <v>16</v>
      </c>
      <c r="K760">
        <v>279</v>
      </c>
      <c r="L760">
        <v>2</v>
      </c>
      <c r="M760" t="s">
        <v>19</v>
      </c>
      <c r="N760">
        <v>61.8</v>
      </c>
      <c r="O760">
        <v>289</v>
      </c>
      <c r="P760">
        <v>1</v>
      </c>
    </row>
    <row r="761" spans="1:16" x14ac:dyDescent="0.25">
      <c r="A761" s="1">
        <v>45398.127175925925</v>
      </c>
      <c r="B761" t="s">
        <v>34</v>
      </c>
      <c r="C761">
        <v>19.9466</v>
      </c>
      <c r="D761">
        <v>-104.4665</v>
      </c>
      <c r="E761">
        <v>445</v>
      </c>
      <c r="F761" t="s">
        <v>26</v>
      </c>
      <c r="G761">
        <v>25.7</v>
      </c>
      <c r="H761">
        <v>50.8</v>
      </c>
      <c r="I761" t="s">
        <v>22</v>
      </c>
      <c r="J761">
        <v>28</v>
      </c>
      <c r="K761">
        <v>414</v>
      </c>
      <c r="L761">
        <v>2</v>
      </c>
      <c r="M761" t="s">
        <v>23</v>
      </c>
      <c r="N761">
        <v>75.5</v>
      </c>
      <c r="O761">
        <v>140</v>
      </c>
      <c r="P761">
        <v>1</v>
      </c>
    </row>
    <row r="762" spans="1:16" x14ac:dyDescent="0.25">
      <c r="A762" s="1">
        <v>45329.203020833331</v>
      </c>
      <c r="B762" t="s">
        <v>20</v>
      </c>
      <c r="C762">
        <v>19.557300000000001</v>
      </c>
      <c r="D762">
        <v>171.86969999999999</v>
      </c>
      <c r="E762">
        <v>426</v>
      </c>
      <c r="F762" t="s">
        <v>21</v>
      </c>
      <c r="G762">
        <v>23.6</v>
      </c>
      <c r="H762">
        <v>58</v>
      </c>
      <c r="I762" t="s">
        <v>22</v>
      </c>
      <c r="J762">
        <v>47</v>
      </c>
      <c r="K762">
        <v>263</v>
      </c>
      <c r="L762">
        <v>1</v>
      </c>
      <c r="M762" t="s">
        <v>27</v>
      </c>
      <c r="N762">
        <v>92.9</v>
      </c>
      <c r="O762">
        <v>136</v>
      </c>
      <c r="P762">
        <v>1</v>
      </c>
    </row>
    <row r="763" spans="1:16" x14ac:dyDescent="0.25">
      <c r="A763" s="1">
        <v>45307.173773148148</v>
      </c>
      <c r="B763" t="s">
        <v>20</v>
      </c>
      <c r="C763">
        <v>-46.9621</v>
      </c>
      <c r="D763">
        <v>87.697199999999995</v>
      </c>
      <c r="E763">
        <v>419</v>
      </c>
      <c r="F763" t="s">
        <v>21</v>
      </c>
      <c r="G763">
        <v>27</v>
      </c>
      <c r="H763">
        <v>56.7</v>
      </c>
      <c r="I763" t="s">
        <v>18</v>
      </c>
      <c r="J763">
        <v>25</v>
      </c>
      <c r="K763">
        <v>378</v>
      </c>
      <c r="L763">
        <v>2</v>
      </c>
      <c r="M763" t="s">
        <v>19</v>
      </c>
      <c r="N763">
        <v>74.3</v>
      </c>
      <c r="O763">
        <v>212</v>
      </c>
      <c r="P763">
        <v>0</v>
      </c>
    </row>
    <row r="764" spans="1:16" x14ac:dyDescent="0.25">
      <c r="A764" s="1">
        <v>45303.097673611112</v>
      </c>
      <c r="B764" t="s">
        <v>29</v>
      </c>
      <c r="C764">
        <v>-34.443300000000001</v>
      </c>
      <c r="D764">
        <v>-4.0669000000000004</v>
      </c>
      <c r="E764">
        <v>128</v>
      </c>
      <c r="F764" t="s">
        <v>17</v>
      </c>
      <c r="G764">
        <v>29</v>
      </c>
      <c r="H764">
        <v>71</v>
      </c>
      <c r="I764" t="s">
        <v>18</v>
      </c>
      <c r="J764">
        <v>12</v>
      </c>
      <c r="K764">
        <v>404</v>
      </c>
      <c r="L764">
        <v>8</v>
      </c>
      <c r="M764" t="s">
        <v>27</v>
      </c>
      <c r="N764">
        <v>81.3</v>
      </c>
      <c r="O764">
        <v>272</v>
      </c>
      <c r="P764">
        <v>1</v>
      </c>
    </row>
    <row r="765" spans="1:16" x14ac:dyDescent="0.25">
      <c r="A765" s="1">
        <v>45581.864849537036</v>
      </c>
      <c r="B765" t="s">
        <v>25</v>
      </c>
      <c r="C765">
        <v>-7.8198999999999996</v>
      </c>
      <c r="D765">
        <v>-78.215000000000003</v>
      </c>
      <c r="E765">
        <v>200</v>
      </c>
      <c r="F765" t="s">
        <v>21</v>
      </c>
      <c r="G765">
        <v>19.2</v>
      </c>
      <c r="H765">
        <v>67.7</v>
      </c>
      <c r="I765" t="s">
        <v>22</v>
      </c>
      <c r="J765">
        <v>11</v>
      </c>
      <c r="K765">
        <v>349</v>
      </c>
      <c r="L765">
        <v>6</v>
      </c>
      <c r="M765" t="s">
        <v>19</v>
      </c>
      <c r="N765">
        <v>73.599999999999994</v>
      </c>
      <c r="O765">
        <v>299</v>
      </c>
      <c r="P765">
        <v>1</v>
      </c>
    </row>
    <row r="766" spans="1:16" x14ac:dyDescent="0.25">
      <c r="A766" s="1">
        <v>45505.386296296296</v>
      </c>
      <c r="B766" t="s">
        <v>32</v>
      </c>
      <c r="C766">
        <v>11.661099999999999</v>
      </c>
      <c r="D766">
        <v>44.750500000000002</v>
      </c>
      <c r="E766">
        <v>434</v>
      </c>
      <c r="F766" t="s">
        <v>26</v>
      </c>
      <c r="G766">
        <v>29.4</v>
      </c>
      <c r="H766">
        <v>76.3</v>
      </c>
      <c r="I766" t="s">
        <v>22</v>
      </c>
      <c r="J766">
        <v>30</v>
      </c>
      <c r="K766">
        <v>166</v>
      </c>
      <c r="L766">
        <v>1</v>
      </c>
      <c r="M766" t="s">
        <v>19</v>
      </c>
      <c r="N766">
        <v>94.6</v>
      </c>
      <c r="O766">
        <v>220</v>
      </c>
      <c r="P766">
        <v>1</v>
      </c>
    </row>
    <row r="767" spans="1:16" x14ac:dyDescent="0.25">
      <c r="A767" s="1">
        <v>45304.880312499998</v>
      </c>
      <c r="B767" t="s">
        <v>35</v>
      </c>
      <c r="C767">
        <v>-12.4175</v>
      </c>
      <c r="D767">
        <v>135.98660000000001</v>
      </c>
      <c r="E767">
        <v>339</v>
      </c>
      <c r="F767" t="s">
        <v>17</v>
      </c>
      <c r="G767">
        <v>26.4</v>
      </c>
      <c r="H767">
        <v>73.8</v>
      </c>
      <c r="I767" t="s">
        <v>28</v>
      </c>
      <c r="J767">
        <v>58</v>
      </c>
      <c r="K767">
        <v>488</v>
      </c>
      <c r="L767">
        <v>3</v>
      </c>
      <c r="M767" t="s">
        <v>19</v>
      </c>
      <c r="N767">
        <v>89.3</v>
      </c>
      <c r="O767">
        <v>299</v>
      </c>
      <c r="P767">
        <v>1</v>
      </c>
    </row>
    <row r="768" spans="1:16" x14ac:dyDescent="0.25">
      <c r="A768" s="1">
        <v>45378.190254629626</v>
      </c>
      <c r="B768" t="s">
        <v>24</v>
      </c>
      <c r="C768">
        <v>-79.345100000000002</v>
      </c>
      <c r="D768">
        <v>-52.515099999999997</v>
      </c>
      <c r="E768">
        <v>224</v>
      </c>
      <c r="F768" t="s">
        <v>26</v>
      </c>
      <c r="G768">
        <v>19</v>
      </c>
      <c r="H768">
        <v>79.900000000000006</v>
      </c>
      <c r="I768" t="s">
        <v>22</v>
      </c>
      <c r="J768">
        <v>17</v>
      </c>
      <c r="K768">
        <v>139</v>
      </c>
      <c r="L768">
        <v>4</v>
      </c>
      <c r="M768" t="s">
        <v>23</v>
      </c>
      <c r="N768">
        <v>96.1</v>
      </c>
      <c r="O768">
        <v>279</v>
      </c>
      <c r="P768">
        <v>1</v>
      </c>
    </row>
    <row r="769" spans="1:16" x14ac:dyDescent="0.25">
      <c r="A769" s="1">
        <v>45366.617199074077</v>
      </c>
      <c r="B769" t="s">
        <v>24</v>
      </c>
      <c r="C769">
        <v>24.421600000000002</v>
      </c>
      <c r="D769">
        <v>-7.0648999999999997</v>
      </c>
      <c r="E769">
        <v>387</v>
      </c>
      <c r="F769" t="s">
        <v>17</v>
      </c>
      <c r="G769">
        <v>18.399999999999999</v>
      </c>
      <c r="H769">
        <v>79.5</v>
      </c>
      <c r="I769" t="s">
        <v>28</v>
      </c>
      <c r="J769">
        <v>17</v>
      </c>
      <c r="K769">
        <v>456</v>
      </c>
      <c r="L769">
        <v>2</v>
      </c>
      <c r="M769" t="s">
        <v>23</v>
      </c>
      <c r="N769">
        <v>65.900000000000006</v>
      </c>
      <c r="O769">
        <v>155</v>
      </c>
      <c r="P769">
        <v>1</v>
      </c>
    </row>
    <row r="770" spans="1:16" x14ac:dyDescent="0.25">
      <c r="A770" s="1">
        <v>45407.421631944446</v>
      </c>
      <c r="B770" t="s">
        <v>32</v>
      </c>
      <c r="C770">
        <v>71.7196</v>
      </c>
      <c r="D770">
        <v>-107.34269999999999</v>
      </c>
      <c r="E770">
        <v>146</v>
      </c>
      <c r="F770" t="s">
        <v>17</v>
      </c>
      <c r="G770">
        <v>26</v>
      </c>
      <c r="H770">
        <v>57.2</v>
      </c>
      <c r="I770" t="s">
        <v>28</v>
      </c>
      <c r="J770">
        <v>47</v>
      </c>
      <c r="K770">
        <v>188</v>
      </c>
      <c r="L770">
        <v>4</v>
      </c>
      <c r="M770" t="s">
        <v>31</v>
      </c>
      <c r="N770">
        <v>76</v>
      </c>
      <c r="O770">
        <v>131</v>
      </c>
      <c r="P770">
        <v>1</v>
      </c>
    </row>
    <row r="771" spans="1:16" x14ac:dyDescent="0.25">
      <c r="A771" s="1">
        <v>45524.061203703706</v>
      </c>
      <c r="B771" t="s">
        <v>29</v>
      </c>
      <c r="C771">
        <v>-69.658500000000004</v>
      </c>
      <c r="D771">
        <v>23.632300000000001</v>
      </c>
      <c r="E771">
        <v>177</v>
      </c>
      <c r="F771" t="s">
        <v>21</v>
      </c>
      <c r="G771">
        <v>18.600000000000001</v>
      </c>
      <c r="H771">
        <v>74.5</v>
      </c>
      <c r="I771" t="s">
        <v>22</v>
      </c>
      <c r="J771">
        <v>16</v>
      </c>
      <c r="K771">
        <v>429</v>
      </c>
      <c r="L771">
        <v>1</v>
      </c>
      <c r="M771" t="s">
        <v>27</v>
      </c>
      <c r="N771">
        <v>72.400000000000006</v>
      </c>
      <c r="O771">
        <v>132</v>
      </c>
      <c r="P771">
        <v>1</v>
      </c>
    </row>
    <row r="772" spans="1:16" x14ac:dyDescent="0.25">
      <c r="A772" s="1">
        <v>45475.576608796298</v>
      </c>
      <c r="B772" t="s">
        <v>35</v>
      </c>
      <c r="C772">
        <v>67.364999999999995</v>
      </c>
      <c r="D772">
        <v>71.5047</v>
      </c>
      <c r="E772">
        <v>316</v>
      </c>
      <c r="F772" t="s">
        <v>17</v>
      </c>
      <c r="G772">
        <v>26.4</v>
      </c>
      <c r="H772">
        <v>60</v>
      </c>
      <c r="I772" t="s">
        <v>18</v>
      </c>
      <c r="J772">
        <v>36</v>
      </c>
      <c r="K772">
        <v>274</v>
      </c>
      <c r="L772">
        <v>1</v>
      </c>
      <c r="M772" t="s">
        <v>23</v>
      </c>
      <c r="N772">
        <v>68.2</v>
      </c>
      <c r="O772">
        <v>218</v>
      </c>
      <c r="P772">
        <v>1</v>
      </c>
    </row>
    <row r="773" spans="1:16" x14ac:dyDescent="0.25">
      <c r="A773" s="1">
        <v>45479.545636574076</v>
      </c>
      <c r="B773" t="s">
        <v>25</v>
      </c>
      <c r="C773">
        <v>-31.961099999999998</v>
      </c>
      <c r="D773">
        <v>-75.809200000000004</v>
      </c>
      <c r="E773">
        <v>458</v>
      </c>
      <c r="F773" t="s">
        <v>21</v>
      </c>
      <c r="G773">
        <v>25</v>
      </c>
      <c r="H773">
        <v>79.599999999999994</v>
      </c>
      <c r="I773" t="s">
        <v>22</v>
      </c>
      <c r="J773">
        <v>56</v>
      </c>
      <c r="K773">
        <v>303</v>
      </c>
      <c r="L773">
        <v>1</v>
      </c>
      <c r="M773" t="s">
        <v>19</v>
      </c>
      <c r="N773">
        <v>73.8</v>
      </c>
      <c r="O773">
        <v>206</v>
      </c>
      <c r="P773">
        <v>1</v>
      </c>
    </row>
    <row r="774" spans="1:16" x14ac:dyDescent="0.25">
      <c r="A774" s="1">
        <v>45459.4841087963</v>
      </c>
      <c r="B774" t="s">
        <v>29</v>
      </c>
      <c r="C774">
        <v>-82.481200000000001</v>
      </c>
      <c r="D774">
        <v>139.05799999999999</v>
      </c>
      <c r="E774">
        <v>481</v>
      </c>
      <c r="F774" t="s">
        <v>26</v>
      </c>
      <c r="G774">
        <v>24</v>
      </c>
      <c r="H774">
        <v>72.5</v>
      </c>
      <c r="I774" t="s">
        <v>18</v>
      </c>
      <c r="J774">
        <v>34</v>
      </c>
      <c r="K774">
        <v>152</v>
      </c>
      <c r="L774">
        <v>4</v>
      </c>
      <c r="M774" t="s">
        <v>31</v>
      </c>
      <c r="N774">
        <v>79.8</v>
      </c>
      <c r="O774">
        <v>299</v>
      </c>
      <c r="P774">
        <v>0</v>
      </c>
    </row>
    <row r="775" spans="1:16" x14ac:dyDescent="0.25">
      <c r="A775" s="1">
        <v>45455.405960648146</v>
      </c>
      <c r="B775" t="s">
        <v>34</v>
      </c>
      <c r="C775">
        <v>25.325399999999998</v>
      </c>
      <c r="D775">
        <v>132.62639999999999</v>
      </c>
      <c r="E775">
        <v>231</v>
      </c>
      <c r="F775" t="s">
        <v>26</v>
      </c>
      <c r="G775">
        <v>19.399999999999999</v>
      </c>
      <c r="H775">
        <v>66.599999999999994</v>
      </c>
      <c r="I775" t="s">
        <v>22</v>
      </c>
      <c r="J775">
        <v>32</v>
      </c>
      <c r="K775">
        <v>289</v>
      </c>
      <c r="L775">
        <v>8</v>
      </c>
      <c r="M775" t="s">
        <v>31</v>
      </c>
      <c r="N775">
        <v>77.599999999999994</v>
      </c>
      <c r="O775">
        <v>240</v>
      </c>
      <c r="P775">
        <v>1</v>
      </c>
    </row>
    <row r="776" spans="1:16" x14ac:dyDescent="0.25">
      <c r="A776" s="1">
        <v>45493.835868055554</v>
      </c>
      <c r="B776" t="s">
        <v>34</v>
      </c>
      <c r="C776">
        <v>40.740099999999998</v>
      </c>
      <c r="D776">
        <v>110.47369999999999</v>
      </c>
      <c r="E776">
        <v>129</v>
      </c>
      <c r="F776" t="s">
        <v>26</v>
      </c>
      <c r="G776">
        <v>19.2</v>
      </c>
      <c r="H776">
        <v>77.900000000000006</v>
      </c>
      <c r="I776" t="s">
        <v>18</v>
      </c>
      <c r="J776">
        <v>11</v>
      </c>
      <c r="K776">
        <v>448</v>
      </c>
      <c r="L776">
        <v>4</v>
      </c>
      <c r="M776" t="s">
        <v>19</v>
      </c>
      <c r="N776">
        <v>68.900000000000006</v>
      </c>
      <c r="O776">
        <v>132</v>
      </c>
      <c r="P776">
        <v>0</v>
      </c>
    </row>
    <row r="777" spans="1:16" x14ac:dyDescent="0.25">
      <c r="A777" s="1">
        <v>45581.611898148149</v>
      </c>
      <c r="B777" t="s">
        <v>35</v>
      </c>
      <c r="C777">
        <v>-53.779000000000003</v>
      </c>
      <c r="D777">
        <v>30.886299999999999</v>
      </c>
      <c r="E777">
        <v>398</v>
      </c>
      <c r="F777" t="s">
        <v>26</v>
      </c>
      <c r="G777">
        <v>29.1</v>
      </c>
      <c r="H777">
        <v>75.3</v>
      </c>
      <c r="I777" t="s">
        <v>18</v>
      </c>
      <c r="J777">
        <v>58</v>
      </c>
      <c r="K777">
        <v>172</v>
      </c>
      <c r="L777">
        <v>1</v>
      </c>
      <c r="M777" t="s">
        <v>27</v>
      </c>
      <c r="N777">
        <v>99.3</v>
      </c>
      <c r="O777">
        <v>194</v>
      </c>
      <c r="P777">
        <v>0</v>
      </c>
    </row>
    <row r="778" spans="1:16" x14ac:dyDescent="0.25">
      <c r="A778" s="1">
        <v>45537.137025462966</v>
      </c>
      <c r="B778" t="s">
        <v>34</v>
      </c>
      <c r="C778">
        <v>-39.379100000000001</v>
      </c>
      <c r="D778">
        <v>-53.131599999999999</v>
      </c>
      <c r="E778">
        <v>149</v>
      </c>
      <c r="F778" t="s">
        <v>17</v>
      </c>
      <c r="G778">
        <v>19.8</v>
      </c>
      <c r="H778">
        <v>51.3</v>
      </c>
      <c r="I778" t="s">
        <v>22</v>
      </c>
      <c r="J778">
        <v>24</v>
      </c>
      <c r="K778">
        <v>386</v>
      </c>
      <c r="L778">
        <v>6</v>
      </c>
      <c r="M778" t="s">
        <v>31</v>
      </c>
      <c r="N778">
        <v>87.2</v>
      </c>
      <c r="O778">
        <v>208</v>
      </c>
      <c r="P778">
        <v>1</v>
      </c>
    </row>
    <row r="779" spans="1:16" x14ac:dyDescent="0.25">
      <c r="A779" s="1">
        <v>45493.684918981482</v>
      </c>
      <c r="B779" t="s">
        <v>34</v>
      </c>
      <c r="C779">
        <v>46.278799999999997</v>
      </c>
      <c r="D779">
        <v>41.345300000000002</v>
      </c>
      <c r="E779">
        <v>338</v>
      </c>
      <c r="F779" t="s">
        <v>21</v>
      </c>
      <c r="G779">
        <v>20.6</v>
      </c>
      <c r="H779">
        <v>65</v>
      </c>
      <c r="I779" t="s">
        <v>18</v>
      </c>
      <c r="J779">
        <v>56</v>
      </c>
      <c r="K779">
        <v>421</v>
      </c>
      <c r="L779">
        <v>2</v>
      </c>
      <c r="M779" t="s">
        <v>31</v>
      </c>
      <c r="N779">
        <v>86.9</v>
      </c>
      <c r="O779">
        <v>142</v>
      </c>
      <c r="P779">
        <v>0</v>
      </c>
    </row>
    <row r="780" spans="1:16" x14ac:dyDescent="0.25">
      <c r="A780" s="1">
        <v>45523.003611111111</v>
      </c>
      <c r="B780" t="s">
        <v>16</v>
      </c>
      <c r="C780">
        <v>-65.919899999999998</v>
      </c>
      <c r="D780">
        <v>-160.22919999999999</v>
      </c>
      <c r="E780">
        <v>252</v>
      </c>
      <c r="F780" t="s">
        <v>21</v>
      </c>
      <c r="G780">
        <v>27.1</v>
      </c>
      <c r="H780">
        <v>59.8</v>
      </c>
      <c r="I780" t="s">
        <v>18</v>
      </c>
      <c r="J780">
        <v>53</v>
      </c>
      <c r="K780">
        <v>457</v>
      </c>
      <c r="L780">
        <v>8</v>
      </c>
      <c r="M780" t="s">
        <v>27</v>
      </c>
      <c r="N780">
        <v>95.4</v>
      </c>
      <c r="O780">
        <v>273</v>
      </c>
      <c r="P780">
        <v>0</v>
      </c>
    </row>
    <row r="781" spans="1:16" x14ac:dyDescent="0.25">
      <c r="A781" s="1">
        <v>45355.430451388886</v>
      </c>
      <c r="B781" t="s">
        <v>34</v>
      </c>
      <c r="C781">
        <v>-32.270699999999998</v>
      </c>
      <c r="D781">
        <v>98.147199999999998</v>
      </c>
      <c r="E781">
        <v>330</v>
      </c>
      <c r="F781" t="s">
        <v>26</v>
      </c>
      <c r="G781">
        <v>26.5</v>
      </c>
      <c r="H781">
        <v>59.2</v>
      </c>
      <c r="I781" t="s">
        <v>28</v>
      </c>
      <c r="J781">
        <v>51</v>
      </c>
      <c r="K781">
        <v>274</v>
      </c>
      <c r="L781">
        <v>3</v>
      </c>
      <c r="M781" t="s">
        <v>27</v>
      </c>
      <c r="N781">
        <v>69.099999999999994</v>
      </c>
      <c r="O781">
        <v>139</v>
      </c>
      <c r="P781">
        <v>0</v>
      </c>
    </row>
    <row r="782" spans="1:16" x14ac:dyDescent="0.25">
      <c r="A782" s="1">
        <v>45566.321493055555</v>
      </c>
      <c r="B782" t="s">
        <v>34</v>
      </c>
      <c r="C782">
        <v>73.391999999999996</v>
      </c>
      <c r="D782">
        <v>-62.313800000000001</v>
      </c>
      <c r="E782">
        <v>464</v>
      </c>
      <c r="F782" t="s">
        <v>17</v>
      </c>
      <c r="G782">
        <v>28.2</v>
      </c>
      <c r="H782">
        <v>61.4</v>
      </c>
      <c r="I782" t="s">
        <v>22</v>
      </c>
      <c r="J782">
        <v>20</v>
      </c>
      <c r="K782">
        <v>177</v>
      </c>
      <c r="L782">
        <v>3</v>
      </c>
      <c r="M782" t="s">
        <v>23</v>
      </c>
      <c r="N782">
        <v>60.3</v>
      </c>
      <c r="O782">
        <v>279</v>
      </c>
      <c r="P782">
        <v>1</v>
      </c>
    </row>
    <row r="783" spans="1:16" x14ac:dyDescent="0.25">
      <c r="A783" s="1">
        <v>45324.535891203705</v>
      </c>
      <c r="B783" t="s">
        <v>32</v>
      </c>
      <c r="C783">
        <v>77.767799999999994</v>
      </c>
      <c r="D783">
        <v>-165.1979</v>
      </c>
      <c r="E783">
        <v>141</v>
      </c>
      <c r="F783" t="s">
        <v>17</v>
      </c>
      <c r="G783">
        <v>27.7</v>
      </c>
      <c r="H783">
        <v>55</v>
      </c>
      <c r="I783" t="s">
        <v>28</v>
      </c>
      <c r="J783">
        <v>12</v>
      </c>
      <c r="K783">
        <v>432</v>
      </c>
      <c r="L783">
        <v>10</v>
      </c>
      <c r="M783" t="s">
        <v>31</v>
      </c>
      <c r="N783">
        <v>87.5</v>
      </c>
      <c r="O783">
        <v>278</v>
      </c>
      <c r="P783">
        <v>1</v>
      </c>
    </row>
    <row r="784" spans="1:16" x14ac:dyDescent="0.25">
      <c r="A784" s="1">
        <v>45596.266979166663</v>
      </c>
      <c r="B784" t="s">
        <v>34</v>
      </c>
      <c r="C784">
        <v>-2.8228</v>
      </c>
      <c r="D784">
        <v>75.2804</v>
      </c>
      <c r="E784">
        <v>463</v>
      </c>
      <c r="F784" t="s">
        <v>21</v>
      </c>
      <c r="G784">
        <v>19.5</v>
      </c>
      <c r="H784">
        <v>64.400000000000006</v>
      </c>
      <c r="I784" t="s">
        <v>18</v>
      </c>
      <c r="J784">
        <v>32</v>
      </c>
      <c r="K784">
        <v>244</v>
      </c>
      <c r="L784">
        <v>1</v>
      </c>
      <c r="M784" t="s">
        <v>27</v>
      </c>
      <c r="N784">
        <v>69.8</v>
      </c>
      <c r="O784">
        <v>294</v>
      </c>
      <c r="P784">
        <v>0</v>
      </c>
    </row>
    <row r="785" spans="1:16" x14ac:dyDescent="0.25">
      <c r="A785" s="1">
        <v>45627.195231481484</v>
      </c>
      <c r="B785" t="s">
        <v>32</v>
      </c>
      <c r="C785">
        <v>-74.278000000000006</v>
      </c>
      <c r="D785">
        <v>137.45599999999999</v>
      </c>
      <c r="E785">
        <v>223</v>
      </c>
      <c r="F785" t="s">
        <v>21</v>
      </c>
      <c r="G785">
        <v>25.2</v>
      </c>
      <c r="H785">
        <v>54.1</v>
      </c>
      <c r="I785" t="s">
        <v>18</v>
      </c>
      <c r="J785">
        <v>45</v>
      </c>
      <c r="K785">
        <v>121</v>
      </c>
      <c r="L785">
        <v>1</v>
      </c>
      <c r="M785" t="s">
        <v>31</v>
      </c>
      <c r="N785">
        <v>85.9</v>
      </c>
      <c r="O785">
        <v>153</v>
      </c>
      <c r="P785">
        <v>0</v>
      </c>
    </row>
    <row r="786" spans="1:16" x14ac:dyDescent="0.25">
      <c r="A786" s="1">
        <v>45366.09578703704</v>
      </c>
      <c r="B786" t="s">
        <v>24</v>
      </c>
      <c r="C786">
        <v>-21.579699999999999</v>
      </c>
      <c r="D786">
        <v>129.75989999999999</v>
      </c>
      <c r="E786">
        <v>301</v>
      </c>
      <c r="F786" t="s">
        <v>21</v>
      </c>
      <c r="G786">
        <v>18.5</v>
      </c>
      <c r="H786">
        <v>75.3</v>
      </c>
      <c r="I786" t="s">
        <v>28</v>
      </c>
      <c r="J786">
        <v>39</v>
      </c>
      <c r="K786">
        <v>140</v>
      </c>
      <c r="L786">
        <v>6</v>
      </c>
      <c r="M786" t="s">
        <v>23</v>
      </c>
      <c r="N786">
        <v>78.5</v>
      </c>
      <c r="O786">
        <v>208</v>
      </c>
      <c r="P786">
        <v>0</v>
      </c>
    </row>
    <row r="787" spans="1:16" x14ac:dyDescent="0.25">
      <c r="A787" s="1">
        <v>45356.953055555554</v>
      </c>
      <c r="B787" t="s">
        <v>24</v>
      </c>
      <c r="C787">
        <v>35.952100000000002</v>
      </c>
      <c r="D787">
        <v>5.7750000000000004</v>
      </c>
      <c r="E787">
        <v>195</v>
      </c>
      <c r="F787" t="s">
        <v>26</v>
      </c>
      <c r="G787">
        <v>26.9</v>
      </c>
      <c r="H787">
        <v>79.8</v>
      </c>
      <c r="I787" t="s">
        <v>28</v>
      </c>
      <c r="J787">
        <v>57</v>
      </c>
      <c r="K787">
        <v>190</v>
      </c>
      <c r="L787">
        <v>2</v>
      </c>
      <c r="M787" t="s">
        <v>27</v>
      </c>
      <c r="N787">
        <v>60.6</v>
      </c>
      <c r="O787">
        <v>235</v>
      </c>
      <c r="P787">
        <v>0</v>
      </c>
    </row>
    <row r="788" spans="1:16" x14ac:dyDescent="0.25">
      <c r="A788" s="1">
        <v>45591.990960648145</v>
      </c>
      <c r="B788" t="s">
        <v>16</v>
      </c>
      <c r="C788">
        <v>-8.7266999999999992</v>
      </c>
      <c r="D788">
        <v>-140.39879999999999</v>
      </c>
      <c r="E788">
        <v>310</v>
      </c>
      <c r="F788" t="s">
        <v>26</v>
      </c>
      <c r="G788">
        <v>23.8</v>
      </c>
      <c r="H788">
        <v>72.400000000000006</v>
      </c>
      <c r="I788" t="s">
        <v>28</v>
      </c>
      <c r="J788">
        <v>53</v>
      </c>
      <c r="K788">
        <v>277</v>
      </c>
      <c r="L788">
        <v>4</v>
      </c>
      <c r="M788" t="s">
        <v>31</v>
      </c>
      <c r="N788">
        <v>91.3</v>
      </c>
      <c r="O788">
        <v>122</v>
      </c>
      <c r="P788">
        <v>0</v>
      </c>
    </row>
    <row r="789" spans="1:16" x14ac:dyDescent="0.25">
      <c r="A789" s="1">
        <v>45368.716307870367</v>
      </c>
      <c r="B789" t="s">
        <v>30</v>
      </c>
      <c r="C789">
        <v>-56.121899999999997</v>
      </c>
      <c r="D789">
        <v>135.42349999999999</v>
      </c>
      <c r="E789">
        <v>100</v>
      </c>
      <c r="F789" t="s">
        <v>21</v>
      </c>
      <c r="G789">
        <v>23.6</v>
      </c>
      <c r="H789">
        <v>64.3</v>
      </c>
      <c r="I789" t="s">
        <v>18</v>
      </c>
      <c r="J789">
        <v>29</v>
      </c>
      <c r="K789">
        <v>276</v>
      </c>
      <c r="L789">
        <v>5</v>
      </c>
      <c r="M789" t="s">
        <v>31</v>
      </c>
      <c r="N789">
        <v>89.1</v>
      </c>
      <c r="O789">
        <v>198</v>
      </c>
      <c r="P789">
        <v>0</v>
      </c>
    </row>
    <row r="790" spans="1:16" x14ac:dyDescent="0.25">
      <c r="A790" s="1">
        <v>45304.660729166666</v>
      </c>
      <c r="B790" t="s">
        <v>35</v>
      </c>
      <c r="C790">
        <v>23.225899999999999</v>
      </c>
      <c r="D790">
        <v>110.6901</v>
      </c>
      <c r="E790">
        <v>147</v>
      </c>
      <c r="F790" t="s">
        <v>21</v>
      </c>
      <c r="G790">
        <v>18.7</v>
      </c>
      <c r="H790">
        <v>68.5</v>
      </c>
      <c r="I790" t="s">
        <v>22</v>
      </c>
      <c r="J790">
        <v>25</v>
      </c>
      <c r="K790">
        <v>439</v>
      </c>
      <c r="L790">
        <v>9</v>
      </c>
      <c r="M790" t="s">
        <v>19</v>
      </c>
      <c r="N790">
        <v>75.2</v>
      </c>
      <c r="O790">
        <v>266</v>
      </c>
      <c r="P790">
        <v>1</v>
      </c>
    </row>
    <row r="791" spans="1:16" x14ac:dyDescent="0.25">
      <c r="A791" s="1">
        <v>45442.959016203706</v>
      </c>
      <c r="B791" t="s">
        <v>25</v>
      </c>
      <c r="C791">
        <v>-53.699300000000001</v>
      </c>
      <c r="D791">
        <v>79.009600000000006</v>
      </c>
      <c r="E791">
        <v>251</v>
      </c>
      <c r="F791" t="s">
        <v>17</v>
      </c>
      <c r="G791">
        <v>22.8</v>
      </c>
      <c r="H791">
        <v>62.9</v>
      </c>
      <c r="I791" t="s">
        <v>22</v>
      </c>
      <c r="J791">
        <v>52</v>
      </c>
      <c r="K791">
        <v>173</v>
      </c>
      <c r="L791">
        <v>3</v>
      </c>
      <c r="M791" t="s">
        <v>31</v>
      </c>
      <c r="N791">
        <v>72.900000000000006</v>
      </c>
      <c r="O791">
        <v>268</v>
      </c>
      <c r="P791">
        <v>1</v>
      </c>
    </row>
    <row r="792" spans="1:16" x14ac:dyDescent="0.25">
      <c r="A792" s="1">
        <v>45504.95648148148</v>
      </c>
      <c r="B792" t="s">
        <v>16</v>
      </c>
      <c r="C792">
        <v>-3.8220000000000001</v>
      </c>
      <c r="D792">
        <v>-40.316899999999997</v>
      </c>
      <c r="E792">
        <v>108</v>
      </c>
      <c r="F792" t="s">
        <v>26</v>
      </c>
      <c r="G792">
        <v>26.6</v>
      </c>
      <c r="H792">
        <v>61.7</v>
      </c>
      <c r="I792" t="s">
        <v>18</v>
      </c>
      <c r="J792">
        <v>47</v>
      </c>
      <c r="K792">
        <v>122</v>
      </c>
      <c r="L792">
        <v>7</v>
      </c>
      <c r="M792" t="s">
        <v>23</v>
      </c>
      <c r="N792">
        <v>64.599999999999994</v>
      </c>
      <c r="O792">
        <v>116</v>
      </c>
      <c r="P792">
        <v>0</v>
      </c>
    </row>
    <row r="793" spans="1:16" x14ac:dyDescent="0.25">
      <c r="A793" s="1">
        <v>45456.199317129627</v>
      </c>
      <c r="B793" t="s">
        <v>20</v>
      </c>
      <c r="C793">
        <v>-48.052999999999997</v>
      </c>
      <c r="D793">
        <v>-175.0849</v>
      </c>
      <c r="E793">
        <v>340</v>
      </c>
      <c r="F793" t="s">
        <v>21</v>
      </c>
      <c r="G793">
        <v>27.9</v>
      </c>
      <c r="H793">
        <v>69.099999999999994</v>
      </c>
      <c r="I793" t="s">
        <v>28</v>
      </c>
      <c r="J793">
        <v>32</v>
      </c>
      <c r="K793">
        <v>162</v>
      </c>
      <c r="L793">
        <v>2</v>
      </c>
      <c r="M793" t="s">
        <v>23</v>
      </c>
      <c r="N793">
        <v>90.9</v>
      </c>
      <c r="O793">
        <v>300</v>
      </c>
      <c r="P793">
        <v>0</v>
      </c>
    </row>
    <row r="794" spans="1:16" x14ac:dyDescent="0.25">
      <c r="A794" s="1">
        <v>45479.666226851848</v>
      </c>
      <c r="B794" t="s">
        <v>33</v>
      </c>
      <c r="C794">
        <v>68.132000000000005</v>
      </c>
      <c r="D794">
        <v>-51.507100000000001</v>
      </c>
      <c r="E794">
        <v>167</v>
      </c>
      <c r="F794" t="s">
        <v>17</v>
      </c>
      <c r="G794">
        <v>21.6</v>
      </c>
      <c r="H794">
        <v>54.6</v>
      </c>
      <c r="I794" t="s">
        <v>28</v>
      </c>
      <c r="J794">
        <v>46</v>
      </c>
      <c r="K794">
        <v>240</v>
      </c>
      <c r="L794">
        <v>10</v>
      </c>
      <c r="M794" t="s">
        <v>23</v>
      </c>
      <c r="N794">
        <v>60.5</v>
      </c>
      <c r="O794">
        <v>278</v>
      </c>
      <c r="P794">
        <v>1</v>
      </c>
    </row>
    <row r="795" spans="1:16" x14ac:dyDescent="0.25">
      <c r="A795" s="1">
        <v>45350.521273148152</v>
      </c>
      <c r="B795" t="s">
        <v>33</v>
      </c>
      <c r="C795">
        <v>-80.428899999999999</v>
      </c>
      <c r="D795">
        <v>177.55799999999999</v>
      </c>
      <c r="E795">
        <v>488</v>
      </c>
      <c r="F795" t="s">
        <v>26</v>
      </c>
      <c r="G795">
        <v>24.9</v>
      </c>
      <c r="H795">
        <v>79.2</v>
      </c>
      <c r="I795" t="s">
        <v>22</v>
      </c>
      <c r="J795">
        <v>52</v>
      </c>
      <c r="K795">
        <v>290</v>
      </c>
      <c r="L795">
        <v>10</v>
      </c>
      <c r="M795" t="s">
        <v>27</v>
      </c>
      <c r="N795">
        <v>82.5</v>
      </c>
      <c r="O795">
        <v>248</v>
      </c>
      <c r="P795">
        <v>1</v>
      </c>
    </row>
    <row r="796" spans="1:16" x14ac:dyDescent="0.25">
      <c r="A796" s="1">
        <v>45373.281574074077</v>
      </c>
      <c r="B796" t="s">
        <v>32</v>
      </c>
      <c r="C796">
        <v>42.952599999999997</v>
      </c>
      <c r="D796">
        <v>146.6224</v>
      </c>
      <c r="E796">
        <v>330</v>
      </c>
      <c r="F796" t="s">
        <v>26</v>
      </c>
      <c r="G796">
        <v>24.4</v>
      </c>
      <c r="H796">
        <v>79.5</v>
      </c>
      <c r="I796" t="s">
        <v>28</v>
      </c>
      <c r="J796">
        <v>19</v>
      </c>
      <c r="K796">
        <v>110</v>
      </c>
      <c r="L796">
        <v>7</v>
      </c>
      <c r="M796" t="s">
        <v>19</v>
      </c>
      <c r="N796">
        <v>66.3</v>
      </c>
      <c r="O796">
        <v>109</v>
      </c>
      <c r="P796">
        <v>0</v>
      </c>
    </row>
    <row r="797" spans="1:16" x14ac:dyDescent="0.25">
      <c r="A797" s="1">
        <v>45320.807372685187</v>
      </c>
      <c r="B797" t="s">
        <v>25</v>
      </c>
      <c r="C797">
        <v>-40.555599999999998</v>
      </c>
      <c r="D797">
        <v>55.0777</v>
      </c>
      <c r="E797">
        <v>177</v>
      </c>
      <c r="F797" t="s">
        <v>26</v>
      </c>
      <c r="G797">
        <v>25.6</v>
      </c>
      <c r="H797">
        <v>71.900000000000006</v>
      </c>
      <c r="I797" t="s">
        <v>18</v>
      </c>
      <c r="J797">
        <v>20</v>
      </c>
      <c r="K797">
        <v>193</v>
      </c>
      <c r="L797">
        <v>6</v>
      </c>
      <c r="M797" t="s">
        <v>31</v>
      </c>
      <c r="N797">
        <v>95.5</v>
      </c>
      <c r="O797">
        <v>182</v>
      </c>
      <c r="P797">
        <v>0</v>
      </c>
    </row>
    <row r="798" spans="1:16" x14ac:dyDescent="0.25">
      <c r="A798" s="1">
        <v>45482.09103009259</v>
      </c>
      <c r="B798" t="s">
        <v>29</v>
      </c>
      <c r="C798">
        <v>-12.7845</v>
      </c>
      <c r="D798">
        <v>-147.2449</v>
      </c>
      <c r="E798">
        <v>132</v>
      </c>
      <c r="F798" t="s">
        <v>26</v>
      </c>
      <c r="G798">
        <v>22.9</v>
      </c>
      <c r="H798">
        <v>66.5</v>
      </c>
      <c r="I798" t="s">
        <v>28</v>
      </c>
      <c r="J798">
        <v>35</v>
      </c>
      <c r="K798">
        <v>209</v>
      </c>
      <c r="L798">
        <v>6</v>
      </c>
      <c r="M798" t="s">
        <v>31</v>
      </c>
      <c r="N798">
        <v>94.3</v>
      </c>
      <c r="O798">
        <v>122</v>
      </c>
      <c r="P798">
        <v>0</v>
      </c>
    </row>
    <row r="799" spans="1:16" x14ac:dyDescent="0.25">
      <c r="A799" s="1">
        <v>45463.562604166669</v>
      </c>
      <c r="B799" t="s">
        <v>20</v>
      </c>
      <c r="C799">
        <v>-63.630400000000002</v>
      </c>
      <c r="D799">
        <v>164.185</v>
      </c>
      <c r="E799">
        <v>208</v>
      </c>
      <c r="F799" t="s">
        <v>17</v>
      </c>
      <c r="G799">
        <v>22.5</v>
      </c>
      <c r="H799">
        <v>65.900000000000006</v>
      </c>
      <c r="I799" t="s">
        <v>22</v>
      </c>
      <c r="J799">
        <v>38</v>
      </c>
      <c r="K799">
        <v>462</v>
      </c>
      <c r="L799">
        <v>7</v>
      </c>
      <c r="M799" t="s">
        <v>23</v>
      </c>
      <c r="N799">
        <v>83.1</v>
      </c>
      <c r="O799">
        <v>193</v>
      </c>
      <c r="P799">
        <v>1</v>
      </c>
    </row>
    <row r="800" spans="1:16" x14ac:dyDescent="0.25">
      <c r="A800" s="1">
        <v>45444.029120370367</v>
      </c>
      <c r="B800" t="s">
        <v>20</v>
      </c>
      <c r="C800">
        <v>21.881599999999999</v>
      </c>
      <c r="D800">
        <v>128.79220000000001</v>
      </c>
      <c r="E800">
        <v>348</v>
      </c>
      <c r="F800" t="s">
        <v>17</v>
      </c>
      <c r="G800">
        <v>25.8</v>
      </c>
      <c r="H800">
        <v>62.9</v>
      </c>
      <c r="I800" t="s">
        <v>18</v>
      </c>
      <c r="J800">
        <v>24</v>
      </c>
      <c r="K800">
        <v>352</v>
      </c>
      <c r="L800">
        <v>6</v>
      </c>
      <c r="M800" t="s">
        <v>23</v>
      </c>
      <c r="N800">
        <v>96.5</v>
      </c>
      <c r="O800">
        <v>164</v>
      </c>
      <c r="P800">
        <v>1</v>
      </c>
    </row>
    <row r="801" spans="1:16" x14ac:dyDescent="0.25">
      <c r="A801" s="1">
        <v>45374.852430555555</v>
      </c>
      <c r="B801" t="s">
        <v>29</v>
      </c>
      <c r="C801">
        <v>-85.9619</v>
      </c>
      <c r="D801">
        <v>103.5733</v>
      </c>
      <c r="E801">
        <v>156</v>
      </c>
      <c r="F801" t="s">
        <v>21</v>
      </c>
      <c r="G801">
        <v>19.399999999999999</v>
      </c>
      <c r="H801">
        <v>75.2</v>
      </c>
      <c r="I801" t="s">
        <v>22</v>
      </c>
      <c r="J801">
        <v>44</v>
      </c>
      <c r="K801">
        <v>135</v>
      </c>
      <c r="L801">
        <v>1</v>
      </c>
      <c r="M801" t="s">
        <v>23</v>
      </c>
      <c r="N801">
        <v>66.599999999999994</v>
      </c>
      <c r="O801">
        <v>108</v>
      </c>
      <c r="P801">
        <v>1</v>
      </c>
    </row>
    <row r="802" spans="1:16" x14ac:dyDescent="0.25">
      <c r="A802" s="1">
        <v>45400.201539351852</v>
      </c>
      <c r="B802" t="s">
        <v>34</v>
      </c>
      <c r="C802">
        <v>-36.615400000000001</v>
      </c>
      <c r="D802">
        <v>-46.300800000000002</v>
      </c>
      <c r="E802">
        <v>468</v>
      </c>
      <c r="F802" t="s">
        <v>26</v>
      </c>
      <c r="G802">
        <v>26.6</v>
      </c>
      <c r="H802">
        <v>59</v>
      </c>
      <c r="I802" t="s">
        <v>22</v>
      </c>
      <c r="J802">
        <v>16</v>
      </c>
      <c r="K802">
        <v>144</v>
      </c>
      <c r="L802">
        <v>4</v>
      </c>
      <c r="M802" t="s">
        <v>23</v>
      </c>
      <c r="N802">
        <v>86.8</v>
      </c>
      <c r="O802">
        <v>276</v>
      </c>
      <c r="P802">
        <v>1</v>
      </c>
    </row>
    <row r="803" spans="1:16" x14ac:dyDescent="0.25">
      <c r="A803" s="1">
        <v>45469.392893518518</v>
      </c>
      <c r="B803" t="s">
        <v>16</v>
      </c>
      <c r="C803">
        <v>-85.0916</v>
      </c>
      <c r="D803">
        <v>68.303899999999999</v>
      </c>
      <c r="E803">
        <v>142</v>
      </c>
      <c r="F803" t="s">
        <v>17</v>
      </c>
      <c r="G803">
        <v>28.4</v>
      </c>
      <c r="H803">
        <v>67.3</v>
      </c>
      <c r="I803" t="s">
        <v>18</v>
      </c>
      <c r="J803">
        <v>30</v>
      </c>
      <c r="K803">
        <v>181</v>
      </c>
      <c r="L803">
        <v>6</v>
      </c>
      <c r="M803" t="s">
        <v>23</v>
      </c>
      <c r="N803">
        <v>84.3</v>
      </c>
      <c r="O803">
        <v>104</v>
      </c>
      <c r="P803">
        <v>1</v>
      </c>
    </row>
    <row r="804" spans="1:16" x14ac:dyDescent="0.25">
      <c r="A804" s="1">
        <v>45326.047523148147</v>
      </c>
      <c r="B804" t="s">
        <v>24</v>
      </c>
      <c r="C804">
        <v>-13.6168</v>
      </c>
      <c r="D804">
        <v>-165.08250000000001</v>
      </c>
      <c r="E804">
        <v>349</v>
      </c>
      <c r="F804" t="s">
        <v>21</v>
      </c>
      <c r="G804">
        <v>21.1</v>
      </c>
      <c r="H804">
        <v>55.1</v>
      </c>
      <c r="I804" t="s">
        <v>22</v>
      </c>
      <c r="J804">
        <v>13</v>
      </c>
      <c r="K804">
        <v>453</v>
      </c>
      <c r="L804">
        <v>10</v>
      </c>
      <c r="M804" t="s">
        <v>23</v>
      </c>
      <c r="N804">
        <v>65.099999999999994</v>
      </c>
      <c r="O804">
        <v>111</v>
      </c>
      <c r="P804">
        <v>1</v>
      </c>
    </row>
    <row r="805" spans="1:16" x14ac:dyDescent="0.25">
      <c r="A805" s="1">
        <v>45383.685555555552</v>
      </c>
      <c r="B805" t="s">
        <v>29</v>
      </c>
      <c r="C805">
        <v>42.603200000000001</v>
      </c>
      <c r="D805">
        <v>146.14850000000001</v>
      </c>
      <c r="E805">
        <v>226</v>
      </c>
      <c r="F805" t="s">
        <v>26</v>
      </c>
      <c r="G805">
        <v>23.9</v>
      </c>
      <c r="H805">
        <v>61.2</v>
      </c>
      <c r="I805" t="s">
        <v>22</v>
      </c>
      <c r="J805">
        <v>13</v>
      </c>
      <c r="K805">
        <v>211</v>
      </c>
      <c r="L805">
        <v>2</v>
      </c>
      <c r="M805" t="s">
        <v>31</v>
      </c>
      <c r="N805">
        <v>67.5</v>
      </c>
      <c r="O805">
        <v>232</v>
      </c>
      <c r="P805">
        <v>1</v>
      </c>
    </row>
    <row r="806" spans="1:16" x14ac:dyDescent="0.25">
      <c r="A806" s="1">
        <v>45518.89502314815</v>
      </c>
      <c r="B806" t="s">
        <v>30</v>
      </c>
      <c r="C806">
        <v>86.819500000000005</v>
      </c>
      <c r="D806">
        <v>-21.078600000000002</v>
      </c>
      <c r="E806">
        <v>481</v>
      </c>
      <c r="F806" t="s">
        <v>21</v>
      </c>
      <c r="G806">
        <v>22.4</v>
      </c>
      <c r="H806">
        <v>77.900000000000006</v>
      </c>
      <c r="I806" t="s">
        <v>18</v>
      </c>
      <c r="J806">
        <v>25</v>
      </c>
      <c r="K806">
        <v>143</v>
      </c>
      <c r="L806">
        <v>8</v>
      </c>
      <c r="M806" t="s">
        <v>27</v>
      </c>
      <c r="N806">
        <v>71.400000000000006</v>
      </c>
      <c r="O806">
        <v>124</v>
      </c>
      <c r="P806">
        <v>0</v>
      </c>
    </row>
    <row r="807" spans="1:16" x14ac:dyDescent="0.25">
      <c r="A807" s="1">
        <v>45568.765185185184</v>
      </c>
      <c r="B807" t="s">
        <v>34</v>
      </c>
      <c r="C807">
        <v>-82.629400000000004</v>
      </c>
      <c r="D807">
        <v>-72.333200000000005</v>
      </c>
      <c r="E807">
        <v>448</v>
      </c>
      <c r="F807" t="s">
        <v>26</v>
      </c>
      <c r="G807">
        <v>20.100000000000001</v>
      </c>
      <c r="H807">
        <v>65.7</v>
      </c>
      <c r="I807" t="s">
        <v>28</v>
      </c>
      <c r="J807">
        <v>20</v>
      </c>
      <c r="K807">
        <v>180</v>
      </c>
      <c r="L807">
        <v>7</v>
      </c>
      <c r="M807" t="s">
        <v>31</v>
      </c>
      <c r="N807">
        <v>61.7</v>
      </c>
      <c r="O807">
        <v>253</v>
      </c>
      <c r="P807">
        <v>0</v>
      </c>
    </row>
    <row r="808" spans="1:16" x14ac:dyDescent="0.25">
      <c r="A808" s="1">
        <v>45376.515393518515</v>
      </c>
      <c r="B808" t="s">
        <v>34</v>
      </c>
      <c r="C808">
        <v>41.972799999999999</v>
      </c>
      <c r="D808">
        <v>81.427400000000006</v>
      </c>
      <c r="E808">
        <v>441</v>
      </c>
      <c r="F808" t="s">
        <v>17</v>
      </c>
      <c r="G808">
        <v>18.899999999999999</v>
      </c>
      <c r="H808">
        <v>67</v>
      </c>
      <c r="I808" t="s">
        <v>18</v>
      </c>
      <c r="J808">
        <v>48</v>
      </c>
      <c r="K808">
        <v>359</v>
      </c>
      <c r="L808">
        <v>8</v>
      </c>
      <c r="M808" t="s">
        <v>31</v>
      </c>
      <c r="N808">
        <v>76</v>
      </c>
      <c r="O808">
        <v>300</v>
      </c>
      <c r="P808">
        <v>1</v>
      </c>
    </row>
    <row r="809" spans="1:16" x14ac:dyDescent="0.25">
      <c r="A809" s="1">
        <v>45547.949155092596</v>
      </c>
      <c r="B809" t="s">
        <v>24</v>
      </c>
      <c r="C809">
        <v>-7.3863000000000003</v>
      </c>
      <c r="D809">
        <v>-44.8767</v>
      </c>
      <c r="E809">
        <v>470</v>
      </c>
      <c r="F809" t="s">
        <v>26</v>
      </c>
      <c r="G809">
        <v>25.1</v>
      </c>
      <c r="H809">
        <v>70.3</v>
      </c>
      <c r="I809" t="s">
        <v>22</v>
      </c>
      <c r="J809">
        <v>11</v>
      </c>
      <c r="K809">
        <v>417</v>
      </c>
      <c r="L809">
        <v>3</v>
      </c>
      <c r="M809" t="s">
        <v>31</v>
      </c>
      <c r="N809">
        <v>76.5</v>
      </c>
      <c r="O809">
        <v>126</v>
      </c>
      <c r="P809">
        <v>1</v>
      </c>
    </row>
    <row r="810" spans="1:16" x14ac:dyDescent="0.25">
      <c r="A810" s="1">
        <v>45415.933946759258</v>
      </c>
      <c r="B810" t="s">
        <v>24</v>
      </c>
      <c r="C810">
        <v>-21.257300000000001</v>
      </c>
      <c r="D810">
        <v>12.4574</v>
      </c>
      <c r="E810">
        <v>459</v>
      </c>
      <c r="F810" t="s">
        <v>21</v>
      </c>
      <c r="G810">
        <v>26.4</v>
      </c>
      <c r="H810">
        <v>50.6</v>
      </c>
      <c r="I810" t="s">
        <v>22</v>
      </c>
      <c r="J810">
        <v>17</v>
      </c>
      <c r="K810">
        <v>222</v>
      </c>
      <c r="L810">
        <v>9</v>
      </c>
      <c r="M810" t="s">
        <v>27</v>
      </c>
      <c r="N810">
        <v>94.9</v>
      </c>
      <c r="O810">
        <v>265</v>
      </c>
      <c r="P810">
        <v>1</v>
      </c>
    </row>
    <row r="811" spans="1:16" x14ac:dyDescent="0.25">
      <c r="A811" s="1">
        <v>45439.414282407408</v>
      </c>
      <c r="B811" t="s">
        <v>20</v>
      </c>
      <c r="C811">
        <v>-33.937800000000003</v>
      </c>
      <c r="D811">
        <v>-176.31020000000001</v>
      </c>
      <c r="E811">
        <v>324</v>
      </c>
      <c r="F811" t="s">
        <v>21</v>
      </c>
      <c r="G811">
        <v>27.7</v>
      </c>
      <c r="H811">
        <v>54.8</v>
      </c>
      <c r="I811" t="s">
        <v>28</v>
      </c>
      <c r="J811">
        <v>46</v>
      </c>
      <c r="K811">
        <v>344</v>
      </c>
      <c r="L811">
        <v>10</v>
      </c>
      <c r="M811" t="s">
        <v>27</v>
      </c>
      <c r="N811">
        <v>70.7</v>
      </c>
      <c r="O811">
        <v>105</v>
      </c>
      <c r="P811">
        <v>0</v>
      </c>
    </row>
    <row r="812" spans="1:16" x14ac:dyDescent="0.25">
      <c r="A812" s="1">
        <v>45437.358055555553</v>
      </c>
      <c r="B812" t="s">
        <v>32</v>
      </c>
      <c r="C812">
        <v>23.9115</v>
      </c>
      <c r="D812">
        <v>179.00460000000001</v>
      </c>
      <c r="E812">
        <v>194</v>
      </c>
      <c r="F812" t="s">
        <v>17</v>
      </c>
      <c r="G812">
        <v>24.9</v>
      </c>
      <c r="H812">
        <v>57.9</v>
      </c>
      <c r="I812" t="s">
        <v>18</v>
      </c>
      <c r="J812">
        <v>10</v>
      </c>
      <c r="K812">
        <v>220</v>
      </c>
      <c r="L812">
        <v>3</v>
      </c>
      <c r="M812" t="s">
        <v>19</v>
      </c>
      <c r="N812">
        <v>77.3</v>
      </c>
      <c r="O812">
        <v>172</v>
      </c>
      <c r="P812">
        <v>1</v>
      </c>
    </row>
    <row r="813" spans="1:16" x14ac:dyDescent="0.25">
      <c r="A813" s="1">
        <v>45371.372002314813</v>
      </c>
      <c r="B813" t="s">
        <v>25</v>
      </c>
      <c r="C813">
        <v>-80.519599999999997</v>
      </c>
      <c r="D813">
        <v>-2.9668000000000001</v>
      </c>
      <c r="E813">
        <v>334</v>
      </c>
      <c r="F813" t="s">
        <v>26</v>
      </c>
      <c r="G813">
        <v>22.8</v>
      </c>
      <c r="H813">
        <v>61.1</v>
      </c>
      <c r="I813" t="s">
        <v>28</v>
      </c>
      <c r="J813">
        <v>52</v>
      </c>
      <c r="K813">
        <v>389</v>
      </c>
      <c r="L813">
        <v>2</v>
      </c>
      <c r="M813" t="s">
        <v>27</v>
      </c>
      <c r="N813">
        <v>88</v>
      </c>
      <c r="O813">
        <v>123</v>
      </c>
      <c r="P813">
        <v>0</v>
      </c>
    </row>
    <row r="814" spans="1:16" x14ac:dyDescent="0.25">
      <c r="A814" s="1">
        <v>45435.648333333331</v>
      </c>
      <c r="B814" t="s">
        <v>30</v>
      </c>
      <c r="C814">
        <v>45.860300000000002</v>
      </c>
      <c r="D814">
        <v>148.47749999999999</v>
      </c>
      <c r="E814">
        <v>179</v>
      </c>
      <c r="F814" t="s">
        <v>26</v>
      </c>
      <c r="G814">
        <v>25.5</v>
      </c>
      <c r="H814">
        <v>75.8</v>
      </c>
      <c r="I814" t="s">
        <v>28</v>
      </c>
      <c r="J814">
        <v>19</v>
      </c>
      <c r="K814">
        <v>139</v>
      </c>
      <c r="L814">
        <v>9</v>
      </c>
      <c r="M814" t="s">
        <v>27</v>
      </c>
      <c r="N814">
        <v>83.5</v>
      </c>
      <c r="O814">
        <v>282</v>
      </c>
      <c r="P814">
        <v>0</v>
      </c>
    </row>
    <row r="815" spans="1:16" x14ac:dyDescent="0.25">
      <c r="A815" s="1">
        <v>45584.998668981483</v>
      </c>
      <c r="B815" t="s">
        <v>32</v>
      </c>
      <c r="C815">
        <v>60.049100000000003</v>
      </c>
      <c r="D815">
        <v>-175.50190000000001</v>
      </c>
      <c r="E815">
        <v>401</v>
      </c>
      <c r="F815" t="s">
        <v>17</v>
      </c>
      <c r="G815">
        <v>27.1</v>
      </c>
      <c r="H815">
        <v>67.2</v>
      </c>
      <c r="I815" t="s">
        <v>18</v>
      </c>
      <c r="J815">
        <v>51</v>
      </c>
      <c r="K815">
        <v>487</v>
      </c>
      <c r="L815">
        <v>3</v>
      </c>
      <c r="M815" t="s">
        <v>23</v>
      </c>
      <c r="N815">
        <v>86.3</v>
      </c>
      <c r="O815">
        <v>238</v>
      </c>
      <c r="P815">
        <v>1</v>
      </c>
    </row>
    <row r="816" spans="1:16" x14ac:dyDescent="0.25">
      <c r="A816" s="1">
        <v>45393.193935185183</v>
      </c>
      <c r="B816" t="s">
        <v>24</v>
      </c>
      <c r="C816">
        <v>-33.952800000000003</v>
      </c>
      <c r="D816">
        <v>-54.220100000000002</v>
      </c>
      <c r="E816">
        <v>384</v>
      </c>
      <c r="F816" t="s">
        <v>21</v>
      </c>
      <c r="G816">
        <v>24.2</v>
      </c>
      <c r="H816">
        <v>72.5</v>
      </c>
      <c r="I816" t="s">
        <v>22</v>
      </c>
      <c r="J816">
        <v>50</v>
      </c>
      <c r="K816">
        <v>131</v>
      </c>
      <c r="L816">
        <v>3</v>
      </c>
      <c r="M816" t="s">
        <v>23</v>
      </c>
      <c r="N816">
        <v>80.099999999999994</v>
      </c>
      <c r="O816">
        <v>141</v>
      </c>
      <c r="P816">
        <v>1</v>
      </c>
    </row>
    <row r="817" spans="1:16" x14ac:dyDescent="0.25">
      <c r="A817" s="1">
        <v>45361.258483796293</v>
      </c>
      <c r="B817" t="s">
        <v>25</v>
      </c>
      <c r="C817">
        <v>7.9549000000000003</v>
      </c>
      <c r="D817">
        <v>-109.2897</v>
      </c>
      <c r="E817">
        <v>434</v>
      </c>
      <c r="F817" t="s">
        <v>26</v>
      </c>
      <c r="G817">
        <v>22</v>
      </c>
      <c r="H817">
        <v>69.2</v>
      </c>
      <c r="I817" t="s">
        <v>22</v>
      </c>
      <c r="J817">
        <v>17</v>
      </c>
      <c r="K817">
        <v>233</v>
      </c>
      <c r="L817">
        <v>10</v>
      </c>
      <c r="M817" t="s">
        <v>19</v>
      </c>
      <c r="N817">
        <v>63.4</v>
      </c>
      <c r="O817">
        <v>138</v>
      </c>
      <c r="P817">
        <v>1</v>
      </c>
    </row>
    <row r="818" spans="1:16" x14ac:dyDescent="0.25">
      <c r="A818" s="1">
        <v>45654.448645833334</v>
      </c>
      <c r="B818" t="s">
        <v>24</v>
      </c>
      <c r="C818">
        <v>-6.9237000000000002</v>
      </c>
      <c r="D818">
        <v>20.963100000000001</v>
      </c>
      <c r="E818">
        <v>366</v>
      </c>
      <c r="F818" t="s">
        <v>17</v>
      </c>
      <c r="G818">
        <v>18.7</v>
      </c>
      <c r="H818">
        <v>59.1</v>
      </c>
      <c r="I818" t="s">
        <v>18</v>
      </c>
      <c r="J818">
        <v>39</v>
      </c>
      <c r="K818">
        <v>466</v>
      </c>
      <c r="L818">
        <v>6</v>
      </c>
      <c r="M818" t="s">
        <v>27</v>
      </c>
      <c r="N818">
        <v>82.7</v>
      </c>
      <c r="O818">
        <v>109</v>
      </c>
      <c r="P818">
        <v>1</v>
      </c>
    </row>
    <row r="819" spans="1:16" x14ac:dyDescent="0.25">
      <c r="A819" s="1">
        <v>45418.307199074072</v>
      </c>
      <c r="B819" t="s">
        <v>33</v>
      </c>
      <c r="C819">
        <v>-80.588300000000004</v>
      </c>
      <c r="D819">
        <v>-167.46729999999999</v>
      </c>
      <c r="E819">
        <v>269</v>
      </c>
      <c r="F819" t="s">
        <v>21</v>
      </c>
      <c r="G819">
        <v>27.7</v>
      </c>
      <c r="H819">
        <v>57.5</v>
      </c>
      <c r="I819" t="s">
        <v>18</v>
      </c>
      <c r="J819">
        <v>54</v>
      </c>
      <c r="K819">
        <v>288</v>
      </c>
      <c r="L819">
        <v>6</v>
      </c>
      <c r="M819" t="s">
        <v>19</v>
      </c>
      <c r="N819">
        <v>89.8</v>
      </c>
      <c r="O819">
        <v>116</v>
      </c>
      <c r="P819">
        <v>0</v>
      </c>
    </row>
    <row r="820" spans="1:16" x14ac:dyDescent="0.25">
      <c r="A820" s="1">
        <v>45308.187106481484</v>
      </c>
      <c r="B820" t="s">
        <v>35</v>
      </c>
      <c r="C820">
        <v>-60.356299999999997</v>
      </c>
      <c r="D820">
        <v>95.723200000000006</v>
      </c>
      <c r="E820">
        <v>292</v>
      </c>
      <c r="F820" t="s">
        <v>26</v>
      </c>
      <c r="G820">
        <v>22.7</v>
      </c>
      <c r="H820">
        <v>61</v>
      </c>
      <c r="I820" t="s">
        <v>28</v>
      </c>
      <c r="J820">
        <v>42</v>
      </c>
      <c r="K820">
        <v>358</v>
      </c>
      <c r="L820">
        <v>9</v>
      </c>
      <c r="M820" t="s">
        <v>31</v>
      </c>
      <c r="N820">
        <v>77.7</v>
      </c>
      <c r="O820">
        <v>256</v>
      </c>
      <c r="P820">
        <v>0</v>
      </c>
    </row>
    <row r="821" spans="1:16" x14ac:dyDescent="0.25">
      <c r="A821" s="1">
        <v>45563.07068287037</v>
      </c>
      <c r="B821" t="s">
        <v>20</v>
      </c>
      <c r="C821">
        <v>-83.320700000000002</v>
      </c>
      <c r="D821">
        <v>19.911899999999999</v>
      </c>
      <c r="E821">
        <v>288</v>
      </c>
      <c r="F821" t="s">
        <v>26</v>
      </c>
      <c r="G821">
        <v>25.4</v>
      </c>
      <c r="H821">
        <v>62</v>
      </c>
      <c r="I821" t="s">
        <v>28</v>
      </c>
      <c r="J821">
        <v>54</v>
      </c>
      <c r="K821">
        <v>154</v>
      </c>
      <c r="L821">
        <v>2</v>
      </c>
      <c r="M821" t="s">
        <v>27</v>
      </c>
      <c r="N821">
        <v>71.900000000000006</v>
      </c>
      <c r="O821">
        <v>211</v>
      </c>
      <c r="P821">
        <v>0</v>
      </c>
    </row>
    <row r="822" spans="1:16" x14ac:dyDescent="0.25">
      <c r="A822" s="1">
        <v>45357.110949074071</v>
      </c>
      <c r="B822" t="s">
        <v>32</v>
      </c>
      <c r="C822">
        <v>-54.496400000000001</v>
      </c>
      <c r="D822">
        <v>-93.860299999999995</v>
      </c>
      <c r="E822">
        <v>286</v>
      </c>
      <c r="F822" t="s">
        <v>26</v>
      </c>
      <c r="G822">
        <v>20.7</v>
      </c>
      <c r="H822">
        <v>59</v>
      </c>
      <c r="I822" t="s">
        <v>22</v>
      </c>
      <c r="J822">
        <v>43</v>
      </c>
      <c r="K822">
        <v>387</v>
      </c>
      <c r="L822">
        <v>4</v>
      </c>
      <c r="M822" t="s">
        <v>27</v>
      </c>
      <c r="N822">
        <v>60.7</v>
      </c>
      <c r="O822">
        <v>134</v>
      </c>
      <c r="P822">
        <v>1</v>
      </c>
    </row>
    <row r="823" spans="1:16" x14ac:dyDescent="0.25">
      <c r="A823" s="1">
        <v>45520.246979166666</v>
      </c>
      <c r="B823" t="s">
        <v>16</v>
      </c>
      <c r="C823">
        <v>66.539900000000003</v>
      </c>
      <c r="D823">
        <v>160.55099999999999</v>
      </c>
      <c r="E823">
        <v>155</v>
      </c>
      <c r="F823" t="s">
        <v>17</v>
      </c>
      <c r="G823">
        <v>24</v>
      </c>
      <c r="H823">
        <v>72.400000000000006</v>
      </c>
      <c r="I823" t="s">
        <v>18</v>
      </c>
      <c r="J823">
        <v>28</v>
      </c>
      <c r="K823">
        <v>398</v>
      </c>
      <c r="L823">
        <v>6</v>
      </c>
      <c r="M823" t="s">
        <v>27</v>
      </c>
      <c r="N823">
        <v>63.8</v>
      </c>
      <c r="O823">
        <v>278</v>
      </c>
      <c r="P823">
        <v>1</v>
      </c>
    </row>
    <row r="824" spans="1:16" x14ac:dyDescent="0.25">
      <c r="A824" s="1">
        <v>45511.402696759258</v>
      </c>
      <c r="B824" t="s">
        <v>32</v>
      </c>
      <c r="C824">
        <v>16.1144</v>
      </c>
      <c r="D824">
        <v>-24.411799999999999</v>
      </c>
      <c r="E824">
        <v>488</v>
      </c>
      <c r="F824" t="s">
        <v>26</v>
      </c>
      <c r="G824">
        <v>26.5</v>
      </c>
      <c r="H824">
        <v>66.599999999999994</v>
      </c>
      <c r="I824" t="s">
        <v>22</v>
      </c>
      <c r="J824">
        <v>41</v>
      </c>
      <c r="K824">
        <v>104</v>
      </c>
      <c r="L824">
        <v>1</v>
      </c>
      <c r="M824" t="s">
        <v>31</v>
      </c>
      <c r="N824">
        <v>67.099999999999994</v>
      </c>
      <c r="O824">
        <v>151</v>
      </c>
      <c r="P824">
        <v>1</v>
      </c>
    </row>
    <row r="825" spans="1:16" x14ac:dyDescent="0.25">
      <c r="A825" s="1">
        <v>45412.858587962961</v>
      </c>
      <c r="B825" t="s">
        <v>32</v>
      </c>
      <c r="C825">
        <v>-84.960099999999997</v>
      </c>
      <c r="D825">
        <v>17.499199999999998</v>
      </c>
      <c r="E825">
        <v>386</v>
      </c>
      <c r="F825" t="s">
        <v>21</v>
      </c>
      <c r="G825">
        <v>21.8</v>
      </c>
      <c r="H825">
        <v>79.7</v>
      </c>
      <c r="I825" t="s">
        <v>18</v>
      </c>
      <c r="J825">
        <v>15</v>
      </c>
      <c r="K825">
        <v>463</v>
      </c>
      <c r="L825">
        <v>1</v>
      </c>
      <c r="M825" t="s">
        <v>27</v>
      </c>
      <c r="N825">
        <v>75</v>
      </c>
      <c r="O825">
        <v>224</v>
      </c>
      <c r="P825">
        <v>0</v>
      </c>
    </row>
    <row r="826" spans="1:16" x14ac:dyDescent="0.25">
      <c r="A826" s="1">
        <v>45476.527002314811</v>
      </c>
      <c r="B826" t="s">
        <v>33</v>
      </c>
      <c r="C826">
        <v>-62.644100000000002</v>
      </c>
      <c r="D826">
        <v>-34.444600000000001</v>
      </c>
      <c r="E826">
        <v>153</v>
      </c>
      <c r="F826" t="s">
        <v>26</v>
      </c>
      <c r="G826">
        <v>20.7</v>
      </c>
      <c r="H826">
        <v>55.3</v>
      </c>
      <c r="I826" t="s">
        <v>18</v>
      </c>
      <c r="J826">
        <v>55</v>
      </c>
      <c r="K826">
        <v>304</v>
      </c>
      <c r="L826">
        <v>8</v>
      </c>
      <c r="M826" t="s">
        <v>19</v>
      </c>
      <c r="N826">
        <v>79.5</v>
      </c>
      <c r="O826">
        <v>147</v>
      </c>
      <c r="P826">
        <v>0</v>
      </c>
    </row>
    <row r="827" spans="1:16" x14ac:dyDescent="0.25">
      <c r="A827" s="1">
        <v>45409.384039351855</v>
      </c>
      <c r="B827" t="s">
        <v>34</v>
      </c>
      <c r="C827">
        <v>82.972700000000003</v>
      </c>
      <c r="D827">
        <v>171.14689999999999</v>
      </c>
      <c r="E827">
        <v>317</v>
      </c>
      <c r="F827" t="s">
        <v>17</v>
      </c>
      <c r="G827">
        <v>26.5</v>
      </c>
      <c r="H827">
        <v>52.7</v>
      </c>
      <c r="I827" t="s">
        <v>22</v>
      </c>
      <c r="J827">
        <v>37</v>
      </c>
      <c r="K827">
        <v>427</v>
      </c>
      <c r="L827">
        <v>2</v>
      </c>
      <c r="M827" t="s">
        <v>27</v>
      </c>
      <c r="N827">
        <v>69.900000000000006</v>
      </c>
      <c r="O827">
        <v>233</v>
      </c>
      <c r="P827">
        <v>1</v>
      </c>
    </row>
    <row r="828" spans="1:16" x14ac:dyDescent="0.25">
      <c r="A828" s="1">
        <v>45637.682071759256</v>
      </c>
      <c r="B828" t="s">
        <v>34</v>
      </c>
      <c r="C828">
        <v>-50.808100000000003</v>
      </c>
      <c r="D828">
        <v>11.3148</v>
      </c>
      <c r="E828">
        <v>281</v>
      </c>
      <c r="F828" t="s">
        <v>21</v>
      </c>
      <c r="G828">
        <v>28</v>
      </c>
      <c r="H828">
        <v>73.5</v>
      </c>
      <c r="I828" t="s">
        <v>18</v>
      </c>
      <c r="J828">
        <v>43</v>
      </c>
      <c r="K828">
        <v>390</v>
      </c>
      <c r="L828">
        <v>5</v>
      </c>
      <c r="M828" t="s">
        <v>31</v>
      </c>
      <c r="N828">
        <v>86.4</v>
      </c>
      <c r="O828">
        <v>153</v>
      </c>
      <c r="P828">
        <v>0</v>
      </c>
    </row>
    <row r="829" spans="1:16" x14ac:dyDescent="0.25">
      <c r="A829" s="1">
        <v>45412.813715277778</v>
      </c>
      <c r="B829" t="s">
        <v>32</v>
      </c>
      <c r="C829">
        <v>67.861199999999997</v>
      </c>
      <c r="D829">
        <v>174.7961</v>
      </c>
      <c r="E829">
        <v>473</v>
      </c>
      <c r="F829" t="s">
        <v>17</v>
      </c>
      <c r="G829">
        <v>24.8</v>
      </c>
      <c r="H829">
        <v>61.7</v>
      </c>
      <c r="I829" t="s">
        <v>22</v>
      </c>
      <c r="J829">
        <v>19</v>
      </c>
      <c r="K829">
        <v>360</v>
      </c>
      <c r="L829">
        <v>10</v>
      </c>
      <c r="M829" t="s">
        <v>23</v>
      </c>
      <c r="N829">
        <v>97.3</v>
      </c>
      <c r="O829">
        <v>186</v>
      </c>
      <c r="P829">
        <v>1</v>
      </c>
    </row>
    <row r="830" spans="1:16" x14ac:dyDescent="0.25">
      <c r="A830" s="1">
        <v>45377.653368055559</v>
      </c>
      <c r="B830" t="s">
        <v>16</v>
      </c>
      <c r="C830">
        <v>52.041499999999999</v>
      </c>
      <c r="D830">
        <v>-64.640299999999996</v>
      </c>
      <c r="E830">
        <v>221</v>
      </c>
      <c r="F830" t="s">
        <v>26</v>
      </c>
      <c r="G830">
        <v>25.2</v>
      </c>
      <c r="H830">
        <v>68.5</v>
      </c>
      <c r="I830" t="s">
        <v>18</v>
      </c>
      <c r="J830">
        <v>41</v>
      </c>
      <c r="K830">
        <v>101</v>
      </c>
      <c r="L830">
        <v>9</v>
      </c>
      <c r="M830" t="s">
        <v>19</v>
      </c>
      <c r="N830">
        <v>99.3</v>
      </c>
      <c r="O830">
        <v>287</v>
      </c>
      <c r="P830">
        <v>0</v>
      </c>
    </row>
    <row r="831" spans="1:16" x14ac:dyDescent="0.25">
      <c r="A831" s="1">
        <v>45341.975034722222</v>
      </c>
      <c r="B831" t="s">
        <v>30</v>
      </c>
      <c r="C831">
        <v>-74.900300000000001</v>
      </c>
      <c r="D831">
        <v>146.07650000000001</v>
      </c>
      <c r="E831">
        <v>276</v>
      </c>
      <c r="F831" t="s">
        <v>21</v>
      </c>
      <c r="G831">
        <v>29.2</v>
      </c>
      <c r="H831">
        <v>77.099999999999994</v>
      </c>
      <c r="I831" t="s">
        <v>28</v>
      </c>
      <c r="J831">
        <v>39</v>
      </c>
      <c r="K831">
        <v>483</v>
      </c>
      <c r="L831">
        <v>7</v>
      </c>
      <c r="M831" t="s">
        <v>19</v>
      </c>
      <c r="N831">
        <v>71.5</v>
      </c>
      <c r="O831">
        <v>157</v>
      </c>
      <c r="P831">
        <v>0</v>
      </c>
    </row>
    <row r="832" spans="1:16" x14ac:dyDescent="0.25">
      <c r="A832" s="1">
        <v>45550.047476851854</v>
      </c>
      <c r="B832" t="s">
        <v>34</v>
      </c>
      <c r="C832">
        <v>-10.741400000000001</v>
      </c>
      <c r="D832">
        <v>-56.584899999999998</v>
      </c>
      <c r="E832">
        <v>331</v>
      </c>
      <c r="F832" t="s">
        <v>26</v>
      </c>
      <c r="G832">
        <v>21.6</v>
      </c>
      <c r="H832">
        <v>61.2</v>
      </c>
      <c r="I832" t="s">
        <v>22</v>
      </c>
      <c r="J832">
        <v>24</v>
      </c>
      <c r="K832">
        <v>450</v>
      </c>
      <c r="L832">
        <v>8</v>
      </c>
      <c r="M832" t="s">
        <v>27</v>
      </c>
      <c r="N832">
        <v>64.400000000000006</v>
      </c>
      <c r="O832">
        <v>123</v>
      </c>
      <c r="P832">
        <v>1</v>
      </c>
    </row>
    <row r="833" spans="1:16" x14ac:dyDescent="0.25">
      <c r="A833" s="1">
        <v>45419.53465277778</v>
      </c>
      <c r="B833" t="s">
        <v>30</v>
      </c>
      <c r="C833">
        <v>77.436000000000007</v>
      </c>
      <c r="D833">
        <v>42.529000000000003</v>
      </c>
      <c r="E833">
        <v>249</v>
      </c>
      <c r="F833" t="s">
        <v>26</v>
      </c>
      <c r="G833">
        <v>24.3</v>
      </c>
      <c r="H833">
        <v>78.8</v>
      </c>
      <c r="I833" t="s">
        <v>22</v>
      </c>
      <c r="J833">
        <v>13</v>
      </c>
      <c r="K833">
        <v>125</v>
      </c>
      <c r="L833">
        <v>2</v>
      </c>
      <c r="M833" t="s">
        <v>31</v>
      </c>
      <c r="N833">
        <v>78.7</v>
      </c>
      <c r="O833">
        <v>165</v>
      </c>
      <c r="P833">
        <v>1</v>
      </c>
    </row>
    <row r="834" spans="1:16" x14ac:dyDescent="0.25">
      <c r="A834" s="1">
        <v>45473.202048611114</v>
      </c>
      <c r="B834" t="s">
        <v>35</v>
      </c>
      <c r="C834">
        <v>-39.701000000000001</v>
      </c>
      <c r="D834">
        <v>158.9084</v>
      </c>
      <c r="E834">
        <v>379</v>
      </c>
      <c r="F834" t="s">
        <v>17</v>
      </c>
      <c r="G834">
        <v>23.8</v>
      </c>
      <c r="H834">
        <v>78.8</v>
      </c>
      <c r="I834" t="s">
        <v>18</v>
      </c>
      <c r="J834">
        <v>22</v>
      </c>
      <c r="K834">
        <v>361</v>
      </c>
      <c r="L834">
        <v>5</v>
      </c>
      <c r="M834" t="s">
        <v>23</v>
      </c>
      <c r="N834">
        <v>89.3</v>
      </c>
      <c r="O834">
        <v>112</v>
      </c>
      <c r="P834">
        <v>1</v>
      </c>
    </row>
    <row r="835" spans="1:16" x14ac:dyDescent="0.25">
      <c r="A835" s="1">
        <v>45604.146909722222</v>
      </c>
      <c r="B835" t="s">
        <v>24</v>
      </c>
      <c r="C835">
        <v>65.933700000000002</v>
      </c>
      <c r="D835">
        <v>130.6003</v>
      </c>
      <c r="E835">
        <v>489</v>
      </c>
      <c r="F835" t="s">
        <v>21</v>
      </c>
      <c r="G835">
        <v>18.399999999999999</v>
      </c>
      <c r="H835">
        <v>59.9</v>
      </c>
      <c r="I835" t="s">
        <v>18</v>
      </c>
      <c r="J835">
        <v>28</v>
      </c>
      <c r="K835">
        <v>136</v>
      </c>
      <c r="L835">
        <v>9</v>
      </c>
      <c r="M835" t="s">
        <v>27</v>
      </c>
      <c r="N835">
        <v>74.3</v>
      </c>
      <c r="O835">
        <v>272</v>
      </c>
      <c r="P835">
        <v>0</v>
      </c>
    </row>
    <row r="836" spans="1:16" x14ac:dyDescent="0.25">
      <c r="A836" s="1">
        <v>45562.63621527778</v>
      </c>
      <c r="B836" t="s">
        <v>32</v>
      </c>
      <c r="C836">
        <v>-3.7749000000000001</v>
      </c>
      <c r="D836">
        <v>-110.6148</v>
      </c>
      <c r="E836">
        <v>211</v>
      </c>
      <c r="F836" t="s">
        <v>21</v>
      </c>
      <c r="G836">
        <v>19.8</v>
      </c>
      <c r="H836">
        <v>52.8</v>
      </c>
      <c r="I836" t="s">
        <v>22</v>
      </c>
      <c r="J836">
        <v>23</v>
      </c>
      <c r="K836">
        <v>423</v>
      </c>
      <c r="L836">
        <v>1</v>
      </c>
      <c r="M836" t="s">
        <v>27</v>
      </c>
      <c r="N836">
        <v>80.599999999999994</v>
      </c>
      <c r="O836">
        <v>185</v>
      </c>
      <c r="P836">
        <v>1</v>
      </c>
    </row>
    <row r="837" spans="1:16" x14ac:dyDescent="0.25">
      <c r="A837" s="1">
        <v>45591.946111111109</v>
      </c>
      <c r="B837" t="s">
        <v>32</v>
      </c>
      <c r="C837">
        <v>-22.162700000000001</v>
      </c>
      <c r="D837">
        <v>-58.096299999999999</v>
      </c>
      <c r="E837">
        <v>454</v>
      </c>
      <c r="F837" t="s">
        <v>21</v>
      </c>
      <c r="G837">
        <v>18.899999999999999</v>
      </c>
      <c r="H837">
        <v>50.9</v>
      </c>
      <c r="I837" t="s">
        <v>18</v>
      </c>
      <c r="J837">
        <v>45</v>
      </c>
      <c r="K837">
        <v>230</v>
      </c>
      <c r="L837">
        <v>7</v>
      </c>
      <c r="M837" t="s">
        <v>23</v>
      </c>
      <c r="N837">
        <v>70.2</v>
      </c>
      <c r="O837">
        <v>116</v>
      </c>
      <c r="P837">
        <v>0</v>
      </c>
    </row>
    <row r="838" spans="1:16" x14ac:dyDescent="0.25">
      <c r="A838" s="1">
        <v>45558.618321759262</v>
      </c>
      <c r="B838" t="s">
        <v>24</v>
      </c>
      <c r="C838">
        <v>-7.7973999999999997</v>
      </c>
      <c r="D838">
        <v>-150.33670000000001</v>
      </c>
      <c r="E838">
        <v>427</v>
      </c>
      <c r="F838" t="s">
        <v>21</v>
      </c>
      <c r="G838">
        <v>23.9</v>
      </c>
      <c r="H838">
        <v>56.2</v>
      </c>
      <c r="I838" t="s">
        <v>22</v>
      </c>
      <c r="J838">
        <v>31</v>
      </c>
      <c r="K838">
        <v>443</v>
      </c>
      <c r="L838">
        <v>3</v>
      </c>
      <c r="M838" t="s">
        <v>19</v>
      </c>
      <c r="N838">
        <v>89</v>
      </c>
      <c r="O838">
        <v>148</v>
      </c>
      <c r="P838">
        <v>1</v>
      </c>
    </row>
    <row r="839" spans="1:16" x14ac:dyDescent="0.25">
      <c r="A839" s="1">
        <v>45523.346122685187</v>
      </c>
      <c r="B839" t="s">
        <v>16</v>
      </c>
      <c r="C839">
        <v>-47.901499999999999</v>
      </c>
      <c r="D839">
        <v>-121.4183</v>
      </c>
      <c r="E839">
        <v>332</v>
      </c>
      <c r="F839" t="s">
        <v>21</v>
      </c>
      <c r="G839">
        <v>24.4</v>
      </c>
      <c r="H839">
        <v>69.5</v>
      </c>
      <c r="I839" t="s">
        <v>22</v>
      </c>
      <c r="J839">
        <v>27</v>
      </c>
      <c r="K839">
        <v>343</v>
      </c>
      <c r="L839">
        <v>5</v>
      </c>
      <c r="M839" t="s">
        <v>27</v>
      </c>
      <c r="N839">
        <v>87.6</v>
      </c>
      <c r="O839">
        <v>235</v>
      </c>
      <c r="P839">
        <v>1</v>
      </c>
    </row>
    <row r="840" spans="1:16" x14ac:dyDescent="0.25">
      <c r="A840" s="1">
        <v>45585.522766203707</v>
      </c>
      <c r="B840" t="s">
        <v>35</v>
      </c>
      <c r="C840">
        <v>64.059399999999997</v>
      </c>
      <c r="D840">
        <v>-102.25960000000001</v>
      </c>
      <c r="E840">
        <v>195</v>
      </c>
      <c r="F840" t="s">
        <v>21</v>
      </c>
      <c r="G840">
        <v>19.3</v>
      </c>
      <c r="H840">
        <v>70.599999999999994</v>
      </c>
      <c r="I840" t="s">
        <v>22</v>
      </c>
      <c r="J840">
        <v>34</v>
      </c>
      <c r="K840">
        <v>134</v>
      </c>
      <c r="L840">
        <v>2</v>
      </c>
      <c r="M840" t="s">
        <v>27</v>
      </c>
      <c r="N840">
        <v>98.2</v>
      </c>
      <c r="O840">
        <v>220</v>
      </c>
      <c r="P840">
        <v>1</v>
      </c>
    </row>
    <row r="841" spans="1:16" x14ac:dyDescent="0.25">
      <c r="A841" s="1">
        <v>45500.386342592596</v>
      </c>
      <c r="B841" t="s">
        <v>25</v>
      </c>
      <c r="C841">
        <v>38.512700000000002</v>
      </c>
      <c r="D841">
        <v>-17.387799999999999</v>
      </c>
      <c r="E841">
        <v>249</v>
      </c>
      <c r="F841" t="s">
        <v>26</v>
      </c>
      <c r="G841">
        <v>23.6</v>
      </c>
      <c r="H841">
        <v>74.3</v>
      </c>
      <c r="I841" t="s">
        <v>18</v>
      </c>
      <c r="J841">
        <v>45</v>
      </c>
      <c r="K841">
        <v>482</v>
      </c>
      <c r="L841">
        <v>7</v>
      </c>
      <c r="M841" t="s">
        <v>31</v>
      </c>
      <c r="N841">
        <v>66.8</v>
      </c>
      <c r="O841">
        <v>246</v>
      </c>
      <c r="P841">
        <v>0</v>
      </c>
    </row>
    <row r="842" spans="1:16" x14ac:dyDescent="0.25">
      <c r="A842" s="1">
        <v>45622.476087962961</v>
      </c>
      <c r="B842" t="s">
        <v>29</v>
      </c>
      <c r="C842">
        <v>53.447000000000003</v>
      </c>
      <c r="D842">
        <v>-162.78630000000001</v>
      </c>
      <c r="E842">
        <v>274</v>
      </c>
      <c r="F842" t="s">
        <v>17</v>
      </c>
      <c r="G842">
        <v>22</v>
      </c>
      <c r="H842">
        <v>51.1</v>
      </c>
      <c r="I842" t="s">
        <v>22</v>
      </c>
      <c r="J842">
        <v>38</v>
      </c>
      <c r="K842">
        <v>175</v>
      </c>
      <c r="L842">
        <v>4</v>
      </c>
      <c r="M842" t="s">
        <v>27</v>
      </c>
      <c r="N842">
        <v>64</v>
      </c>
      <c r="O842">
        <v>271</v>
      </c>
      <c r="P842">
        <v>1</v>
      </c>
    </row>
    <row r="843" spans="1:16" x14ac:dyDescent="0.25">
      <c r="A843" s="1">
        <v>45435.847812499997</v>
      </c>
      <c r="B843" t="s">
        <v>20</v>
      </c>
      <c r="C843">
        <v>77.998000000000005</v>
      </c>
      <c r="D843">
        <v>-97.004300000000001</v>
      </c>
      <c r="E843">
        <v>272</v>
      </c>
      <c r="F843" t="s">
        <v>21</v>
      </c>
      <c r="G843">
        <v>19</v>
      </c>
      <c r="H843">
        <v>72.099999999999994</v>
      </c>
      <c r="I843" t="s">
        <v>18</v>
      </c>
      <c r="J843">
        <v>32</v>
      </c>
      <c r="K843">
        <v>113</v>
      </c>
      <c r="L843">
        <v>6</v>
      </c>
      <c r="M843" t="s">
        <v>19</v>
      </c>
      <c r="N843">
        <v>94.9</v>
      </c>
      <c r="O843">
        <v>119</v>
      </c>
      <c r="P843">
        <v>0</v>
      </c>
    </row>
    <row r="844" spans="1:16" x14ac:dyDescent="0.25">
      <c r="A844" s="1">
        <v>45530.562002314815</v>
      </c>
      <c r="B844" t="s">
        <v>35</v>
      </c>
      <c r="C844">
        <v>-83.1143</v>
      </c>
      <c r="D844">
        <v>74.209999999999994</v>
      </c>
      <c r="E844">
        <v>214</v>
      </c>
      <c r="F844" t="s">
        <v>17</v>
      </c>
      <c r="G844">
        <v>27</v>
      </c>
      <c r="H844">
        <v>55</v>
      </c>
      <c r="I844" t="s">
        <v>28</v>
      </c>
      <c r="J844">
        <v>18</v>
      </c>
      <c r="K844">
        <v>319</v>
      </c>
      <c r="L844">
        <v>3</v>
      </c>
      <c r="M844" t="s">
        <v>31</v>
      </c>
      <c r="N844">
        <v>67</v>
      </c>
      <c r="O844">
        <v>127</v>
      </c>
      <c r="P844">
        <v>1</v>
      </c>
    </row>
    <row r="845" spans="1:16" x14ac:dyDescent="0.25">
      <c r="A845" s="1">
        <v>45306.342407407406</v>
      </c>
      <c r="B845" t="s">
        <v>20</v>
      </c>
      <c r="C845">
        <v>14.459300000000001</v>
      </c>
      <c r="D845">
        <v>157.92930000000001</v>
      </c>
      <c r="E845">
        <v>487</v>
      </c>
      <c r="F845" t="s">
        <v>17</v>
      </c>
      <c r="G845">
        <v>18.7</v>
      </c>
      <c r="H845">
        <v>62</v>
      </c>
      <c r="I845" t="s">
        <v>18</v>
      </c>
      <c r="J845">
        <v>35</v>
      </c>
      <c r="K845">
        <v>432</v>
      </c>
      <c r="L845">
        <v>9</v>
      </c>
      <c r="M845" t="s">
        <v>19</v>
      </c>
      <c r="N845">
        <v>72.3</v>
      </c>
      <c r="O845">
        <v>247</v>
      </c>
      <c r="P845">
        <v>1</v>
      </c>
    </row>
    <row r="846" spans="1:16" x14ac:dyDescent="0.25">
      <c r="A846" s="1">
        <v>45576.437465277777</v>
      </c>
      <c r="B846" t="s">
        <v>24</v>
      </c>
      <c r="C846">
        <v>-48.605600000000003</v>
      </c>
      <c r="D846">
        <v>-11.5509</v>
      </c>
      <c r="E846">
        <v>420</v>
      </c>
      <c r="F846" t="s">
        <v>17</v>
      </c>
      <c r="G846">
        <v>29.9</v>
      </c>
      <c r="H846">
        <v>64.599999999999994</v>
      </c>
      <c r="I846" t="s">
        <v>22</v>
      </c>
      <c r="J846">
        <v>34</v>
      </c>
      <c r="K846">
        <v>282</v>
      </c>
      <c r="L846">
        <v>10</v>
      </c>
      <c r="M846" t="s">
        <v>31</v>
      </c>
      <c r="N846">
        <v>79.400000000000006</v>
      </c>
      <c r="O846">
        <v>134</v>
      </c>
      <c r="P846">
        <v>1</v>
      </c>
    </row>
    <row r="847" spans="1:16" x14ac:dyDescent="0.25">
      <c r="A847" s="1">
        <v>45429.496504629627</v>
      </c>
      <c r="B847" t="s">
        <v>34</v>
      </c>
      <c r="C847">
        <v>-11.6172</v>
      </c>
      <c r="D847">
        <v>47.738999999999997</v>
      </c>
      <c r="E847">
        <v>135</v>
      </c>
      <c r="F847" t="s">
        <v>17</v>
      </c>
      <c r="G847">
        <v>24.7</v>
      </c>
      <c r="H847">
        <v>67.099999999999994</v>
      </c>
      <c r="I847" t="s">
        <v>22</v>
      </c>
      <c r="J847">
        <v>26</v>
      </c>
      <c r="K847">
        <v>380</v>
      </c>
      <c r="L847">
        <v>7</v>
      </c>
      <c r="M847" t="s">
        <v>27</v>
      </c>
      <c r="N847">
        <v>64.599999999999994</v>
      </c>
      <c r="O847">
        <v>109</v>
      </c>
      <c r="P847">
        <v>1</v>
      </c>
    </row>
    <row r="848" spans="1:16" x14ac:dyDescent="0.25">
      <c r="A848" s="1">
        <v>45520.933125000003</v>
      </c>
      <c r="B848" t="s">
        <v>35</v>
      </c>
      <c r="C848">
        <v>17.7318</v>
      </c>
      <c r="D848">
        <v>-166.4083</v>
      </c>
      <c r="E848">
        <v>269</v>
      </c>
      <c r="F848" t="s">
        <v>21</v>
      </c>
      <c r="G848">
        <v>25.2</v>
      </c>
      <c r="H848">
        <v>63.5</v>
      </c>
      <c r="I848" t="s">
        <v>18</v>
      </c>
      <c r="J848">
        <v>19</v>
      </c>
      <c r="K848">
        <v>262</v>
      </c>
      <c r="L848">
        <v>7</v>
      </c>
      <c r="M848" t="s">
        <v>23</v>
      </c>
      <c r="N848">
        <v>71.599999999999994</v>
      </c>
      <c r="O848">
        <v>295</v>
      </c>
      <c r="P848">
        <v>0</v>
      </c>
    </row>
    <row r="849" spans="1:16" x14ac:dyDescent="0.25">
      <c r="A849" s="1">
        <v>45526.375439814816</v>
      </c>
      <c r="B849" t="s">
        <v>30</v>
      </c>
      <c r="C849">
        <v>-31.495799999999999</v>
      </c>
      <c r="D849">
        <v>-37.593200000000003</v>
      </c>
      <c r="E849">
        <v>419</v>
      </c>
      <c r="F849" t="s">
        <v>26</v>
      </c>
      <c r="G849">
        <v>21</v>
      </c>
      <c r="H849">
        <v>74.2</v>
      </c>
      <c r="I849" t="s">
        <v>28</v>
      </c>
      <c r="J849">
        <v>29</v>
      </c>
      <c r="K849">
        <v>386</v>
      </c>
      <c r="L849">
        <v>9</v>
      </c>
      <c r="M849" t="s">
        <v>27</v>
      </c>
      <c r="N849">
        <v>95.1</v>
      </c>
      <c r="O849">
        <v>186</v>
      </c>
      <c r="P849">
        <v>0</v>
      </c>
    </row>
    <row r="850" spans="1:16" x14ac:dyDescent="0.25">
      <c r="A850" s="1">
        <v>45537.69222222222</v>
      </c>
      <c r="B850" t="s">
        <v>20</v>
      </c>
      <c r="C850">
        <v>79.689599999999999</v>
      </c>
      <c r="D850">
        <v>84.117500000000007</v>
      </c>
      <c r="E850">
        <v>407</v>
      </c>
      <c r="F850" t="s">
        <v>26</v>
      </c>
      <c r="G850">
        <v>23.5</v>
      </c>
      <c r="H850">
        <v>77.7</v>
      </c>
      <c r="I850" t="s">
        <v>18</v>
      </c>
      <c r="J850">
        <v>55</v>
      </c>
      <c r="K850">
        <v>351</v>
      </c>
      <c r="L850">
        <v>6</v>
      </c>
      <c r="M850" t="s">
        <v>19</v>
      </c>
      <c r="N850">
        <v>68.400000000000006</v>
      </c>
      <c r="O850">
        <v>168</v>
      </c>
      <c r="P850">
        <v>0</v>
      </c>
    </row>
    <row r="851" spans="1:16" x14ac:dyDescent="0.25">
      <c r="A851" s="1">
        <v>45642.502754629626</v>
      </c>
      <c r="B851" t="s">
        <v>25</v>
      </c>
      <c r="C851">
        <v>-79.533100000000005</v>
      </c>
      <c r="D851">
        <v>-178.66579999999999</v>
      </c>
      <c r="E851">
        <v>331</v>
      </c>
      <c r="F851" t="s">
        <v>21</v>
      </c>
      <c r="G851">
        <v>24.2</v>
      </c>
      <c r="H851">
        <v>74</v>
      </c>
      <c r="I851" t="s">
        <v>18</v>
      </c>
      <c r="J851">
        <v>60</v>
      </c>
      <c r="K851">
        <v>225</v>
      </c>
      <c r="L851">
        <v>8</v>
      </c>
      <c r="M851" t="s">
        <v>19</v>
      </c>
      <c r="N851">
        <v>61</v>
      </c>
      <c r="O851">
        <v>142</v>
      </c>
      <c r="P851">
        <v>0</v>
      </c>
    </row>
    <row r="852" spans="1:16" x14ac:dyDescent="0.25">
      <c r="A852" s="1">
        <v>45349.665706018517</v>
      </c>
      <c r="B852" t="s">
        <v>35</v>
      </c>
      <c r="C852">
        <v>63.954900000000002</v>
      </c>
      <c r="D852">
        <v>-128.75810000000001</v>
      </c>
      <c r="E852">
        <v>444</v>
      </c>
      <c r="F852" t="s">
        <v>21</v>
      </c>
      <c r="G852">
        <v>20.8</v>
      </c>
      <c r="H852">
        <v>63.9</v>
      </c>
      <c r="I852" t="s">
        <v>22</v>
      </c>
      <c r="J852">
        <v>38</v>
      </c>
      <c r="K852">
        <v>203</v>
      </c>
      <c r="L852">
        <v>1</v>
      </c>
      <c r="M852" t="s">
        <v>23</v>
      </c>
      <c r="N852">
        <v>73.7</v>
      </c>
      <c r="O852">
        <v>201</v>
      </c>
      <c r="P852">
        <v>1</v>
      </c>
    </row>
    <row r="853" spans="1:16" x14ac:dyDescent="0.25">
      <c r="A853" s="1">
        <v>45581.519317129627</v>
      </c>
      <c r="B853" t="s">
        <v>35</v>
      </c>
      <c r="C853">
        <v>61.152200000000001</v>
      </c>
      <c r="D853">
        <v>5.9286000000000003</v>
      </c>
      <c r="E853">
        <v>319</v>
      </c>
      <c r="F853" t="s">
        <v>21</v>
      </c>
      <c r="G853">
        <v>29.1</v>
      </c>
      <c r="H853">
        <v>61.3</v>
      </c>
      <c r="I853" t="s">
        <v>18</v>
      </c>
      <c r="J853">
        <v>24</v>
      </c>
      <c r="K853">
        <v>392</v>
      </c>
      <c r="L853">
        <v>7</v>
      </c>
      <c r="M853" t="s">
        <v>19</v>
      </c>
      <c r="N853">
        <v>72.8</v>
      </c>
      <c r="O853">
        <v>123</v>
      </c>
      <c r="P853">
        <v>0</v>
      </c>
    </row>
    <row r="854" spans="1:16" x14ac:dyDescent="0.25">
      <c r="A854" s="1">
        <v>45409.50204861111</v>
      </c>
      <c r="B854" t="s">
        <v>24</v>
      </c>
      <c r="C854">
        <v>-26.391300000000001</v>
      </c>
      <c r="D854">
        <v>-155.6326</v>
      </c>
      <c r="E854">
        <v>402</v>
      </c>
      <c r="F854" t="s">
        <v>26</v>
      </c>
      <c r="G854">
        <v>21</v>
      </c>
      <c r="H854">
        <v>66.3</v>
      </c>
      <c r="I854" t="s">
        <v>28</v>
      </c>
      <c r="J854">
        <v>52</v>
      </c>
      <c r="K854">
        <v>306</v>
      </c>
      <c r="L854">
        <v>10</v>
      </c>
      <c r="M854" t="s">
        <v>23</v>
      </c>
      <c r="N854">
        <v>70.099999999999994</v>
      </c>
      <c r="O854">
        <v>251</v>
      </c>
      <c r="P854">
        <v>0</v>
      </c>
    </row>
    <row r="855" spans="1:16" x14ac:dyDescent="0.25">
      <c r="A855" s="1">
        <v>45511.350740740738</v>
      </c>
      <c r="B855" t="s">
        <v>24</v>
      </c>
      <c r="C855">
        <v>14.8779</v>
      </c>
      <c r="D855">
        <v>-139.1721</v>
      </c>
      <c r="E855">
        <v>269</v>
      </c>
      <c r="F855" t="s">
        <v>17</v>
      </c>
      <c r="G855">
        <v>19</v>
      </c>
      <c r="H855">
        <v>73.599999999999994</v>
      </c>
      <c r="I855" t="s">
        <v>28</v>
      </c>
      <c r="J855">
        <v>50</v>
      </c>
      <c r="K855">
        <v>307</v>
      </c>
      <c r="L855">
        <v>3</v>
      </c>
      <c r="M855" t="s">
        <v>31</v>
      </c>
      <c r="N855">
        <v>68.099999999999994</v>
      </c>
      <c r="O855">
        <v>102</v>
      </c>
      <c r="P855">
        <v>1</v>
      </c>
    </row>
    <row r="856" spans="1:16" x14ac:dyDescent="0.25">
      <c r="A856" s="1">
        <v>45496.966041666667</v>
      </c>
      <c r="B856" t="s">
        <v>24</v>
      </c>
      <c r="C856">
        <v>49.641800000000003</v>
      </c>
      <c r="D856">
        <v>-121.3862</v>
      </c>
      <c r="E856">
        <v>318</v>
      </c>
      <c r="F856" t="s">
        <v>21</v>
      </c>
      <c r="G856">
        <v>22.5</v>
      </c>
      <c r="H856">
        <v>59.3</v>
      </c>
      <c r="I856" t="s">
        <v>22</v>
      </c>
      <c r="J856">
        <v>18</v>
      </c>
      <c r="K856">
        <v>331</v>
      </c>
      <c r="L856">
        <v>9</v>
      </c>
      <c r="M856" t="s">
        <v>19</v>
      </c>
      <c r="N856">
        <v>97.3</v>
      </c>
      <c r="O856">
        <v>273</v>
      </c>
      <c r="P856">
        <v>1</v>
      </c>
    </row>
    <row r="857" spans="1:16" x14ac:dyDescent="0.25">
      <c r="A857" s="1">
        <v>45558.105462962965</v>
      </c>
      <c r="B857" t="s">
        <v>33</v>
      </c>
      <c r="C857">
        <v>-48.665399999999998</v>
      </c>
      <c r="D857">
        <v>115.3562</v>
      </c>
      <c r="E857">
        <v>388</v>
      </c>
      <c r="F857" t="s">
        <v>26</v>
      </c>
      <c r="G857">
        <v>24.6</v>
      </c>
      <c r="H857">
        <v>74.3</v>
      </c>
      <c r="I857" t="s">
        <v>18</v>
      </c>
      <c r="J857">
        <v>29</v>
      </c>
      <c r="K857">
        <v>461</v>
      </c>
      <c r="L857">
        <v>1</v>
      </c>
      <c r="M857" t="s">
        <v>31</v>
      </c>
      <c r="N857">
        <v>68.099999999999994</v>
      </c>
      <c r="O857">
        <v>159</v>
      </c>
      <c r="P857">
        <v>0</v>
      </c>
    </row>
    <row r="858" spans="1:16" x14ac:dyDescent="0.25">
      <c r="A858" s="1">
        <v>45583.274259259262</v>
      </c>
      <c r="B858" t="s">
        <v>20</v>
      </c>
      <c r="C858">
        <v>38.046999999999997</v>
      </c>
      <c r="D858">
        <v>-80.044600000000003</v>
      </c>
      <c r="E858">
        <v>166</v>
      </c>
      <c r="F858" t="s">
        <v>17</v>
      </c>
      <c r="G858">
        <v>26.9</v>
      </c>
      <c r="H858">
        <v>58.3</v>
      </c>
      <c r="I858" t="s">
        <v>28</v>
      </c>
      <c r="J858">
        <v>29</v>
      </c>
      <c r="K858">
        <v>283</v>
      </c>
      <c r="L858">
        <v>3</v>
      </c>
      <c r="M858" t="s">
        <v>23</v>
      </c>
      <c r="N858">
        <v>64.099999999999994</v>
      </c>
      <c r="O858">
        <v>113</v>
      </c>
      <c r="P858">
        <v>1</v>
      </c>
    </row>
    <row r="859" spans="1:16" x14ac:dyDescent="0.25">
      <c r="A859" s="1">
        <v>45405.33803240741</v>
      </c>
      <c r="B859" t="s">
        <v>24</v>
      </c>
      <c r="C859">
        <v>9.8933999999999997</v>
      </c>
      <c r="D859">
        <v>13.902799999999999</v>
      </c>
      <c r="E859">
        <v>338</v>
      </c>
      <c r="F859" t="s">
        <v>26</v>
      </c>
      <c r="G859">
        <v>28.7</v>
      </c>
      <c r="H859">
        <v>65.599999999999994</v>
      </c>
      <c r="I859" t="s">
        <v>22</v>
      </c>
      <c r="J859">
        <v>45</v>
      </c>
      <c r="K859">
        <v>348</v>
      </c>
      <c r="L859">
        <v>8</v>
      </c>
      <c r="M859" t="s">
        <v>27</v>
      </c>
      <c r="N859">
        <v>96.1</v>
      </c>
      <c r="O859">
        <v>230</v>
      </c>
      <c r="P859">
        <v>1</v>
      </c>
    </row>
    <row r="860" spans="1:16" x14ac:dyDescent="0.25">
      <c r="A860" s="1">
        <v>45337.819398148145</v>
      </c>
      <c r="B860" t="s">
        <v>29</v>
      </c>
      <c r="C860">
        <v>-43.0411</v>
      </c>
      <c r="D860">
        <v>-154.0658</v>
      </c>
      <c r="E860">
        <v>457</v>
      </c>
      <c r="F860" t="s">
        <v>21</v>
      </c>
      <c r="G860">
        <v>18.7</v>
      </c>
      <c r="H860">
        <v>52.7</v>
      </c>
      <c r="I860" t="s">
        <v>28</v>
      </c>
      <c r="J860">
        <v>52</v>
      </c>
      <c r="K860">
        <v>366</v>
      </c>
      <c r="L860">
        <v>4</v>
      </c>
      <c r="M860" t="s">
        <v>19</v>
      </c>
      <c r="N860">
        <v>93.1</v>
      </c>
      <c r="O860">
        <v>275</v>
      </c>
      <c r="P860">
        <v>0</v>
      </c>
    </row>
    <row r="861" spans="1:16" x14ac:dyDescent="0.25">
      <c r="A861" s="1">
        <v>45460.602731481478</v>
      </c>
      <c r="B861" t="s">
        <v>20</v>
      </c>
      <c r="C861">
        <v>-71.830699999999993</v>
      </c>
      <c r="D861">
        <v>-53.607199999999999</v>
      </c>
      <c r="E861">
        <v>274</v>
      </c>
      <c r="F861" t="s">
        <v>26</v>
      </c>
      <c r="G861">
        <v>21.5</v>
      </c>
      <c r="H861">
        <v>74</v>
      </c>
      <c r="I861" t="s">
        <v>22</v>
      </c>
      <c r="J861">
        <v>23</v>
      </c>
      <c r="K861">
        <v>448</v>
      </c>
      <c r="L861">
        <v>5</v>
      </c>
      <c r="M861" t="s">
        <v>31</v>
      </c>
      <c r="N861">
        <v>74.7</v>
      </c>
      <c r="O861">
        <v>200</v>
      </c>
      <c r="P861">
        <v>1</v>
      </c>
    </row>
    <row r="862" spans="1:16" x14ac:dyDescent="0.25">
      <c r="A862" s="1">
        <v>45492.544965277775</v>
      </c>
      <c r="B862" t="s">
        <v>16</v>
      </c>
      <c r="C862">
        <v>16.1221</v>
      </c>
      <c r="D862">
        <v>79.027900000000002</v>
      </c>
      <c r="E862">
        <v>332</v>
      </c>
      <c r="F862" t="s">
        <v>17</v>
      </c>
      <c r="G862">
        <v>19.2</v>
      </c>
      <c r="H862">
        <v>56.9</v>
      </c>
      <c r="I862" t="s">
        <v>18</v>
      </c>
      <c r="J862">
        <v>27</v>
      </c>
      <c r="K862">
        <v>357</v>
      </c>
      <c r="L862">
        <v>2</v>
      </c>
      <c r="M862" t="s">
        <v>19</v>
      </c>
      <c r="N862">
        <v>87.8</v>
      </c>
      <c r="O862">
        <v>217</v>
      </c>
      <c r="P862">
        <v>1</v>
      </c>
    </row>
    <row r="863" spans="1:16" x14ac:dyDescent="0.25">
      <c r="A863" s="1">
        <v>45565.604953703703</v>
      </c>
      <c r="B863" t="s">
        <v>29</v>
      </c>
      <c r="C863">
        <v>1.3876999999999999</v>
      </c>
      <c r="D863">
        <v>64.007800000000003</v>
      </c>
      <c r="E863">
        <v>388</v>
      </c>
      <c r="F863" t="s">
        <v>21</v>
      </c>
      <c r="G863">
        <v>27.4</v>
      </c>
      <c r="H863">
        <v>50.6</v>
      </c>
      <c r="I863" t="s">
        <v>18</v>
      </c>
      <c r="J863">
        <v>58</v>
      </c>
      <c r="K863">
        <v>401</v>
      </c>
      <c r="L863">
        <v>5</v>
      </c>
      <c r="M863" t="s">
        <v>31</v>
      </c>
      <c r="N863">
        <v>81.400000000000006</v>
      </c>
      <c r="O863">
        <v>196</v>
      </c>
      <c r="P863">
        <v>0</v>
      </c>
    </row>
    <row r="864" spans="1:16" x14ac:dyDescent="0.25">
      <c r="A864" s="1">
        <v>45510.918680555558</v>
      </c>
      <c r="B864" t="s">
        <v>24</v>
      </c>
      <c r="C864">
        <v>30.3691</v>
      </c>
      <c r="D864">
        <v>-111.1134</v>
      </c>
      <c r="E864">
        <v>377</v>
      </c>
      <c r="F864" t="s">
        <v>26</v>
      </c>
      <c r="G864">
        <v>18.2</v>
      </c>
      <c r="H864">
        <v>51.7</v>
      </c>
      <c r="I864" t="s">
        <v>18</v>
      </c>
      <c r="J864">
        <v>34</v>
      </c>
      <c r="K864">
        <v>306</v>
      </c>
      <c r="L864">
        <v>8</v>
      </c>
      <c r="M864" t="s">
        <v>27</v>
      </c>
      <c r="N864">
        <v>87.9</v>
      </c>
      <c r="O864">
        <v>139</v>
      </c>
      <c r="P864">
        <v>0</v>
      </c>
    </row>
    <row r="865" spans="1:16" x14ac:dyDescent="0.25">
      <c r="A865" s="1">
        <v>45355.98542824074</v>
      </c>
      <c r="B865" t="s">
        <v>30</v>
      </c>
      <c r="C865">
        <v>53.517000000000003</v>
      </c>
      <c r="D865">
        <v>152.1576</v>
      </c>
      <c r="E865">
        <v>265</v>
      </c>
      <c r="F865" t="s">
        <v>26</v>
      </c>
      <c r="G865">
        <v>23.5</v>
      </c>
      <c r="H865">
        <v>78.400000000000006</v>
      </c>
      <c r="I865" t="s">
        <v>28</v>
      </c>
      <c r="J865">
        <v>60</v>
      </c>
      <c r="K865">
        <v>107</v>
      </c>
      <c r="L865">
        <v>3</v>
      </c>
      <c r="M865" t="s">
        <v>23</v>
      </c>
      <c r="N865">
        <v>62.4</v>
      </c>
      <c r="O865">
        <v>237</v>
      </c>
      <c r="P865">
        <v>0</v>
      </c>
    </row>
    <row r="866" spans="1:16" x14ac:dyDescent="0.25">
      <c r="A866" s="1">
        <v>45452.257638888892</v>
      </c>
      <c r="B866" t="s">
        <v>32</v>
      </c>
      <c r="C866">
        <v>-20.984000000000002</v>
      </c>
      <c r="D866">
        <v>-125.2428</v>
      </c>
      <c r="E866">
        <v>316</v>
      </c>
      <c r="F866" t="s">
        <v>17</v>
      </c>
      <c r="G866">
        <v>19.8</v>
      </c>
      <c r="H866">
        <v>70.599999999999994</v>
      </c>
      <c r="I866" t="s">
        <v>18</v>
      </c>
      <c r="J866">
        <v>18</v>
      </c>
      <c r="K866">
        <v>194</v>
      </c>
      <c r="L866">
        <v>4</v>
      </c>
      <c r="M866" t="s">
        <v>31</v>
      </c>
      <c r="N866">
        <v>95.8</v>
      </c>
      <c r="O866">
        <v>240</v>
      </c>
      <c r="P866">
        <v>1</v>
      </c>
    </row>
    <row r="867" spans="1:16" x14ac:dyDescent="0.25">
      <c r="A867" s="1">
        <v>45507.858449074076</v>
      </c>
      <c r="B867" t="s">
        <v>20</v>
      </c>
      <c r="C867">
        <v>-59.825699999999998</v>
      </c>
      <c r="D867">
        <v>-2.9502000000000002</v>
      </c>
      <c r="E867">
        <v>239</v>
      </c>
      <c r="F867" t="s">
        <v>21</v>
      </c>
      <c r="G867">
        <v>28.7</v>
      </c>
      <c r="H867">
        <v>64</v>
      </c>
      <c r="I867" t="s">
        <v>28</v>
      </c>
      <c r="J867">
        <v>35</v>
      </c>
      <c r="K867">
        <v>469</v>
      </c>
      <c r="L867">
        <v>3</v>
      </c>
      <c r="M867" t="s">
        <v>23</v>
      </c>
      <c r="N867">
        <v>63.9</v>
      </c>
      <c r="O867">
        <v>293</v>
      </c>
      <c r="P867">
        <v>0</v>
      </c>
    </row>
    <row r="868" spans="1:16" x14ac:dyDescent="0.25">
      <c r="A868" s="1">
        <v>45396.345347222225</v>
      </c>
      <c r="B868" t="s">
        <v>33</v>
      </c>
      <c r="C868">
        <v>-49.284500000000001</v>
      </c>
      <c r="D868">
        <v>40.581400000000002</v>
      </c>
      <c r="E868">
        <v>241</v>
      </c>
      <c r="F868" t="s">
        <v>17</v>
      </c>
      <c r="G868">
        <v>21.4</v>
      </c>
      <c r="H868">
        <v>70.900000000000006</v>
      </c>
      <c r="I868" t="s">
        <v>28</v>
      </c>
      <c r="J868">
        <v>48</v>
      </c>
      <c r="K868">
        <v>121</v>
      </c>
      <c r="L868">
        <v>4</v>
      </c>
      <c r="M868" t="s">
        <v>23</v>
      </c>
      <c r="N868">
        <v>75.3</v>
      </c>
      <c r="O868">
        <v>195</v>
      </c>
      <c r="P868">
        <v>1</v>
      </c>
    </row>
    <row r="869" spans="1:16" x14ac:dyDescent="0.25">
      <c r="A869" s="1">
        <v>45501.314618055556</v>
      </c>
      <c r="B869" t="s">
        <v>24</v>
      </c>
      <c r="C869">
        <v>88.224599999999995</v>
      </c>
      <c r="D869">
        <v>-148.6037</v>
      </c>
      <c r="E869">
        <v>326</v>
      </c>
      <c r="F869" t="s">
        <v>17</v>
      </c>
      <c r="G869">
        <v>27.2</v>
      </c>
      <c r="H869">
        <v>69.3</v>
      </c>
      <c r="I869" t="s">
        <v>18</v>
      </c>
      <c r="J869">
        <v>24</v>
      </c>
      <c r="K869">
        <v>492</v>
      </c>
      <c r="L869">
        <v>9</v>
      </c>
      <c r="M869" t="s">
        <v>23</v>
      </c>
      <c r="N869">
        <v>72.5</v>
      </c>
      <c r="O869">
        <v>223</v>
      </c>
      <c r="P869">
        <v>1</v>
      </c>
    </row>
    <row r="870" spans="1:16" x14ac:dyDescent="0.25">
      <c r="A870" s="1">
        <v>45548.524733796294</v>
      </c>
      <c r="B870" t="s">
        <v>30</v>
      </c>
      <c r="C870">
        <v>-13.535</v>
      </c>
      <c r="D870">
        <v>94.625600000000006</v>
      </c>
      <c r="E870">
        <v>357</v>
      </c>
      <c r="F870" t="s">
        <v>26</v>
      </c>
      <c r="G870">
        <v>24</v>
      </c>
      <c r="H870">
        <v>76.099999999999994</v>
      </c>
      <c r="I870" t="s">
        <v>18</v>
      </c>
      <c r="J870">
        <v>39</v>
      </c>
      <c r="K870">
        <v>339</v>
      </c>
      <c r="L870">
        <v>9</v>
      </c>
      <c r="M870" t="s">
        <v>27</v>
      </c>
      <c r="N870">
        <v>97.8</v>
      </c>
      <c r="O870">
        <v>146</v>
      </c>
      <c r="P870">
        <v>0</v>
      </c>
    </row>
    <row r="871" spans="1:16" x14ac:dyDescent="0.25">
      <c r="A871" s="1">
        <v>45540.227962962963</v>
      </c>
      <c r="B871" t="s">
        <v>20</v>
      </c>
      <c r="C871">
        <v>57.128700000000002</v>
      </c>
      <c r="D871">
        <v>148.18049999999999</v>
      </c>
      <c r="E871">
        <v>279</v>
      </c>
      <c r="F871" t="s">
        <v>26</v>
      </c>
      <c r="G871">
        <v>19.600000000000001</v>
      </c>
      <c r="H871">
        <v>55.9</v>
      </c>
      <c r="I871" t="s">
        <v>22</v>
      </c>
      <c r="J871">
        <v>30</v>
      </c>
      <c r="K871">
        <v>187</v>
      </c>
      <c r="L871">
        <v>9</v>
      </c>
      <c r="M871" t="s">
        <v>27</v>
      </c>
      <c r="N871">
        <v>90.5</v>
      </c>
      <c r="O871">
        <v>126</v>
      </c>
      <c r="P871">
        <v>1</v>
      </c>
    </row>
    <row r="872" spans="1:16" x14ac:dyDescent="0.25">
      <c r="A872" s="1">
        <v>45293.307581018518</v>
      </c>
      <c r="B872" t="s">
        <v>30</v>
      </c>
      <c r="C872">
        <v>-61.854599999999998</v>
      </c>
      <c r="D872">
        <v>43.807400000000001</v>
      </c>
      <c r="E872">
        <v>106</v>
      </c>
      <c r="F872" t="s">
        <v>26</v>
      </c>
      <c r="G872">
        <v>26.7</v>
      </c>
      <c r="H872">
        <v>53.3</v>
      </c>
      <c r="I872" t="s">
        <v>18</v>
      </c>
      <c r="J872">
        <v>39</v>
      </c>
      <c r="K872">
        <v>128</v>
      </c>
      <c r="L872">
        <v>5</v>
      </c>
      <c r="M872" t="s">
        <v>23</v>
      </c>
      <c r="N872">
        <v>88</v>
      </c>
      <c r="O872">
        <v>117</v>
      </c>
      <c r="P872">
        <v>0</v>
      </c>
    </row>
    <row r="873" spans="1:16" x14ac:dyDescent="0.25">
      <c r="A873" s="1">
        <v>45604.211099537039</v>
      </c>
      <c r="B873" t="s">
        <v>16</v>
      </c>
      <c r="C873">
        <v>9.0930999999999997</v>
      </c>
      <c r="D873">
        <v>-155.64109999999999</v>
      </c>
      <c r="E873">
        <v>381</v>
      </c>
      <c r="F873" t="s">
        <v>21</v>
      </c>
      <c r="G873">
        <v>20</v>
      </c>
      <c r="H873">
        <v>52.9</v>
      </c>
      <c r="I873" t="s">
        <v>28</v>
      </c>
      <c r="J873">
        <v>13</v>
      </c>
      <c r="K873">
        <v>216</v>
      </c>
      <c r="L873">
        <v>5</v>
      </c>
      <c r="M873" t="s">
        <v>23</v>
      </c>
      <c r="N873">
        <v>87.3</v>
      </c>
      <c r="O873">
        <v>160</v>
      </c>
      <c r="P873">
        <v>0</v>
      </c>
    </row>
    <row r="874" spans="1:16" x14ac:dyDescent="0.25">
      <c r="A874" s="1">
        <v>45611.279363425929</v>
      </c>
      <c r="B874" t="s">
        <v>16</v>
      </c>
      <c r="C874">
        <v>-19.6632</v>
      </c>
      <c r="D874">
        <v>-133.2353</v>
      </c>
      <c r="E874">
        <v>416</v>
      </c>
      <c r="F874" t="s">
        <v>26</v>
      </c>
      <c r="G874">
        <v>20.5</v>
      </c>
      <c r="H874">
        <v>61.9</v>
      </c>
      <c r="I874" t="s">
        <v>18</v>
      </c>
      <c r="J874">
        <v>51</v>
      </c>
      <c r="K874">
        <v>172</v>
      </c>
      <c r="L874">
        <v>1</v>
      </c>
      <c r="M874" t="s">
        <v>23</v>
      </c>
      <c r="N874">
        <v>75.5</v>
      </c>
      <c r="O874">
        <v>112</v>
      </c>
      <c r="P874">
        <v>0</v>
      </c>
    </row>
    <row r="875" spans="1:16" x14ac:dyDescent="0.25">
      <c r="A875" s="1">
        <v>45642.881585648145</v>
      </c>
      <c r="B875" t="s">
        <v>25</v>
      </c>
      <c r="C875">
        <v>43.442900000000002</v>
      </c>
      <c r="D875">
        <v>-106.3154</v>
      </c>
      <c r="E875">
        <v>147</v>
      </c>
      <c r="F875" t="s">
        <v>17</v>
      </c>
      <c r="G875">
        <v>19</v>
      </c>
      <c r="H875">
        <v>73.2</v>
      </c>
      <c r="I875" t="s">
        <v>18</v>
      </c>
      <c r="J875">
        <v>60</v>
      </c>
      <c r="K875">
        <v>260</v>
      </c>
      <c r="L875">
        <v>5</v>
      </c>
      <c r="M875" t="s">
        <v>31</v>
      </c>
      <c r="N875">
        <v>77.2</v>
      </c>
      <c r="O875">
        <v>216</v>
      </c>
      <c r="P875">
        <v>1</v>
      </c>
    </row>
    <row r="876" spans="1:16" x14ac:dyDescent="0.25">
      <c r="A876" s="1">
        <v>45378.102430555555</v>
      </c>
      <c r="B876" t="s">
        <v>33</v>
      </c>
      <c r="C876">
        <v>-24.622599999999998</v>
      </c>
      <c r="D876">
        <v>30.2486</v>
      </c>
      <c r="E876">
        <v>277</v>
      </c>
      <c r="F876" t="s">
        <v>21</v>
      </c>
      <c r="G876">
        <v>28.1</v>
      </c>
      <c r="H876">
        <v>55.1</v>
      </c>
      <c r="I876" t="s">
        <v>28</v>
      </c>
      <c r="J876">
        <v>44</v>
      </c>
      <c r="K876">
        <v>111</v>
      </c>
      <c r="L876">
        <v>3</v>
      </c>
      <c r="M876" t="s">
        <v>23</v>
      </c>
      <c r="N876">
        <v>91.8</v>
      </c>
      <c r="O876">
        <v>282</v>
      </c>
      <c r="P876">
        <v>0</v>
      </c>
    </row>
    <row r="877" spans="1:16" x14ac:dyDescent="0.25">
      <c r="A877" s="1">
        <v>45564.583483796298</v>
      </c>
      <c r="B877" t="s">
        <v>35</v>
      </c>
      <c r="C877">
        <v>5.6237000000000004</v>
      </c>
      <c r="D877">
        <v>177.8639</v>
      </c>
      <c r="E877">
        <v>116</v>
      </c>
      <c r="F877" t="s">
        <v>26</v>
      </c>
      <c r="G877">
        <v>23</v>
      </c>
      <c r="H877">
        <v>79.599999999999994</v>
      </c>
      <c r="I877" t="s">
        <v>18</v>
      </c>
      <c r="J877">
        <v>55</v>
      </c>
      <c r="K877">
        <v>362</v>
      </c>
      <c r="L877">
        <v>1</v>
      </c>
      <c r="M877" t="s">
        <v>19</v>
      </c>
      <c r="N877">
        <v>96.6</v>
      </c>
      <c r="O877">
        <v>222</v>
      </c>
      <c r="P877">
        <v>0</v>
      </c>
    </row>
    <row r="878" spans="1:16" x14ac:dyDescent="0.25">
      <c r="A878" s="1">
        <v>45573.583958333336</v>
      </c>
      <c r="B878" t="s">
        <v>16</v>
      </c>
      <c r="C878">
        <v>-49.842100000000002</v>
      </c>
      <c r="D878">
        <v>-83.296300000000002</v>
      </c>
      <c r="E878">
        <v>324</v>
      </c>
      <c r="F878" t="s">
        <v>26</v>
      </c>
      <c r="G878">
        <v>22.2</v>
      </c>
      <c r="H878">
        <v>62.9</v>
      </c>
      <c r="I878" t="s">
        <v>22</v>
      </c>
      <c r="J878">
        <v>50</v>
      </c>
      <c r="K878">
        <v>365</v>
      </c>
      <c r="L878">
        <v>7</v>
      </c>
      <c r="M878" t="s">
        <v>23</v>
      </c>
      <c r="N878">
        <v>95.8</v>
      </c>
      <c r="O878">
        <v>210</v>
      </c>
      <c r="P878">
        <v>1</v>
      </c>
    </row>
    <row r="879" spans="1:16" x14ac:dyDescent="0.25">
      <c r="A879" s="1">
        <v>45649.933888888889</v>
      </c>
      <c r="B879" t="s">
        <v>35</v>
      </c>
      <c r="C879">
        <v>22.535900000000002</v>
      </c>
      <c r="D879">
        <v>82.624799999999993</v>
      </c>
      <c r="E879">
        <v>325</v>
      </c>
      <c r="F879" t="s">
        <v>21</v>
      </c>
      <c r="G879">
        <v>26</v>
      </c>
      <c r="H879">
        <v>56</v>
      </c>
      <c r="I879" t="s">
        <v>28</v>
      </c>
      <c r="J879">
        <v>34</v>
      </c>
      <c r="K879">
        <v>359</v>
      </c>
      <c r="L879">
        <v>4</v>
      </c>
      <c r="M879" t="s">
        <v>19</v>
      </c>
      <c r="N879">
        <v>72.2</v>
      </c>
      <c r="O879">
        <v>248</v>
      </c>
      <c r="P879">
        <v>0</v>
      </c>
    </row>
    <row r="880" spans="1:16" x14ac:dyDescent="0.25">
      <c r="A880" s="1">
        <v>45446.403263888889</v>
      </c>
      <c r="B880" t="s">
        <v>24</v>
      </c>
      <c r="C880">
        <v>30.8916</v>
      </c>
      <c r="D880">
        <v>173.48330000000001</v>
      </c>
      <c r="E880">
        <v>245</v>
      </c>
      <c r="F880" t="s">
        <v>26</v>
      </c>
      <c r="G880">
        <v>22</v>
      </c>
      <c r="H880">
        <v>61.2</v>
      </c>
      <c r="I880" t="s">
        <v>18</v>
      </c>
      <c r="J880">
        <v>22</v>
      </c>
      <c r="K880">
        <v>480</v>
      </c>
      <c r="L880">
        <v>6</v>
      </c>
      <c r="M880" t="s">
        <v>23</v>
      </c>
      <c r="N880">
        <v>89.3</v>
      </c>
      <c r="O880">
        <v>284</v>
      </c>
      <c r="P880">
        <v>0</v>
      </c>
    </row>
    <row r="881" spans="1:16" x14ac:dyDescent="0.25">
      <c r="A881" s="1">
        <v>45469.472013888888</v>
      </c>
      <c r="B881" t="s">
        <v>34</v>
      </c>
      <c r="C881">
        <v>3.0051000000000001</v>
      </c>
      <c r="D881">
        <v>-89.495699999999999</v>
      </c>
      <c r="E881">
        <v>424</v>
      </c>
      <c r="F881" t="s">
        <v>26</v>
      </c>
      <c r="G881">
        <v>23.2</v>
      </c>
      <c r="H881">
        <v>50.2</v>
      </c>
      <c r="I881" t="s">
        <v>28</v>
      </c>
      <c r="J881">
        <v>55</v>
      </c>
      <c r="K881">
        <v>385</v>
      </c>
      <c r="L881">
        <v>9</v>
      </c>
      <c r="M881" t="s">
        <v>23</v>
      </c>
      <c r="N881">
        <v>83.2</v>
      </c>
      <c r="O881">
        <v>228</v>
      </c>
      <c r="P881">
        <v>0</v>
      </c>
    </row>
    <row r="882" spans="1:16" x14ac:dyDescent="0.25">
      <c r="A882" s="1">
        <v>45639.726701388892</v>
      </c>
      <c r="B882" t="s">
        <v>34</v>
      </c>
      <c r="C882">
        <v>-9.8415999999999997</v>
      </c>
      <c r="D882">
        <v>87.344399999999993</v>
      </c>
      <c r="E882">
        <v>467</v>
      </c>
      <c r="F882" t="s">
        <v>17</v>
      </c>
      <c r="G882">
        <v>26.5</v>
      </c>
      <c r="H882">
        <v>62.1</v>
      </c>
      <c r="I882" t="s">
        <v>22</v>
      </c>
      <c r="J882">
        <v>54</v>
      </c>
      <c r="K882">
        <v>222</v>
      </c>
      <c r="L882">
        <v>2</v>
      </c>
      <c r="M882" t="s">
        <v>27</v>
      </c>
      <c r="N882">
        <v>97.3</v>
      </c>
      <c r="O882">
        <v>259</v>
      </c>
      <c r="P882">
        <v>1</v>
      </c>
    </row>
    <row r="883" spans="1:16" x14ac:dyDescent="0.25">
      <c r="A883" s="1">
        <v>45375.504907407405</v>
      </c>
      <c r="B883" t="s">
        <v>29</v>
      </c>
      <c r="C883">
        <v>-84.642499999999998</v>
      </c>
      <c r="D883">
        <v>70.456999999999994</v>
      </c>
      <c r="E883">
        <v>262</v>
      </c>
      <c r="F883" t="s">
        <v>21</v>
      </c>
      <c r="G883">
        <v>23.4</v>
      </c>
      <c r="H883">
        <v>62</v>
      </c>
      <c r="I883" t="s">
        <v>22</v>
      </c>
      <c r="J883">
        <v>36</v>
      </c>
      <c r="K883">
        <v>272</v>
      </c>
      <c r="L883">
        <v>7</v>
      </c>
      <c r="M883" t="s">
        <v>19</v>
      </c>
      <c r="N883">
        <v>82.9</v>
      </c>
      <c r="O883">
        <v>146</v>
      </c>
      <c r="P883">
        <v>1</v>
      </c>
    </row>
    <row r="884" spans="1:16" x14ac:dyDescent="0.25">
      <c r="A884" s="1">
        <v>45552.15861111111</v>
      </c>
      <c r="B884" t="s">
        <v>16</v>
      </c>
      <c r="C884">
        <v>1.8374999999999999</v>
      </c>
      <c r="D884">
        <v>71.811000000000007</v>
      </c>
      <c r="E884">
        <v>356</v>
      </c>
      <c r="F884" t="s">
        <v>26</v>
      </c>
      <c r="G884">
        <v>21.6</v>
      </c>
      <c r="H884">
        <v>60.4</v>
      </c>
      <c r="I884" t="s">
        <v>28</v>
      </c>
      <c r="J884">
        <v>45</v>
      </c>
      <c r="K884">
        <v>292</v>
      </c>
      <c r="L884">
        <v>1</v>
      </c>
      <c r="M884" t="s">
        <v>31</v>
      </c>
      <c r="N884">
        <v>94.3</v>
      </c>
      <c r="O884">
        <v>196</v>
      </c>
      <c r="P884">
        <v>0</v>
      </c>
    </row>
    <row r="885" spans="1:16" x14ac:dyDescent="0.25">
      <c r="A885" s="1">
        <v>45558.738611111112</v>
      </c>
      <c r="B885" t="s">
        <v>20</v>
      </c>
      <c r="C885">
        <v>-69.867099999999994</v>
      </c>
      <c r="D885">
        <v>-68.072999999999993</v>
      </c>
      <c r="E885">
        <v>166</v>
      </c>
      <c r="F885" t="s">
        <v>17</v>
      </c>
      <c r="G885">
        <v>20.399999999999999</v>
      </c>
      <c r="H885">
        <v>70.2</v>
      </c>
      <c r="I885" t="s">
        <v>28</v>
      </c>
      <c r="J885">
        <v>19</v>
      </c>
      <c r="K885">
        <v>391</v>
      </c>
      <c r="L885">
        <v>5</v>
      </c>
      <c r="M885" t="s">
        <v>19</v>
      </c>
      <c r="N885">
        <v>74</v>
      </c>
      <c r="O885">
        <v>238</v>
      </c>
      <c r="P885">
        <v>1</v>
      </c>
    </row>
    <row r="886" spans="1:16" x14ac:dyDescent="0.25">
      <c r="A886" s="1">
        <v>45615.171087962961</v>
      </c>
      <c r="B886" t="s">
        <v>29</v>
      </c>
      <c r="C886">
        <v>72.837400000000002</v>
      </c>
      <c r="D886">
        <v>179.4522</v>
      </c>
      <c r="E886">
        <v>349</v>
      </c>
      <c r="F886" t="s">
        <v>21</v>
      </c>
      <c r="G886">
        <v>25.6</v>
      </c>
      <c r="H886">
        <v>53.9</v>
      </c>
      <c r="I886" t="s">
        <v>22</v>
      </c>
      <c r="J886">
        <v>26</v>
      </c>
      <c r="K886">
        <v>189</v>
      </c>
      <c r="L886">
        <v>9</v>
      </c>
      <c r="M886" t="s">
        <v>23</v>
      </c>
      <c r="N886">
        <v>77.099999999999994</v>
      </c>
      <c r="O886">
        <v>285</v>
      </c>
      <c r="P886">
        <v>1</v>
      </c>
    </row>
    <row r="887" spans="1:16" x14ac:dyDescent="0.25">
      <c r="A887" s="1">
        <v>45517.07135416667</v>
      </c>
      <c r="B887" t="s">
        <v>16</v>
      </c>
      <c r="C887">
        <v>50.877499999999998</v>
      </c>
      <c r="D887">
        <v>-155.5478</v>
      </c>
      <c r="E887">
        <v>338</v>
      </c>
      <c r="F887" t="s">
        <v>26</v>
      </c>
      <c r="G887">
        <v>26.8</v>
      </c>
      <c r="H887">
        <v>68.3</v>
      </c>
      <c r="I887" t="s">
        <v>18</v>
      </c>
      <c r="J887">
        <v>45</v>
      </c>
      <c r="K887">
        <v>458</v>
      </c>
      <c r="L887">
        <v>9</v>
      </c>
      <c r="M887" t="s">
        <v>31</v>
      </c>
      <c r="N887">
        <v>76.7</v>
      </c>
      <c r="O887">
        <v>191</v>
      </c>
      <c r="P887">
        <v>0</v>
      </c>
    </row>
    <row r="888" spans="1:16" x14ac:dyDescent="0.25">
      <c r="A888" s="1">
        <v>45512.549861111111</v>
      </c>
      <c r="B888" t="s">
        <v>34</v>
      </c>
      <c r="C888">
        <v>23.7118</v>
      </c>
      <c r="D888">
        <v>-92.909800000000004</v>
      </c>
      <c r="E888">
        <v>273</v>
      </c>
      <c r="F888" t="s">
        <v>26</v>
      </c>
      <c r="G888">
        <v>19.899999999999999</v>
      </c>
      <c r="H888">
        <v>63.6</v>
      </c>
      <c r="I888" t="s">
        <v>28</v>
      </c>
      <c r="J888">
        <v>27</v>
      </c>
      <c r="K888">
        <v>265</v>
      </c>
      <c r="L888">
        <v>8</v>
      </c>
      <c r="M888" t="s">
        <v>23</v>
      </c>
      <c r="N888">
        <v>77</v>
      </c>
      <c r="O888">
        <v>243</v>
      </c>
      <c r="P888">
        <v>0</v>
      </c>
    </row>
    <row r="889" spans="1:16" x14ac:dyDescent="0.25">
      <c r="A889" s="1">
        <v>45544.453611111108</v>
      </c>
      <c r="B889" t="s">
        <v>16</v>
      </c>
      <c r="C889">
        <v>65.964100000000002</v>
      </c>
      <c r="D889">
        <v>85.992500000000007</v>
      </c>
      <c r="E889">
        <v>239</v>
      </c>
      <c r="F889" t="s">
        <v>21</v>
      </c>
      <c r="G889">
        <v>25.8</v>
      </c>
      <c r="H889">
        <v>56</v>
      </c>
      <c r="I889" t="s">
        <v>18</v>
      </c>
      <c r="J889">
        <v>50</v>
      </c>
      <c r="K889">
        <v>274</v>
      </c>
      <c r="L889">
        <v>7</v>
      </c>
      <c r="M889" t="s">
        <v>23</v>
      </c>
      <c r="N889">
        <v>88.3</v>
      </c>
      <c r="O889">
        <v>261</v>
      </c>
      <c r="P889">
        <v>0</v>
      </c>
    </row>
    <row r="890" spans="1:16" x14ac:dyDescent="0.25">
      <c r="A890" s="1">
        <v>45623.378981481481</v>
      </c>
      <c r="B890" t="s">
        <v>25</v>
      </c>
      <c r="C890">
        <v>41.728499999999997</v>
      </c>
      <c r="D890">
        <v>131.83760000000001</v>
      </c>
      <c r="E890">
        <v>278</v>
      </c>
      <c r="F890" t="s">
        <v>26</v>
      </c>
      <c r="G890">
        <v>22.8</v>
      </c>
      <c r="H890">
        <v>52.9</v>
      </c>
      <c r="I890" t="s">
        <v>22</v>
      </c>
      <c r="J890">
        <v>18</v>
      </c>
      <c r="K890">
        <v>104</v>
      </c>
      <c r="L890">
        <v>4</v>
      </c>
      <c r="M890" t="s">
        <v>27</v>
      </c>
      <c r="N890">
        <v>71.2</v>
      </c>
      <c r="O890">
        <v>190</v>
      </c>
      <c r="P890">
        <v>1</v>
      </c>
    </row>
    <row r="891" spans="1:16" x14ac:dyDescent="0.25">
      <c r="A891" s="1">
        <v>45411.647291666668</v>
      </c>
      <c r="B891" t="s">
        <v>35</v>
      </c>
      <c r="C891">
        <v>-79.293300000000002</v>
      </c>
      <c r="D891">
        <v>52.619599999999998</v>
      </c>
      <c r="E891">
        <v>412</v>
      </c>
      <c r="F891" t="s">
        <v>17</v>
      </c>
      <c r="G891">
        <v>20.2</v>
      </c>
      <c r="H891">
        <v>65</v>
      </c>
      <c r="I891" t="s">
        <v>28</v>
      </c>
      <c r="J891">
        <v>14</v>
      </c>
      <c r="K891">
        <v>230</v>
      </c>
      <c r="L891">
        <v>2</v>
      </c>
      <c r="M891" t="s">
        <v>31</v>
      </c>
      <c r="N891">
        <v>72.900000000000006</v>
      </c>
      <c r="O891">
        <v>249</v>
      </c>
      <c r="P891">
        <v>1</v>
      </c>
    </row>
    <row r="892" spans="1:16" x14ac:dyDescent="0.25">
      <c r="A892" s="1">
        <v>45656.807615740741</v>
      </c>
      <c r="B892" t="s">
        <v>20</v>
      </c>
      <c r="C892">
        <v>78.128500000000003</v>
      </c>
      <c r="D892">
        <v>162.4365</v>
      </c>
      <c r="E892">
        <v>125</v>
      </c>
      <c r="F892" t="s">
        <v>21</v>
      </c>
      <c r="G892">
        <v>25.4</v>
      </c>
      <c r="H892">
        <v>61.5</v>
      </c>
      <c r="I892" t="s">
        <v>18</v>
      </c>
      <c r="J892">
        <v>50</v>
      </c>
      <c r="K892">
        <v>408</v>
      </c>
      <c r="L892">
        <v>6</v>
      </c>
      <c r="M892" t="s">
        <v>19</v>
      </c>
      <c r="N892">
        <v>83.4</v>
      </c>
      <c r="O892">
        <v>221</v>
      </c>
      <c r="P892">
        <v>0</v>
      </c>
    </row>
    <row r="893" spans="1:16" x14ac:dyDescent="0.25">
      <c r="A893" s="1">
        <v>45645.887928240743</v>
      </c>
      <c r="B893" t="s">
        <v>32</v>
      </c>
      <c r="C893">
        <v>56.544499999999999</v>
      </c>
      <c r="D893">
        <v>31.2501</v>
      </c>
      <c r="E893">
        <v>404</v>
      </c>
      <c r="F893" t="s">
        <v>26</v>
      </c>
      <c r="G893">
        <v>24.7</v>
      </c>
      <c r="H893">
        <v>74.2</v>
      </c>
      <c r="I893" t="s">
        <v>22</v>
      </c>
      <c r="J893">
        <v>23</v>
      </c>
      <c r="K893">
        <v>459</v>
      </c>
      <c r="L893">
        <v>1</v>
      </c>
      <c r="M893" t="s">
        <v>27</v>
      </c>
      <c r="N893">
        <v>71.7</v>
      </c>
      <c r="O893">
        <v>127</v>
      </c>
      <c r="P893">
        <v>1</v>
      </c>
    </row>
    <row r="894" spans="1:16" x14ac:dyDescent="0.25">
      <c r="A894" s="1">
        <v>45541.537094907406</v>
      </c>
      <c r="B894" t="s">
        <v>25</v>
      </c>
      <c r="C894">
        <v>44.245100000000001</v>
      </c>
      <c r="D894">
        <v>-34.257100000000001</v>
      </c>
      <c r="E894">
        <v>392</v>
      </c>
      <c r="F894" t="s">
        <v>26</v>
      </c>
      <c r="G894">
        <v>29.1</v>
      </c>
      <c r="H894">
        <v>51.3</v>
      </c>
      <c r="I894" t="s">
        <v>28</v>
      </c>
      <c r="J894">
        <v>35</v>
      </c>
      <c r="K894">
        <v>434</v>
      </c>
      <c r="L894">
        <v>7</v>
      </c>
      <c r="M894" t="s">
        <v>19</v>
      </c>
      <c r="N894">
        <v>70.8</v>
      </c>
      <c r="O894">
        <v>249</v>
      </c>
      <c r="P894">
        <v>0</v>
      </c>
    </row>
    <row r="895" spans="1:16" x14ac:dyDescent="0.25">
      <c r="A895" s="1">
        <v>45656.297789351855</v>
      </c>
      <c r="B895" t="s">
        <v>16</v>
      </c>
      <c r="C895">
        <v>-27.894400000000001</v>
      </c>
      <c r="D895">
        <v>104.517</v>
      </c>
      <c r="E895">
        <v>145</v>
      </c>
      <c r="F895" t="s">
        <v>26</v>
      </c>
      <c r="G895">
        <v>29.8</v>
      </c>
      <c r="H895">
        <v>75.7</v>
      </c>
      <c r="I895" t="s">
        <v>18</v>
      </c>
      <c r="J895">
        <v>60</v>
      </c>
      <c r="K895">
        <v>287</v>
      </c>
      <c r="L895">
        <v>9</v>
      </c>
      <c r="M895" t="s">
        <v>27</v>
      </c>
      <c r="N895">
        <v>87.6</v>
      </c>
      <c r="O895">
        <v>216</v>
      </c>
      <c r="P895">
        <v>0</v>
      </c>
    </row>
    <row r="896" spans="1:16" x14ac:dyDescent="0.25">
      <c r="A896" s="1">
        <v>45612.69326388889</v>
      </c>
      <c r="B896" t="s">
        <v>29</v>
      </c>
      <c r="C896">
        <v>77.020600000000002</v>
      </c>
      <c r="D896">
        <v>0.82210000000000005</v>
      </c>
      <c r="E896">
        <v>485</v>
      </c>
      <c r="F896" t="s">
        <v>17</v>
      </c>
      <c r="G896">
        <v>24.6</v>
      </c>
      <c r="H896">
        <v>50.3</v>
      </c>
      <c r="I896" t="s">
        <v>22</v>
      </c>
      <c r="J896">
        <v>11</v>
      </c>
      <c r="K896">
        <v>155</v>
      </c>
      <c r="L896">
        <v>1</v>
      </c>
      <c r="M896" t="s">
        <v>31</v>
      </c>
      <c r="N896">
        <v>84.9</v>
      </c>
      <c r="O896">
        <v>161</v>
      </c>
      <c r="P896">
        <v>1</v>
      </c>
    </row>
    <row r="897" spans="1:16" x14ac:dyDescent="0.25">
      <c r="A897" s="1">
        <v>45451.381365740737</v>
      </c>
      <c r="B897" t="s">
        <v>29</v>
      </c>
      <c r="C897">
        <v>72.331100000000006</v>
      </c>
      <c r="D897">
        <v>-105.9002</v>
      </c>
      <c r="E897">
        <v>312</v>
      </c>
      <c r="F897" t="s">
        <v>17</v>
      </c>
      <c r="G897">
        <v>19.100000000000001</v>
      </c>
      <c r="H897">
        <v>52</v>
      </c>
      <c r="I897" t="s">
        <v>18</v>
      </c>
      <c r="J897">
        <v>50</v>
      </c>
      <c r="K897">
        <v>263</v>
      </c>
      <c r="L897">
        <v>2</v>
      </c>
      <c r="M897" t="s">
        <v>19</v>
      </c>
      <c r="N897">
        <v>87.6</v>
      </c>
      <c r="O897">
        <v>123</v>
      </c>
      <c r="P897">
        <v>1</v>
      </c>
    </row>
    <row r="898" spans="1:16" x14ac:dyDescent="0.25">
      <c r="A898" s="1">
        <v>45406.748136574075</v>
      </c>
      <c r="B898" t="s">
        <v>20</v>
      </c>
      <c r="C898">
        <v>-30.420400000000001</v>
      </c>
      <c r="D898">
        <v>70.999799999999993</v>
      </c>
      <c r="E898">
        <v>286</v>
      </c>
      <c r="F898" t="s">
        <v>21</v>
      </c>
      <c r="G898">
        <v>25.1</v>
      </c>
      <c r="H898">
        <v>56.2</v>
      </c>
      <c r="I898" t="s">
        <v>18</v>
      </c>
      <c r="J898">
        <v>50</v>
      </c>
      <c r="K898">
        <v>408</v>
      </c>
      <c r="L898">
        <v>10</v>
      </c>
      <c r="M898" t="s">
        <v>27</v>
      </c>
      <c r="N898">
        <v>99.3</v>
      </c>
      <c r="O898">
        <v>148</v>
      </c>
      <c r="P898">
        <v>0</v>
      </c>
    </row>
    <row r="899" spans="1:16" x14ac:dyDescent="0.25">
      <c r="A899" s="1">
        <v>45352.856111111112</v>
      </c>
      <c r="B899" t="s">
        <v>33</v>
      </c>
      <c r="C899">
        <v>-71.527900000000002</v>
      </c>
      <c r="D899">
        <v>-171.94280000000001</v>
      </c>
      <c r="E899">
        <v>396</v>
      </c>
      <c r="F899" t="s">
        <v>21</v>
      </c>
      <c r="G899">
        <v>23</v>
      </c>
      <c r="H899">
        <v>61.1</v>
      </c>
      <c r="I899" t="s">
        <v>28</v>
      </c>
      <c r="J899">
        <v>14</v>
      </c>
      <c r="K899">
        <v>439</v>
      </c>
      <c r="L899">
        <v>8</v>
      </c>
      <c r="M899" t="s">
        <v>19</v>
      </c>
      <c r="N899">
        <v>91.9</v>
      </c>
      <c r="O899">
        <v>119</v>
      </c>
      <c r="P899">
        <v>0</v>
      </c>
    </row>
    <row r="900" spans="1:16" x14ac:dyDescent="0.25">
      <c r="A900" s="1">
        <v>45345.778182870374</v>
      </c>
      <c r="B900" t="s">
        <v>35</v>
      </c>
      <c r="C900">
        <v>-53.249200000000002</v>
      </c>
      <c r="D900">
        <v>-17.117999999999999</v>
      </c>
      <c r="E900">
        <v>352</v>
      </c>
      <c r="F900" t="s">
        <v>26</v>
      </c>
      <c r="G900">
        <v>26.6</v>
      </c>
      <c r="H900">
        <v>70.3</v>
      </c>
      <c r="I900" t="s">
        <v>18</v>
      </c>
      <c r="J900">
        <v>12</v>
      </c>
      <c r="K900">
        <v>260</v>
      </c>
      <c r="L900">
        <v>7</v>
      </c>
      <c r="M900" t="s">
        <v>27</v>
      </c>
      <c r="N900">
        <v>77.400000000000006</v>
      </c>
      <c r="O900">
        <v>267</v>
      </c>
      <c r="P900">
        <v>0</v>
      </c>
    </row>
    <row r="901" spans="1:16" x14ac:dyDescent="0.25">
      <c r="A901" s="1">
        <v>45560.218495370369</v>
      </c>
      <c r="B901" t="s">
        <v>16</v>
      </c>
      <c r="C901">
        <v>-30.807600000000001</v>
      </c>
      <c r="D901">
        <v>-167.47559999999999</v>
      </c>
      <c r="E901">
        <v>410</v>
      </c>
      <c r="F901" t="s">
        <v>26</v>
      </c>
      <c r="G901">
        <v>28.4</v>
      </c>
      <c r="H901">
        <v>52.7</v>
      </c>
      <c r="I901" t="s">
        <v>18</v>
      </c>
      <c r="J901">
        <v>48</v>
      </c>
      <c r="K901">
        <v>352</v>
      </c>
      <c r="L901">
        <v>8</v>
      </c>
      <c r="M901" t="s">
        <v>23</v>
      </c>
      <c r="N901">
        <v>95.5</v>
      </c>
      <c r="O901">
        <v>213</v>
      </c>
      <c r="P901">
        <v>0</v>
      </c>
    </row>
    <row r="902" spans="1:16" x14ac:dyDescent="0.25">
      <c r="A902" s="1">
        <v>45360.799363425926</v>
      </c>
      <c r="B902" t="s">
        <v>24</v>
      </c>
      <c r="C902">
        <v>-44.764000000000003</v>
      </c>
      <c r="D902">
        <v>-118.3579</v>
      </c>
      <c r="E902">
        <v>484</v>
      </c>
      <c r="F902" t="s">
        <v>17</v>
      </c>
      <c r="G902">
        <v>22.8</v>
      </c>
      <c r="H902">
        <v>53.7</v>
      </c>
      <c r="I902" t="s">
        <v>28</v>
      </c>
      <c r="J902">
        <v>18</v>
      </c>
      <c r="K902">
        <v>176</v>
      </c>
      <c r="L902">
        <v>4</v>
      </c>
      <c r="M902" t="s">
        <v>23</v>
      </c>
      <c r="N902">
        <v>73.7</v>
      </c>
      <c r="O902">
        <v>131</v>
      </c>
      <c r="P902">
        <v>1</v>
      </c>
    </row>
    <row r="903" spans="1:16" x14ac:dyDescent="0.25">
      <c r="A903" s="1">
        <v>45320.621493055558</v>
      </c>
      <c r="B903" t="s">
        <v>35</v>
      </c>
      <c r="C903">
        <v>47.574300000000001</v>
      </c>
      <c r="D903">
        <v>144.99799999999999</v>
      </c>
      <c r="E903">
        <v>152</v>
      </c>
      <c r="F903" t="s">
        <v>21</v>
      </c>
      <c r="G903">
        <v>18.7</v>
      </c>
      <c r="H903">
        <v>68.599999999999994</v>
      </c>
      <c r="I903" t="s">
        <v>28</v>
      </c>
      <c r="J903">
        <v>51</v>
      </c>
      <c r="K903">
        <v>483</v>
      </c>
      <c r="L903">
        <v>2</v>
      </c>
      <c r="M903" t="s">
        <v>23</v>
      </c>
      <c r="N903">
        <v>87.8</v>
      </c>
      <c r="O903">
        <v>163</v>
      </c>
      <c r="P903">
        <v>0</v>
      </c>
    </row>
    <row r="904" spans="1:16" x14ac:dyDescent="0.25">
      <c r="A904" s="1">
        <v>45572.745775462965</v>
      </c>
      <c r="B904" t="s">
        <v>34</v>
      </c>
      <c r="C904">
        <v>-23.2761</v>
      </c>
      <c r="D904">
        <v>-88.069599999999994</v>
      </c>
      <c r="E904">
        <v>329</v>
      </c>
      <c r="F904" t="s">
        <v>26</v>
      </c>
      <c r="G904">
        <v>27.3</v>
      </c>
      <c r="H904">
        <v>68.400000000000006</v>
      </c>
      <c r="I904" t="s">
        <v>18</v>
      </c>
      <c r="J904">
        <v>57</v>
      </c>
      <c r="K904">
        <v>418</v>
      </c>
      <c r="L904">
        <v>1</v>
      </c>
      <c r="M904" t="s">
        <v>27</v>
      </c>
      <c r="N904">
        <v>90</v>
      </c>
      <c r="O904">
        <v>101</v>
      </c>
      <c r="P904">
        <v>0</v>
      </c>
    </row>
    <row r="905" spans="1:16" x14ac:dyDescent="0.25">
      <c r="A905" s="1">
        <v>45582.641504629632</v>
      </c>
      <c r="B905" t="s">
        <v>33</v>
      </c>
      <c r="C905">
        <v>-18.829499999999999</v>
      </c>
      <c r="D905">
        <v>76.864500000000007</v>
      </c>
      <c r="E905">
        <v>314</v>
      </c>
      <c r="F905" t="s">
        <v>17</v>
      </c>
      <c r="G905">
        <v>23.8</v>
      </c>
      <c r="H905">
        <v>63.7</v>
      </c>
      <c r="I905" t="s">
        <v>18</v>
      </c>
      <c r="J905">
        <v>41</v>
      </c>
      <c r="K905">
        <v>117</v>
      </c>
      <c r="L905">
        <v>8</v>
      </c>
      <c r="M905" t="s">
        <v>19</v>
      </c>
      <c r="N905">
        <v>69.5</v>
      </c>
      <c r="O905">
        <v>147</v>
      </c>
      <c r="P905">
        <v>1</v>
      </c>
    </row>
    <row r="906" spans="1:16" x14ac:dyDescent="0.25">
      <c r="A906" s="1">
        <v>45321.040752314817</v>
      </c>
      <c r="B906" t="s">
        <v>33</v>
      </c>
      <c r="C906">
        <v>58.319699999999997</v>
      </c>
      <c r="D906">
        <v>6.9800000000000001E-2</v>
      </c>
      <c r="E906">
        <v>121</v>
      </c>
      <c r="F906" t="s">
        <v>21</v>
      </c>
      <c r="G906">
        <v>27.2</v>
      </c>
      <c r="H906">
        <v>71.099999999999994</v>
      </c>
      <c r="I906" t="s">
        <v>18</v>
      </c>
      <c r="J906">
        <v>44</v>
      </c>
      <c r="K906">
        <v>340</v>
      </c>
      <c r="L906">
        <v>8</v>
      </c>
      <c r="M906" t="s">
        <v>19</v>
      </c>
      <c r="N906">
        <v>74.599999999999994</v>
      </c>
      <c r="O906">
        <v>286</v>
      </c>
      <c r="P906">
        <v>0</v>
      </c>
    </row>
    <row r="907" spans="1:16" x14ac:dyDescent="0.25">
      <c r="A907" s="1">
        <v>45519.336377314816</v>
      </c>
      <c r="B907" t="s">
        <v>35</v>
      </c>
      <c r="C907">
        <v>-84.878799999999998</v>
      </c>
      <c r="D907">
        <v>-37.260899999999999</v>
      </c>
      <c r="E907">
        <v>428</v>
      </c>
      <c r="F907" t="s">
        <v>26</v>
      </c>
      <c r="G907">
        <v>24.1</v>
      </c>
      <c r="H907">
        <v>58.4</v>
      </c>
      <c r="I907" t="s">
        <v>18</v>
      </c>
      <c r="J907">
        <v>11</v>
      </c>
      <c r="K907">
        <v>111</v>
      </c>
      <c r="L907">
        <v>6</v>
      </c>
      <c r="M907" t="s">
        <v>23</v>
      </c>
      <c r="N907">
        <v>81.099999999999994</v>
      </c>
      <c r="O907">
        <v>111</v>
      </c>
      <c r="P907">
        <v>0</v>
      </c>
    </row>
    <row r="908" spans="1:16" x14ac:dyDescent="0.25">
      <c r="A908" s="1">
        <v>45328.376134259262</v>
      </c>
      <c r="B908" t="s">
        <v>24</v>
      </c>
      <c r="C908">
        <v>28.387</v>
      </c>
      <c r="D908">
        <v>33.482700000000001</v>
      </c>
      <c r="E908">
        <v>113</v>
      </c>
      <c r="F908" t="s">
        <v>21</v>
      </c>
      <c r="G908">
        <v>23</v>
      </c>
      <c r="H908">
        <v>73.400000000000006</v>
      </c>
      <c r="I908" t="s">
        <v>18</v>
      </c>
      <c r="J908">
        <v>50</v>
      </c>
      <c r="K908">
        <v>309</v>
      </c>
      <c r="L908">
        <v>8</v>
      </c>
      <c r="M908" t="s">
        <v>27</v>
      </c>
      <c r="N908">
        <v>71.7</v>
      </c>
      <c r="O908">
        <v>293</v>
      </c>
      <c r="P908">
        <v>0</v>
      </c>
    </row>
    <row r="909" spans="1:16" x14ac:dyDescent="0.25">
      <c r="A909" s="1">
        <v>45299.610879629632</v>
      </c>
      <c r="B909" t="s">
        <v>16</v>
      </c>
      <c r="C909">
        <v>87.018000000000001</v>
      </c>
      <c r="D909">
        <v>-27.305299999999999</v>
      </c>
      <c r="E909">
        <v>201</v>
      </c>
      <c r="F909" t="s">
        <v>17</v>
      </c>
      <c r="G909">
        <v>27.9</v>
      </c>
      <c r="H909">
        <v>64.400000000000006</v>
      </c>
      <c r="I909" t="s">
        <v>28</v>
      </c>
      <c r="J909">
        <v>30</v>
      </c>
      <c r="K909">
        <v>198</v>
      </c>
      <c r="L909">
        <v>7</v>
      </c>
      <c r="M909" t="s">
        <v>23</v>
      </c>
      <c r="N909">
        <v>93.9</v>
      </c>
      <c r="O909">
        <v>276</v>
      </c>
      <c r="P909">
        <v>1</v>
      </c>
    </row>
    <row r="910" spans="1:16" x14ac:dyDescent="0.25">
      <c r="A910" s="1">
        <v>45393.250648148147</v>
      </c>
      <c r="B910" t="s">
        <v>32</v>
      </c>
      <c r="C910">
        <v>-9.7508999999999997</v>
      </c>
      <c r="D910">
        <v>-86.298100000000005</v>
      </c>
      <c r="E910">
        <v>227</v>
      </c>
      <c r="F910" t="s">
        <v>17</v>
      </c>
      <c r="G910">
        <v>28.3</v>
      </c>
      <c r="H910">
        <v>62.8</v>
      </c>
      <c r="I910" t="s">
        <v>18</v>
      </c>
      <c r="J910">
        <v>30</v>
      </c>
      <c r="K910">
        <v>400</v>
      </c>
      <c r="L910">
        <v>4</v>
      </c>
      <c r="M910" t="s">
        <v>27</v>
      </c>
      <c r="N910">
        <v>68.2</v>
      </c>
      <c r="O910">
        <v>194</v>
      </c>
      <c r="P910">
        <v>1</v>
      </c>
    </row>
    <row r="911" spans="1:16" x14ac:dyDescent="0.25">
      <c r="A911" s="1">
        <v>45371.897557870368</v>
      </c>
      <c r="B911" t="s">
        <v>30</v>
      </c>
      <c r="C911">
        <v>79.821200000000005</v>
      </c>
      <c r="D911">
        <v>-21.697500000000002</v>
      </c>
      <c r="E911">
        <v>445</v>
      </c>
      <c r="F911" t="s">
        <v>26</v>
      </c>
      <c r="G911">
        <v>25.3</v>
      </c>
      <c r="H911">
        <v>57.9</v>
      </c>
      <c r="I911" t="s">
        <v>18</v>
      </c>
      <c r="J911">
        <v>38</v>
      </c>
      <c r="K911">
        <v>364</v>
      </c>
      <c r="L911">
        <v>1</v>
      </c>
      <c r="M911" t="s">
        <v>27</v>
      </c>
      <c r="N911">
        <v>93.6</v>
      </c>
      <c r="O911">
        <v>275</v>
      </c>
      <c r="P911">
        <v>0</v>
      </c>
    </row>
    <row r="912" spans="1:16" x14ac:dyDescent="0.25">
      <c r="A912" s="1">
        <v>45411.438287037039</v>
      </c>
      <c r="B912" t="s">
        <v>30</v>
      </c>
      <c r="C912">
        <v>33.002699999999997</v>
      </c>
      <c r="D912">
        <v>-70.585400000000007</v>
      </c>
      <c r="E912">
        <v>407</v>
      </c>
      <c r="F912" t="s">
        <v>21</v>
      </c>
      <c r="G912">
        <v>29.6</v>
      </c>
      <c r="H912">
        <v>64.3</v>
      </c>
      <c r="I912" t="s">
        <v>22</v>
      </c>
      <c r="J912">
        <v>10</v>
      </c>
      <c r="K912">
        <v>102</v>
      </c>
      <c r="L912">
        <v>6</v>
      </c>
      <c r="M912" t="s">
        <v>19</v>
      </c>
      <c r="N912">
        <v>98.5</v>
      </c>
      <c r="O912">
        <v>133</v>
      </c>
      <c r="P912">
        <v>1</v>
      </c>
    </row>
    <row r="913" spans="1:16" x14ac:dyDescent="0.25">
      <c r="A913" s="1">
        <v>45646.466990740744</v>
      </c>
      <c r="B913" t="s">
        <v>32</v>
      </c>
      <c r="C913">
        <v>-12.452</v>
      </c>
      <c r="D913">
        <v>-174.33969999999999</v>
      </c>
      <c r="E913">
        <v>135</v>
      </c>
      <c r="F913" t="s">
        <v>21</v>
      </c>
      <c r="G913">
        <v>22.9</v>
      </c>
      <c r="H913">
        <v>60.9</v>
      </c>
      <c r="I913" t="s">
        <v>22</v>
      </c>
      <c r="J913">
        <v>42</v>
      </c>
      <c r="K913">
        <v>379</v>
      </c>
      <c r="L913">
        <v>8</v>
      </c>
      <c r="M913" t="s">
        <v>27</v>
      </c>
      <c r="N913">
        <v>93.2</v>
      </c>
      <c r="O913">
        <v>159</v>
      </c>
      <c r="P913">
        <v>1</v>
      </c>
    </row>
    <row r="914" spans="1:16" x14ac:dyDescent="0.25">
      <c r="A914" s="1">
        <v>45478.78806712963</v>
      </c>
      <c r="B914" t="s">
        <v>35</v>
      </c>
      <c r="C914">
        <v>-19.617100000000001</v>
      </c>
      <c r="D914">
        <v>-163.0539</v>
      </c>
      <c r="E914">
        <v>160</v>
      </c>
      <c r="F914" t="s">
        <v>26</v>
      </c>
      <c r="G914">
        <v>22.3</v>
      </c>
      <c r="H914">
        <v>69.7</v>
      </c>
      <c r="I914" t="s">
        <v>18</v>
      </c>
      <c r="J914">
        <v>37</v>
      </c>
      <c r="K914">
        <v>255</v>
      </c>
      <c r="L914">
        <v>7</v>
      </c>
      <c r="M914" t="s">
        <v>27</v>
      </c>
      <c r="N914">
        <v>66.8</v>
      </c>
      <c r="O914">
        <v>170</v>
      </c>
      <c r="P914">
        <v>0</v>
      </c>
    </row>
    <row r="915" spans="1:16" x14ac:dyDescent="0.25">
      <c r="A915" s="1">
        <v>45349.068807870368</v>
      </c>
      <c r="B915" t="s">
        <v>34</v>
      </c>
      <c r="C915">
        <v>13.793900000000001</v>
      </c>
      <c r="D915">
        <v>25.2973</v>
      </c>
      <c r="E915">
        <v>472</v>
      </c>
      <c r="F915" t="s">
        <v>21</v>
      </c>
      <c r="G915">
        <v>22.7</v>
      </c>
      <c r="H915">
        <v>53</v>
      </c>
      <c r="I915" t="s">
        <v>22</v>
      </c>
      <c r="J915">
        <v>30</v>
      </c>
      <c r="K915">
        <v>389</v>
      </c>
      <c r="L915">
        <v>6</v>
      </c>
      <c r="M915" t="s">
        <v>23</v>
      </c>
      <c r="N915">
        <v>86.8</v>
      </c>
      <c r="O915">
        <v>232</v>
      </c>
      <c r="P915">
        <v>1</v>
      </c>
    </row>
    <row r="916" spans="1:16" x14ac:dyDescent="0.25">
      <c r="A916" s="1">
        <v>45576.816886574074</v>
      </c>
      <c r="B916" t="s">
        <v>24</v>
      </c>
      <c r="C916">
        <v>-46.8643</v>
      </c>
      <c r="D916">
        <v>158.72929999999999</v>
      </c>
      <c r="E916">
        <v>408</v>
      </c>
      <c r="F916" t="s">
        <v>21</v>
      </c>
      <c r="G916">
        <v>19.5</v>
      </c>
      <c r="H916">
        <v>65.2</v>
      </c>
      <c r="I916" t="s">
        <v>18</v>
      </c>
      <c r="J916">
        <v>25</v>
      </c>
      <c r="K916">
        <v>230</v>
      </c>
      <c r="L916">
        <v>3</v>
      </c>
      <c r="M916" t="s">
        <v>27</v>
      </c>
      <c r="N916">
        <v>61.9</v>
      </c>
      <c r="O916">
        <v>245</v>
      </c>
      <c r="P916">
        <v>0</v>
      </c>
    </row>
    <row r="917" spans="1:16" x14ac:dyDescent="0.25">
      <c r="A917" s="1">
        <v>45654.433067129627</v>
      </c>
      <c r="B917" t="s">
        <v>29</v>
      </c>
      <c r="C917">
        <v>-35.245199999999997</v>
      </c>
      <c r="D917">
        <v>78.254400000000004</v>
      </c>
      <c r="E917">
        <v>306</v>
      </c>
      <c r="F917" t="s">
        <v>17</v>
      </c>
      <c r="G917">
        <v>26.1</v>
      </c>
      <c r="H917">
        <v>74.8</v>
      </c>
      <c r="I917" t="s">
        <v>22</v>
      </c>
      <c r="J917">
        <v>37</v>
      </c>
      <c r="K917">
        <v>232</v>
      </c>
      <c r="L917">
        <v>7</v>
      </c>
      <c r="M917" t="s">
        <v>19</v>
      </c>
      <c r="N917">
        <v>77.099999999999994</v>
      </c>
      <c r="O917">
        <v>289</v>
      </c>
      <c r="P917">
        <v>1</v>
      </c>
    </row>
    <row r="918" spans="1:16" x14ac:dyDescent="0.25">
      <c r="A918" s="1">
        <v>45319.096435185187</v>
      </c>
      <c r="B918" t="s">
        <v>33</v>
      </c>
      <c r="C918">
        <v>17.544799999999999</v>
      </c>
      <c r="D918">
        <v>-68.5291</v>
      </c>
      <c r="E918">
        <v>107</v>
      </c>
      <c r="F918" t="s">
        <v>21</v>
      </c>
      <c r="G918">
        <v>28.6</v>
      </c>
      <c r="H918">
        <v>54.6</v>
      </c>
      <c r="I918" t="s">
        <v>18</v>
      </c>
      <c r="J918">
        <v>52</v>
      </c>
      <c r="K918">
        <v>180</v>
      </c>
      <c r="L918">
        <v>1</v>
      </c>
      <c r="M918" t="s">
        <v>27</v>
      </c>
      <c r="N918">
        <v>89.8</v>
      </c>
      <c r="O918">
        <v>194</v>
      </c>
      <c r="P918">
        <v>0</v>
      </c>
    </row>
    <row r="919" spans="1:16" x14ac:dyDescent="0.25">
      <c r="A919" s="1">
        <v>45576.22997685185</v>
      </c>
      <c r="B919" t="s">
        <v>30</v>
      </c>
      <c r="C919">
        <v>-87.140799999999999</v>
      </c>
      <c r="D919">
        <v>-147.3922</v>
      </c>
      <c r="E919">
        <v>155</v>
      </c>
      <c r="F919" t="s">
        <v>26</v>
      </c>
      <c r="G919">
        <v>26.9</v>
      </c>
      <c r="H919">
        <v>75</v>
      </c>
      <c r="I919" t="s">
        <v>18</v>
      </c>
      <c r="J919">
        <v>25</v>
      </c>
      <c r="K919">
        <v>446</v>
      </c>
      <c r="L919">
        <v>5</v>
      </c>
      <c r="M919" t="s">
        <v>31</v>
      </c>
      <c r="N919">
        <v>96.8</v>
      </c>
      <c r="O919">
        <v>176</v>
      </c>
      <c r="P919">
        <v>0</v>
      </c>
    </row>
    <row r="920" spans="1:16" x14ac:dyDescent="0.25">
      <c r="A920" s="1">
        <v>45572.572824074072</v>
      </c>
      <c r="B920" t="s">
        <v>24</v>
      </c>
      <c r="C920">
        <v>-73.549800000000005</v>
      </c>
      <c r="D920">
        <v>115.02679999999999</v>
      </c>
      <c r="E920">
        <v>414</v>
      </c>
      <c r="F920" t="s">
        <v>26</v>
      </c>
      <c r="G920">
        <v>26.8</v>
      </c>
      <c r="H920">
        <v>73.900000000000006</v>
      </c>
      <c r="I920" t="s">
        <v>22</v>
      </c>
      <c r="J920">
        <v>14</v>
      </c>
      <c r="K920">
        <v>130</v>
      </c>
      <c r="L920">
        <v>1</v>
      </c>
      <c r="M920" t="s">
        <v>31</v>
      </c>
      <c r="N920">
        <v>86.9</v>
      </c>
      <c r="O920">
        <v>267</v>
      </c>
      <c r="P920">
        <v>1</v>
      </c>
    </row>
    <row r="921" spans="1:16" x14ac:dyDescent="0.25">
      <c r="A921" s="1">
        <v>45450.442754629628</v>
      </c>
      <c r="B921" t="s">
        <v>34</v>
      </c>
      <c r="C921">
        <v>75.222999999999999</v>
      </c>
      <c r="D921">
        <v>158.86019999999999</v>
      </c>
      <c r="E921">
        <v>177</v>
      </c>
      <c r="F921" t="s">
        <v>17</v>
      </c>
      <c r="G921">
        <v>19.899999999999999</v>
      </c>
      <c r="H921">
        <v>58.4</v>
      </c>
      <c r="I921" t="s">
        <v>28</v>
      </c>
      <c r="J921">
        <v>57</v>
      </c>
      <c r="K921">
        <v>335</v>
      </c>
      <c r="L921">
        <v>5</v>
      </c>
      <c r="M921" t="s">
        <v>23</v>
      </c>
      <c r="N921">
        <v>98.6</v>
      </c>
      <c r="O921">
        <v>283</v>
      </c>
      <c r="P921">
        <v>1</v>
      </c>
    </row>
    <row r="922" spans="1:16" x14ac:dyDescent="0.25">
      <c r="A922" s="1">
        <v>45646.177141203705</v>
      </c>
      <c r="B922" t="s">
        <v>25</v>
      </c>
      <c r="C922">
        <v>-40.826700000000002</v>
      </c>
      <c r="D922">
        <v>51.467300000000002</v>
      </c>
      <c r="E922">
        <v>118</v>
      </c>
      <c r="F922" t="s">
        <v>26</v>
      </c>
      <c r="G922">
        <v>26.8</v>
      </c>
      <c r="H922">
        <v>65.400000000000006</v>
      </c>
      <c r="I922" t="s">
        <v>18</v>
      </c>
      <c r="J922">
        <v>21</v>
      </c>
      <c r="K922">
        <v>475</v>
      </c>
      <c r="L922">
        <v>1</v>
      </c>
      <c r="M922" t="s">
        <v>31</v>
      </c>
      <c r="N922">
        <v>96.9</v>
      </c>
      <c r="O922">
        <v>165</v>
      </c>
      <c r="P922">
        <v>0</v>
      </c>
    </row>
    <row r="923" spans="1:16" x14ac:dyDescent="0.25">
      <c r="A923" s="1">
        <v>45333.878738425927</v>
      </c>
      <c r="B923" t="s">
        <v>35</v>
      </c>
      <c r="C923">
        <v>-80.212900000000005</v>
      </c>
      <c r="D923">
        <v>116.4288</v>
      </c>
      <c r="E923">
        <v>438</v>
      </c>
      <c r="F923" t="s">
        <v>21</v>
      </c>
      <c r="G923">
        <v>25</v>
      </c>
      <c r="H923">
        <v>65.2</v>
      </c>
      <c r="I923" t="s">
        <v>18</v>
      </c>
      <c r="J923">
        <v>49</v>
      </c>
      <c r="K923">
        <v>421</v>
      </c>
      <c r="L923">
        <v>3</v>
      </c>
      <c r="M923" t="s">
        <v>19</v>
      </c>
      <c r="N923">
        <v>82.4</v>
      </c>
      <c r="O923">
        <v>273</v>
      </c>
      <c r="P923">
        <v>0</v>
      </c>
    </row>
    <row r="924" spans="1:16" x14ac:dyDescent="0.25">
      <c r="A924" s="1">
        <v>45344.838738425926</v>
      </c>
      <c r="B924" t="s">
        <v>35</v>
      </c>
      <c r="C924">
        <v>18.760999999999999</v>
      </c>
      <c r="D924">
        <v>139.95660000000001</v>
      </c>
      <c r="E924">
        <v>154</v>
      </c>
      <c r="F924" t="s">
        <v>17</v>
      </c>
      <c r="G924">
        <v>26.8</v>
      </c>
      <c r="H924">
        <v>56</v>
      </c>
      <c r="I924" t="s">
        <v>28</v>
      </c>
      <c r="J924">
        <v>13</v>
      </c>
      <c r="K924">
        <v>413</v>
      </c>
      <c r="L924">
        <v>8</v>
      </c>
      <c r="M924" t="s">
        <v>27</v>
      </c>
      <c r="N924">
        <v>73.8</v>
      </c>
      <c r="O924">
        <v>220</v>
      </c>
      <c r="P924">
        <v>1</v>
      </c>
    </row>
    <row r="925" spans="1:16" x14ac:dyDescent="0.25">
      <c r="A925" s="1">
        <v>45437.348749999997</v>
      </c>
      <c r="B925" t="s">
        <v>32</v>
      </c>
      <c r="C925">
        <v>9.1346000000000007</v>
      </c>
      <c r="D925">
        <v>9.0052000000000003</v>
      </c>
      <c r="E925">
        <v>320</v>
      </c>
      <c r="F925" t="s">
        <v>21</v>
      </c>
      <c r="G925">
        <v>24.3</v>
      </c>
      <c r="H925">
        <v>77</v>
      </c>
      <c r="I925" t="s">
        <v>28</v>
      </c>
      <c r="J925">
        <v>56</v>
      </c>
      <c r="K925">
        <v>410</v>
      </c>
      <c r="L925">
        <v>3</v>
      </c>
      <c r="M925" t="s">
        <v>27</v>
      </c>
      <c r="N925">
        <v>73.400000000000006</v>
      </c>
      <c r="O925">
        <v>141</v>
      </c>
      <c r="P925">
        <v>0</v>
      </c>
    </row>
    <row r="926" spans="1:16" x14ac:dyDescent="0.25">
      <c r="A926" s="1">
        <v>45476.514594907407</v>
      </c>
      <c r="B926" t="s">
        <v>35</v>
      </c>
      <c r="C926">
        <v>-28.694199999999999</v>
      </c>
      <c r="D926">
        <v>-75.424400000000006</v>
      </c>
      <c r="E926">
        <v>402</v>
      </c>
      <c r="F926" t="s">
        <v>17</v>
      </c>
      <c r="G926">
        <v>20.3</v>
      </c>
      <c r="H926">
        <v>56.6</v>
      </c>
      <c r="I926" t="s">
        <v>18</v>
      </c>
      <c r="J926">
        <v>52</v>
      </c>
      <c r="K926">
        <v>149</v>
      </c>
      <c r="L926">
        <v>4</v>
      </c>
      <c r="M926" t="s">
        <v>23</v>
      </c>
      <c r="N926">
        <v>82.6</v>
      </c>
      <c r="O926">
        <v>158</v>
      </c>
      <c r="P926">
        <v>1</v>
      </c>
    </row>
    <row r="927" spans="1:16" x14ac:dyDescent="0.25">
      <c r="A927" s="1">
        <v>45319.975590277776</v>
      </c>
      <c r="B927" t="s">
        <v>16</v>
      </c>
      <c r="C927">
        <v>23.959199999999999</v>
      </c>
      <c r="D927">
        <v>-88.760199999999998</v>
      </c>
      <c r="E927">
        <v>443</v>
      </c>
      <c r="F927" t="s">
        <v>26</v>
      </c>
      <c r="G927">
        <v>18.899999999999999</v>
      </c>
      <c r="H927">
        <v>68.8</v>
      </c>
      <c r="I927" t="s">
        <v>28</v>
      </c>
      <c r="J927">
        <v>36</v>
      </c>
      <c r="K927">
        <v>159</v>
      </c>
      <c r="L927">
        <v>2</v>
      </c>
      <c r="M927" t="s">
        <v>23</v>
      </c>
      <c r="N927">
        <v>86.3</v>
      </c>
      <c r="O927">
        <v>171</v>
      </c>
      <c r="P927">
        <v>0</v>
      </c>
    </row>
    <row r="928" spans="1:16" x14ac:dyDescent="0.25">
      <c r="A928" s="1">
        <v>45453.375092592592</v>
      </c>
      <c r="B928" t="s">
        <v>16</v>
      </c>
      <c r="C928">
        <v>68.154499999999999</v>
      </c>
      <c r="D928">
        <v>43.800699999999999</v>
      </c>
      <c r="E928">
        <v>246</v>
      </c>
      <c r="F928" t="s">
        <v>21</v>
      </c>
      <c r="G928">
        <v>22</v>
      </c>
      <c r="H928">
        <v>58.1</v>
      </c>
      <c r="I928" t="s">
        <v>22</v>
      </c>
      <c r="J928">
        <v>54</v>
      </c>
      <c r="K928">
        <v>128</v>
      </c>
      <c r="L928">
        <v>7</v>
      </c>
      <c r="M928" t="s">
        <v>27</v>
      </c>
      <c r="N928">
        <v>61</v>
      </c>
      <c r="O928">
        <v>265</v>
      </c>
      <c r="P928">
        <v>1</v>
      </c>
    </row>
    <row r="929" spans="1:16" x14ac:dyDescent="0.25">
      <c r="A929" s="1">
        <v>45359.967465277776</v>
      </c>
      <c r="B929" t="s">
        <v>25</v>
      </c>
      <c r="C929">
        <v>76.035799999999995</v>
      </c>
      <c r="D929">
        <v>53.042999999999999</v>
      </c>
      <c r="E929">
        <v>146</v>
      </c>
      <c r="F929" t="s">
        <v>21</v>
      </c>
      <c r="G929">
        <v>20.7</v>
      </c>
      <c r="H929">
        <v>50.6</v>
      </c>
      <c r="I929" t="s">
        <v>28</v>
      </c>
      <c r="J929">
        <v>28</v>
      </c>
      <c r="K929">
        <v>201</v>
      </c>
      <c r="L929">
        <v>10</v>
      </c>
      <c r="M929" t="s">
        <v>23</v>
      </c>
      <c r="N929">
        <v>75.900000000000006</v>
      </c>
      <c r="O929">
        <v>178</v>
      </c>
      <c r="P929">
        <v>0</v>
      </c>
    </row>
    <row r="930" spans="1:16" x14ac:dyDescent="0.25">
      <c r="A930" s="1">
        <v>45500.425798611112</v>
      </c>
      <c r="B930" t="s">
        <v>35</v>
      </c>
      <c r="C930">
        <v>-30.0307</v>
      </c>
      <c r="D930">
        <v>157.14420000000001</v>
      </c>
      <c r="E930">
        <v>108</v>
      </c>
      <c r="F930" t="s">
        <v>26</v>
      </c>
      <c r="G930">
        <v>23</v>
      </c>
      <c r="H930">
        <v>73.400000000000006</v>
      </c>
      <c r="I930" t="s">
        <v>28</v>
      </c>
      <c r="J930">
        <v>13</v>
      </c>
      <c r="K930">
        <v>324</v>
      </c>
      <c r="L930">
        <v>2</v>
      </c>
      <c r="M930" t="s">
        <v>31</v>
      </c>
      <c r="N930">
        <v>77.900000000000006</v>
      </c>
      <c r="O930">
        <v>233</v>
      </c>
      <c r="P930">
        <v>0</v>
      </c>
    </row>
    <row r="931" spans="1:16" x14ac:dyDescent="0.25">
      <c r="A931" s="1">
        <v>45545.820625</v>
      </c>
      <c r="B931" t="s">
        <v>35</v>
      </c>
      <c r="C931">
        <v>-79.258399999999995</v>
      </c>
      <c r="D931">
        <v>125.5026</v>
      </c>
      <c r="E931">
        <v>152</v>
      </c>
      <c r="F931" t="s">
        <v>26</v>
      </c>
      <c r="G931">
        <v>22.8</v>
      </c>
      <c r="H931">
        <v>65.2</v>
      </c>
      <c r="I931" t="s">
        <v>22</v>
      </c>
      <c r="J931">
        <v>33</v>
      </c>
      <c r="K931">
        <v>386</v>
      </c>
      <c r="L931">
        <v>4</v>
      </c>
      <c r="M931" t="s">
        <v>23</v>
      </c>
      <c r="N931">
        <v>63.3</v>
      </c>
      <c r="O931">
        <v>227</v>
      </c>
      <c r="P931">
        <v>1</v>
      </c>
    </row>
    <row r="932" spans="1:16" x14ac:dyDescent="0.25">
      <c r="A932" s="1">
        <v>45409.128101851849</v>
      </c>
      <c r="B932" t="s">
        <v>24</v>
      </c>
      <c r="C932">
        <v>-86.660600000000002</v>
      </c>
      <c r="D932">
        <v>29.678599999999999</v>
      </c>
      <c r="E932">
        <v>361</v>
      </c>
      <c r="F932" t="s">
        <v>17</v>
      </c>
      <c r="G932">
        <v>29.7</v>
      </c>
      <c r="H932">
        <v>62.2</v>
      </c>
      <c r="I932" t="s">
        <v>18</v>
      </c>
      <c r="J932">
        <v>35</v>
      </c>
      <c r="K932">
        <v>131</v>
      </c>
      <c r="L932">
        <v>9</v>
      </c>
      <c r="M932" t="s">
        <v>19</v>
      </c>
      <c r="N932">
        <v>61.8</v>
      </c>
      <c r="O932">
        <v>253</v>
      </c>
      <c r="P932">
        <v>1</v>
      </c>
    </row>
    <row r="933" spans="1:16" x14ac:dyDescent="0.25">
      <c r="A933" s="1">
        <v>45404.949837962966</v>
      </c>
      <c r="B933" t="s">
        <v>30</v>
      </c>
      <c r="C933">
        <v>-60.097499999999997</v>
      </c>
      <c r="D933">
        <v>-13.751799999999999</v>
      </c>
      <c r="E933">
        <v>495</v>
      </c>
      <c r="F933" t="s">
        <v>21</v>
      </c>
      <c r="G933">
        <v>23.8</v>
      </c>
      <c r="H933">
        <v>69.8</v>
      </c>
      <c r="I933" t="s">
        <v>22</v>
      </c>
      <c r="J933">
        <v>22</v>
      </c>
      <c r="K933">
        <v>487</v>
      </c>
      <c r="L933">
        <v>9</v>
      </c>
      <c r="M933" t="s">
        <v>23</v>
      </c>
      <c r="N933">
        <v>86.1</v>
      </c>
      <c r="O933">
        <v>108</v>
      </c>
      <c r="P933">
        <v>1</v>
      </c>
    </row>
    <row r="934" spans="1:16" x14ac:dyDescent="0.25">
      <c r="A934" s="1">
        <v>45300.146458333336</v>
      </c>
      <c r="B934" t="s">
        <v>34</v>
      </c>
      <c r="C934">
        <v>50.475000000000001</v>
      </c>
      <c r="D934">
        <v>-168.8578</v>
      </c>
      <c r="E934">
        <v>187</v>
      </c>
      <c r="F934" t="s">
        <v>21</v>
      </c>
      <c r="G934">
        <v>24.5</v>
      </c>
      <c r="H934">
        <v>73.099999999999994</v>
      </c>
      <c r="I934" t="s">
        <v>28</v>
      </c>
      <c r="J934">
        <v>23</v>
      </c>
      <c r="K934">
        <v>382</v>
      </c>
      <c r="L934">
        <v>7</v>
      </c>
      <c r="M934" t="s">
        <v>23</v>
      </c>
      <c r="N934">
        <v>67.400000000000006</v>
      </c>
      <c r="O934">
        <v>149</v>
      </c>
      <c r="P934">
        <v>0</v>
      </c>
    </row>
    <row r="935" spans="1:16" x14ac:dyDescent="0.25">
      <c r="A935" s="1">
        <v>45635.39947916667</v>
      </c>
      <c r="B935" t="s">
        <v>33</v>
      </c>
      <c r="C935">
        <v>20.924399999999999</v>
      </c>
      <c r="D935">
        <v>-59.3367</v>
      </c>
      <c r="E935">
        <v>202</v>
      </c>
      <c r="F935" t="s">
        <v>17</v>
      </c>
      <c r="G935">
        <v>26.5</v>
      </c>
      <c r="H935">
        <v>77.8</v>
      </c>
      <c r="I935" t="s">
        <v>28</v>
      </c>
      <c r="J935">
        <v>31</v>
      </c>
      <c r="K935">
        <v>298</v>
      </c>
      <c r="L935">
        <v>8</v>
      </c>
      <c r="M935" t="s">
        <v>19</v>
      </c>
      <c r="N935">
        <v>60.6</v>
      </c>
      <c r="O935">
        <v>102</v>
      </c>
      <c r="P935">
        <v>1</v>
      </c>
    </row>
    <row r="936" spans="1:16" x14ac:dyDescent="0.25">
      <c r="A936" s="1">
        <v>45358.147245370368</v>
      </c>
      <c r="B936" t="s">
        <v>29</v>
      </c>
      <c r="C936">
        <v>-8.4784000000000006</v>
      </c>
      <c r="D936">
        <v>117.24939999999999</v>
      </c>
      <c r="E936">
        <v>384</v>
      </c>
      <c r="F936" t="s">
        <v>26</v>
      </c>
      <c r="G936">
        <v>24.5</v>
      </c>
      <c r="H936">
        <v>62.2</v>
      </c>
      <c r="I936" t="s">
        <v>28</v>
      </c>
      <c r="J936">
        <v>45</v>
      </c>
      <c r="K936">
        <v>418</v>
      </c>
      <c r="L936">
        <v>7</v>
      </c>
      <c r="M936" t="s">
        <v>19</v>
      </c>
      <c r="N936">
        <v>75.8</v>
      </c>
      <c r="O936">
        <v>298</v>
      </c>
      <c r="P936">
        <v>0</v>
      </c>
    </row>
    <row r="937" spans="1:16" x14ac:dyDescent="0.25">
      <c r="A937" s="1">
        <v>45508.132650462961</v>
      </c>
      <c r="B937" t="s">
        <v>32</v>
      </c>
      <c r="C937">
        <v>-30.809000000000001</v>
      </c>
      <c r="D937">
        <v>-126.7483</v>
      </c>
      <c r="E937">
        <v>486</v>
      </c>
      <c r="F937" t="s">
        <v>21</v>
      </c>
      <c r="G937">
        <v>25.8</v>
      </c>
      <c r="H937">
        <v>64.900000000000006</v>
      </c>
      <c r="I937" t="s">
        <v>28</v>
      </c>
      <c r="J937">
        <v>31</v>
      </c>
      <c r="K937">
        <v>136</v>
      </c>
      <c r="L937">
        <v>9</v>
      </c>
      <c r="M937" t="s">
        <v>27</v>
      </c>
      <c r="N937">
        <v>85.4</v>
      </c>
      <c r="O937">
        <v>178</v>
      </c>
      <c r="P937">
        <v>0</v>
      </c>
    </row>
    <row r="938" spans="1:16" x14ac:dyDescent="0.25">
      <c r="A938" s="1">
        <v>45636.776990740742</v>
      </c>
      <c r="B938" t="s">
        <v>32</v>
      </c>
      <c r="C938">
        <v>17.9831</v>
      </c>
      <c r="D938">
        <v>-135.1026</v>
      </c>
      <c r="E938">
        <v>488</v>
      </c>
      <c r="F938" t="s">
        <v>21</v>
      </c>
      <c r="G938">
        <v>25.4</v>
      </c>
      <c r="H938">
        <v>64.3</v>
      </c>
      <c r="I938" t="s">
        <v>28</v>
      </c>
      <c r="J938">
        <v>14</v>
      </c>
      <c r="K938">
        <v>254</v>
      </c>
      <c r="L938">
        <v>1</v>
      </c>
      <c r="M938" t="s">
        <v>23</v>
      </c>
      <c r="N938">
        <v>84</v>
      </c>
      <c r="O938">
        <v>250</v>
      </c>
      <c r="P938">
        <v>0</v>
      </c>
    </row>
    <row r="939" spans="1:16" x14ac:dyDescent="0.25">
      <c r="A939" s="1">
        <v>45613.524675925924</v>
      </c>
      <c r="B939" t="s">
        <v>32</v>
      </c>
      <c r="C939">
        <v>-28.238499999999998</v>
      </c>
      <c r="D939">
        <v>-87.761700000000005</v>
      </c>
      <c r="E939">
        <v>244</v>
      </c>
      <c r="F939" t="s">
        <v>17</v>
      </c>
      <c r="G939">
        <v>29.1</v>
      </c>
      <c r="H939">
        <v>67.2</v>
      </c>
      <c r="I939" t="s">
        <v>22</v>
      </c>
      <c r="J939">
        <v>18</v>
      </c>
      <c r="K939">
        <v>118</v>
      </c>
      <c r="L939">
        <v>5</v>
      </c>
      <c r="M939" t="s">
        <v>27</v>
      </c>
      <c r="N939">
        <v>70.5</v>
      </c>
      <c r="O939">
        <v>290</v>
      </c>
      <c r="P939">
        <v>1</v>
      </c>
    </row>
    <row r="940" spans="1:16" x14ac:dyDescent="0.25">
      <c r="A940" s="1">
        <v>45599.011655092596</v>
      </c>
      <c r="B940" t="s">
        <v>30</v>
      </c>
      <c r="C940">
        <v>18.199400000000001</v>
      </c>
      <c r="D940">
        <v>40.577100000000002</v>
      </c>
      <c r="E940">
        <v>193</v>
      </c>
      <c r="F940" t="s">
        <v>21</v>
      </c>
      <c r="G940">
        <v>25.7</v>
      </c>
      <c r="H940">
        <v>64</v>
      </c>
      <c r="I940" t="s">
        <v>22</v>
      </c>
      <c r="J940">
        <v>33</v>
      </c>
      <c r="K940">
        <v>335</v>
      </c>
      <c r="L940">
        <v>8</v>
      </c>
      <c r="M940" t="s">
        <v>31</v>
      </c>
      <c r="N940">
        <v>90</v>
      </c>
      <c r="O940">
        <v>240</v>
      </c>
      <c r="P940">
        <v>1</v>
      </c>
    </row>
    <row r="941" spans="1:16" x14ac:dyDescent="0.25">
      <c r="A941" s="1">
        <v>45585.088738425926</v>
      </c>
      <c r="B941" t="s">
        <v>16</v>
      </c>
      <c r="C941">
        <v>-3.5038</v>
      </c>
      <c r="D941">
        <v>21.953299999999999</v>
      </c>
      <c r="E941">
        <v>268</v>
      </c>
      <c r="F941" t="s">
        <v>26</v>
      </c>
      <c r="G941">
        <v>18.7</v>
      </c>
      <c r="H941">
        <v>69.5</v>
      </c>
      <c r="I941" t="s">
        <v>22</v>
      </c>
      <c r="J941">
        <v>39</v>
      </c>
      <c r="K941">
        <v>101</v>
      </c>
      <c r="L941">
        <v>9</v>
      </c>
      <c r="M941" t="s">
        <v>31</v>
      </c>
      <c r="N941">
        <v>77.099999999999994</v>
      </c>
      <c r="O941">
        <v>205</v>
      </c>
      <c r="P941">
        <v>1</v>
      </c>
    </row>
    <row r="942" spans="1:16" x14ac:dyDescent="0.25">
      <c r="A942" s="1">
        <v>45300.909363425926</v>
      </c>
      <c r="B942" t="s">
        <v>30</v>
      </c>
      <c r="C942">
        <v>88.528000000000006</v>
      </c>
      <c r="D942">
        <v>-0.35949999999999999</v>
      </c>
      <c r="E942">
        <v>375</v>
      </c>
      <c r="F942" t="s">
        <v>17</v>
      </c>
      <c r="G942">
        <v>19.2</v>
      </c>
      <c r="H942">
        <v>72.900000000000006</v>
      </c>
      <c r="I942" t="s">
        <v>18</v>
      </c>
      <c r="J942">
        <v>58</v>
      </c>
      <c r="K942">
        <v>119</v>
      </c>
      <c r="L942">
        <v>7</v>
      </c>
      <c r="M942" t="s">
        <v>19</v>
      </c>
      <c r="N942">
        <v>96.9</v>
      </c>
      <c r="O942">
        <v>213</v>
      </c>
      <c r="P942">
        <v>1</v>
      </c>
    </row>
    <row r="943" spans="1:16" x14ac:dyDescent="0.25">
      <c r="A943" s="1">
        <v>45495.490208333336</v>
      </c>
      <c r="B943" t="s">
        <v>25</v>
      </c>
      <c r="C943">
        <v>-24.783799999999999</v>
      </c>
      <c r="D943">
        <v>-21.175999999999998</v>
      </c>
      <c r="E943">
        <v>465</v>
      </c>
      <c r="F943" t="s">
        <v>21</v>
      </c>
      <c r="G943">
        <v>28</v>
      </c>
      <c r="H943">
        <v>59.6</v>
      </c>
      <c r="I943" t="s">
        <v>28</v>
      </c>
      <c r="J943">
        <v>51</v>
      </c>
      <c r="K943">
        <v>305</v>
      </c>
      <c r="L943">
        <v>10</v>
      </c>
      <c r="M943" t="s">
        <v>31</v>
      </c>
      <c r="N943">
        <v>96.9</v>
      </c>
      <c r="O943">
        <v>153</v>
      </c>
      <c r="P943">
        <v>0</v>
      </c>
    </row>
    <row r="944" spans="1:16" x14ac:dyDescent="0.25">
      <c r="A944" s="1">
        <v>45534.502986111111</v>
      </c>
      <c r="B944" t="s">
        <v>24</v>
      </c>
      <c r="C944">
        <v>56.137300000000003</v>
      </c>
      <c r="D944">
        <v>82.419200000000004</v>
      </c>
      <c r="E944">
        <v>258</v>
      </c>
      <c r="F944" t="s">
        <v>17</v>
      </c>
      <c r="G944">
        <v>19.3</v>
      </c>
      <c r="H944">
        <v>74.2</v>
      </c>
      <c r="I944" t="s">
        <v>18</v>
      </c>
      <c r="J944">
        <v>52</v>
      </c>
      <c r="K944">
        <v>407</v>
      </c>
      <c r="L944">
        <v>8</v>
      </c>
      <c r="M944" t="s">
        <v>23</v>
      </c>
      <c r="N944">
        <v>84.7</v>
      </c>
      <c r="O944">
        <v>245</v>
      </c>
      <c r="P944">
        <v>1</v>
      </c>
    </row>
    <row r="945" spans="1:16" x14ac:dyDescent="0.25">
      <c r="A945" s="1">
        <v>45616.781643518516</v>
      </c>
      <c r="B945" t="s">
        <v>35</v>
      </c>
      <c r="C945">
        <v>-13.2882</v>
      </c>
      <c r="D945">
        <v>-171.94730000000001</v>
      </c>
      <c r="E945">
        <v>254</v>
      </c>
      <c r="F945" t="s">
        <v>26</v>
      </c>
      <c r="G945">
        <v>27.3</v>
      </c>
      <c r="H945">
        <v>71.7</v>
      </c>
      <c r="I945" t="s">
        <v>18</v>
      </c>
      <c r="J945">
        <v>38</v>
      </c>
      <c r="K945">
        <v>279</v>
      </c>
      <c r="L945">
        <v>10</v>
      </c>
      <c r="M945" t="s">
        <v>27</v>
      </c>
      <c r="N945">
        <v>91.5</v>
      </c>
      <c r="O945">
        <v>111</v>
      </c>
      <c r="P945">
        <v>0</v>
      </c>
    </row>
    <row r="946" spans="1:16" x14ac:dyDescent="0.25">
      <c r="A946" s="1">
        <v>45620.051157407404</v>
      </c>
      <c r="B946" t="s">
        <v>24</v>
      </c>
      <c r="C946">
        <v>68.9345</v>
      </c>
      <c r="D946">
        <v>172.15199999999999</v>
      </c>
      <c r="E946">
        <v>456</v>
      </c>
      <c r="F946" t="s">
        <v>21</v>
      </c>
      <c r="G946">
        <v>20.9</v>
      </c>
      <c r="H946">
        <v>71.2</v>
      </c>
      <c r="I946" t="s">
        <v>28</v>
      </c>
      <c r="J946">
        <v>46</v>
      </c>
      <c r="K946">
        <v>414</v>
      </c>
      <c r="L946">
        <v>10</v>
      </c>
      <c r="M946" t="s">
        <v>31</v>
      </c>
      <c r="N946">
        <v>90.6</v>
      </c>
      <c r="O946">
        <v>280</v>
      </c>
      <c r="P946">
        <v>0</v>
      </c>
    </row>
    <row r="947" spans="1:16" x14ac:dyDescent="0.25">
      <c r="A947" s="1">
        <v>45317.72084490741</v>
      </c>
      <c r="B947" t="s">
        <v>16</v>
      </c>
      <c r="C947">
        <v>-80.960099999999997</v>
      </c>
      <c r="D947">
        <v>52.613999999999997</v>
      </c>
      <c r="E947">
        <v>158</v>
      </c>
      <c r="F947" t="s">
        <v>21</v>
      </c>
      <c r="G947">
        <v>29.7</v>
      </c>
      <c r="H947">
        <v>78.2</v>
      </c>
      <c r="I947" t="s">
        <v>22</v>
      </c>
      <c r="J947">
        <v>43</v>
      </c>
      <c r="K947">
        <v>334</v>
      </c>
      <c r="L947">
        <v>5</v>
      </c>
      <c r="M947" t="s">
        <v>23</v>
      </c>
      <c r="N947">
        <v>72.7</v>
      </c>
      <c r="O947">
        <v>181</v>
      </c>
      <c r="P947">
        <v>1</v>
      </c>
    </row>
    <row r="948" spans="1:16" x14ac:dyDescent="0.25">
      <c r="A948" s="1">
        <v>45496.999120370368</v>
      </c>
      <c r="B948" t="s">
        <v>34</v>
      </c>
      <c r="C948">
        <v>57.2271</v>
      </c>
      <c r="D948">
        <v>59.258800000000001</v>
      </c>
      <c r="E948">
        <v>158</v>
      </c>
      <c r="F948" t="s">
        <v>17</v>
      </c>
      <c r="G948">
        <v>25.9</v>
      </c>
      <c r="H948">
        <v>51.3</v>
      </c>
      <c r="I948" t="s">
        <v>18</v>
      </c>
      <c r="J948">
        <v>46</v>
      </c>
      <c r="K948">
        <v>308</v>
      </c>
      <c r="L948">
        <v>7</v>
      </c>
      <c r="M948" t="s">
        <v>19</v>
      </c>
      <c r="N948">
        <v>64.599999999999994</v>
      </c>
      <c r="O948">
        <v>115</v>
      </c>
      <c r="P948">
        <v>1</v>
      </c>
    </row>
    <row r="949" spans="1:16" x14ac:dyDescent="0.25">
      <c r="A949" s="1">
        <v>45403.307766203703</v>
      </c>
      <c r="B949" t="s">
        <v>24</v>
      </c>
      <c r="C949">
        <v>82.630700000000004</v>
      </c>
      <c r="D949">
        <v>-111.6216</v>
      </c>
      <c r="E949">
        <v>260</v>
      </c>
      <c r="F949" t="s">
        <v>26</v>
      </c>
      <c r="G949">
        <v>23.2</v>
      </c>
      <c r="H949">
        <v>56.3</v>
      </c>
      <c r="I949" t="s">
        <v>28</v>
      </c>
      <c r="J949">
        <v>57</v>
      </c>
      <c r="K949">
        <v>329</v>
      </c>
      <c r="L949">
        <v>7</v>
      </c>
      <c r="M949" t="s">
        <v>31</v>
      </c>
      <c r="N949">
        <v>77.900000000000006</v>
      </c>
      <c r="O949">
        <v>258</v>
      </c>
      <c r="P949">
        <v>0</v>
      </c>
    </row>
    <row r="950" spans="1:16" x14ac:dyDescent="0.25">
      <c r="A950" s="1">
        <v>45441.820625</v>
      </c>
      <c r="B950" t="s">
        <v>30</v>
      </c>
      <c r="C950">
        <v>53.022100000000002</v>
      </c>
      <c r="D950">
        <v>110.4363</v>
      </c>
      <c r="E950">
        <v>249</v>
      </c>
      <c r="F950" t="s">
        <v>21</v>
      </c>
      <c r="G950">
        <v>21.4</v>
      </c>
      <c r="H950">
        <v>56.6</v>
      </c>
      <c r="I950" t="s">
        <v>18</v>
      </c>
      <c r="J950">
        <v>49</v>
      </c>
      <c r="K950">
        <v>398</v>
      </c>
      <c r="L950">
        <v>10</v>
      </c>
      <c r="M950" t="s">
        <v>31</v>
      </c>
      <c r="N950">
        <v>67.3</v>
      </c>
      <c r="O950">
        <v>279</v>
      </c>
      <c r="P950">
        <v>0</v>
      </c>
    </row>
    <row r="951" spans="1:16" x14ac:dyDescent="0.25">
      <c r="A951" s="1">
        <v>45337.534780092596</v>
      </c>
      <c r="B951" t="s">
        <v>20</v>
      </c>
      <c r="C951">
        <v>21.636199999999999</v>
      </c>
      <c r="D951">
        <v>35.729199999999999</v>
      </c>
      <c r="E951">
        <v>224</v>
      </c>
      <c r="F951" t="s">
        <v>17</v>
      </c>
      <c r="G951">
        <v>28.3</v>
      </c>
      <c r="H951">
        <v>69</v>
      </c>
      <c r="I951" t="s">
        <v>28</v>
      </c>
      <c r="J951">
        <v>20</v>
      </c>
      <c r="K951">
        <v>445</v>
      </c>
      <c r="L951">
        <v>6</v>
      </c>
      <c r="M951" t="s">
        <v>19</v>
      </c>
      <c r="N951">
        <v>60.1</v>
      </c>
      <c r="O951">
        <v>259</v>
      </c>
      <c r="P951">
        <v>1</v>
      </c>
    </row>
    <row r="952" spans="1:16" x14ac:dyDescent="0.25">
      <c r="A952" s="1">
        <v>45403.930578703701</v>
      </c>
      <c r="B952" t="s">
        <v>32</v>
      </c>
      <c r="C952">
        <v>-0.56459999999999999</v>
      </c>
      <c r="D952">
        <v>175.2938</v>
      </c>
      <c r="E952">
        <v>162</v>
      </c>
      <c r="F952" t="s">
        <v>26</v>
      </c>
      <c r="G952">
        <v>29.4</v>
      </c>
      <c r="H952">
        <v>65.900000000000006</v>
      </c>
      <c r="I952" t="s">
        <v>18</v>
      </c>
      <c r="J952">
        <v>40</v>
      </c>
      <c r="K952">
        <v>262</v>
      </c>
      <c r="L952">
        <v>2</v>
      </c>
      <c r="M952" t="s">
        <v>27</v>
      </c>
      <c r="N952">
        <v>61.5</v>
      </c>
      <c r="O952">
        <v>298</v>
      </c>
      <c r="P952">
        <v>0</v>
      </c>
    </row>
    <row r="953" spans="1:16" x14ac:dyDescent="0.25">
      <c r="A953" s="1">
        <v>45542.082766203705</v>
      </c>
      <c r="B953" t="s">
        <v>29</v>
      </c>
      <c r="C953">
        <v>-53.974400000000003</v>
      </c>
      <c r="D953">
        <v>-52.453600000000002</v>
      </c>
      <c r="E953">
        <v>160</v>
      </c>
      <c r="F953" t="s">
        <v>26</v>
      </c>
      <c r="G953">
        <v>20.7</v>
      </c>
      <c r="H953">
        <v>63.1</v>
      </c>
      <c r="I953" t="s">
        <v>28</v>
      </c>
      <c r="J953">
        <v>52</v>
      </c>
      <c r="K953">
        <v>488</v>
      </c>
      <c r="L953">
        <v>3</v>
      </c>
      <c r="M953" t="s">
        <v>31</v>
      </c>
      <c r="N953">
        <v>79.599999999999994</v>
      </c>
      <c r="O953">
        <v>246</v>
      </c>
      <c r="P953">
        <v>0</v>
      </c>
    </row>
    <row r="954" spans="1:16" x14ac:dyDescent="0.25">
      <c r="A954" s="1">
        <v>45408.308807870373</v>
      </c>
      <c r="B954" t="s">
        <v>32</v>
      </c>
      <c r="C954">
        <v>70.9071</v>
      </c>
      <c r="D954">
        <v>-64.786299999999997</v>
      </c>
      <c r="E954">
        <v>260</v>
      </c>
      <c r="F954" t="s">
        <v>26</v>
      </c>
      <c r="G954">
        <v>18.8</v>
      </c>
      <c r="H954">
        <v>55</v>
      </c>
      <c r="I954" t="s">
        <v>18</v>
      </c>
      <c r="J954">
        <v>13</v>
      </c>
      <c r="K954">
        <v>428</v>
      </c>
      <c r="L954">
        <v>2</v>
      </c>
      <c r="M954" t="s">
        <v>23</v>
      </c>
      <c r="N954">
        <v>73.900000000000006</v>
      </c>
      <c r="O954">
        <v>198</v>
      </c>
      <c r="P954">
        <v>0</v>
      </c>
    </row>
    <row r="955" spans="1:16" x14ac:dyDescent="0.25">
      <c r="A955" s="1">
        <v>45374.577002314814</v>
      </c>
      <c r="B955" t="s">
        <v>16</v>
      </c>
      <c r="C955">
        <v>-32.319600000000001</v>
      </c>
      <c r="D955">
        <v>-16.445799999999998</v>
      </c>
      <c r="E955">
        <v>245</v>
      </c>
      <c r="F955" t="s">
        <v>21</v>
      </c>
      <c r="G955">
        <v>23.3</v>
      </c>
      <c r="H955">
        <v>59.8</v>
      </c>
      <c r="I955" t="s">
        <v>28</v>
      </c>
      <c r="J955">
        <v>28</v>
      </c>
      <c r="K955">
        <v>142</v>
      </c>
      <c r="L955">
        <v>5</v>
      </c>
      <c r="M955" t="s">
        <v>19</v>
      </c>
      <c r="N955">
        <v>80.7</v>
      </c>
      <c r="O955">
        <v>160</v>
      </c>
      <c r="P955">
        <v>0</v>
      </c>
    </row>
    <row r="956" spans="1:16" x14ac:dyDescent="0.25">
      <c r="A956" s="1">
        <v>45387.576516203706</v>
      </c>
      <c r="B956" t="s">
        <v>16</v>
      </c>
      <c r="C956">
        <v>-9.6290999999999993</v>
      </c>
      <c r="D956">
        <v>39.650599999999997</v>
      </c>
      <c r="E956">
        <v>495</v>
      </c>
      <c r="F956" t="s">
        <v>26</v>
      </c>
      <c r="G956">
        <v>25.1</v>
      </c>
      <c r="H956">
        <v>75.5</v>
      </c>
      <c r="I956" t="s">
        <v>18</v>
      </c>
      <c r="J956">
        <v>39</v>
      </c>
      <c r="K956">
        <v>234</v>
      </c>
      <c r="L956">
        <v>1</v>
      </c>
      <c r="M956" t="s">
        <v>19</v>
      </c>
      <c r="N956">
        <v>74.8</v>
      </c>
      <c r="O956">
        <v>203</v>
      </c>
      <c r="P956">
        <v>0</v>
      </c>
    </row>
    <row r="957" spans="1:16" x14ac:dyDescent="0.25">
      <c r="A957" s="1">
        <v>45528.066921296297</v>
      </c>
      <c r="B957" t="s">
        <v>32</v>
      </c>
      <c r="C957">
        <v>-69.563900000000004</v>
      </c>
      <c r="D957">
        <v>-74.647300000000001</v>
      </c>
      <c r="E957">
        <v>236</v>
      </c>
      <c r="F957" t="s">
        <v>17</v>
      </c>
      <c r="G957">
        <v>18.2</v>
      </c>
      <c r="H957">
        <v>50.5</v>
      </c>
      <c r="I957" t="s">
        <v>28</v>
      </c>
      <c r="J957">
        <v>20</v>
      </c>
      <c r="K957">
        <v>260</v>
      </c>
      <c r="L957">
        <v>2</v>
      </c>
      <c r="M957" t="s">
        <v>23</v>
      </c>
      <c r="N957">
        <v>61.1</v>
      </c>
      <c r="O957">
        <v>278</v>
      </c>
      <c r="P957">
        <v>1</v>
      </c>
    </row>
    <row r="958" spans="1:16" x14ac:dyDescent="0.25">
      <c r="A958" s="1">
        <v>45603.169120370374</v>
      </c>
      <c r="B958" t="s">
        <v>25</v>
      </c>
      <c r="C958">
        <v>49.042999999999999</v>
      </c>
      <c r="D958">
        <v>-4.5351999999999997</v>
      </c>
      <c r="E958">
        <v>259</v>
      </c>
      <c r="F958" t="s">
        <v>26</v>
      </c>
      <c r="G958">
        <v>21.3</v>
      </c>
      <c r="H958">
        <v>79.3</v>
      </c>
      <c r="I958" t="s">
        <v>18</v>
      </c>
      <c r="J958">
        <v>49</v>
      </c>
      <c r="K958">
        <v>276</v>
      </c>
      <c r="L958">
        <v>2</v>
      </c>
      <c r="M958" t="s">
        <v>19</v>
      </c>
      <c r="N958">
        <v>99.1</v>
      </c>
      <c r="O958">
        <v>259</v>
      </c>
      <c r="P958">
        <v>0</v>
      </c>
    </row>
    <row r="959" spans="1:16" x14ac:dyDescent="0.25">
      <c r="A959" s="1">
        <v>45555.697511574072</v>
      </c>
      <c r="B959" t="s">
        <v>16</v>
      </c>
      <c r="C959">
        <v>69.760800000000003</v>
      </c>
      <c r="D959">
        <v>-77.018799999999999</v>
      </c>
      <c r="E959">
        <v>227</v>
      </c>
      <c r="F959" t="s">
        <v>26</v>
      </c>
      <c r="G959">
        <v>27.6</v>
      </c>
      <c r="H959">
        <v>68.099999999999994</v>
      </c>
      <c r="I959" t="s">
        <v>18</v>
      </c>
      <c r="J959">
        <v>60</v>
      </c>
      <c r="K959">
        <v>399</v>
      </c>
      <c r="L959">
        <v>1</v>
      </c>
      <c r="M959" t="s">
        <v>27</v>
      </c>
      <c r="N959">
        <v>64.099999999999994</v>
      </c>
      <c r="O959">
        <v>126</v>
      </c>
      <c r="P959">
        <v>0</v>
      </c>
    </row>
    <row r="960" spans="1:16" x14ac:dyDescent="0.25">
      <c r="A960" s="1">
        <v>45602.915625000001</v>
      </c>
      <c r="B960" t="s">
        <v>16</v>
      </c>
      <c r="C960">
        <v>27.403400000000001</v>
      </c>
      <c r="D960">
        <v>-35.8705</v>
      </c>
      <c r="E960">
        <v>204</v>
      </c>
      <c r="F960" t="s">
        <v>21</v>
      </c>
      <c r="G960">
        <v>20.5</v>
      </c>
      <c r="H960">
        <v>60.2</v>
      </c>
      <c r="I960" t="s">
        <v>28</v>
      </c>
      <c r="J960">
        <v>26</v>
      </c>
      <c r="K960">
        <v>460</v>
      </c>
      <c r="L960">
        <v>5</v>
      </c>
      <c r="M960" t="s">
        <v>19</v>
      </c>
      <c r="N960">
        <v>66.900000000000006</v>
      </c>
      <c r="O960">
        <v>231</v>
      </c>
      <c r="P960">
        <v>0</v>
      </c>
    </row>
    <row r="961" spans="1:16" x14ac:dyDescent="0.25">
      <c r="A961" s="1">
        <v>45381.504062499997</v>
      </c>
      <c r="B961" t="s">
        <v>24</v>
      </c>
      <c r="C961">
        <v>-31.4314</v>
      </c>
      <c r="D961">
        <v>-110.7069</v>
      </c>
      <c r="E961">
        <v>384</v>
      </c>
      <c r="F961" t="s">
        <v>17</v>
      </c>
      <c r="G961">
        <v>18.5</v>
      </c>
      <c r="H961">
        <v>79</v>
      </c>
      <c r="I961" t="s">
        <v>18</v>
      </c>
      <c r="J961">
        <v>21</v>
      </c>
      <c r="K961">
        <v>185</v>
      </c>
      <c r="L961">
        <v>8</v>
      </c>
      <c r="M961" t="s">
        <v>23</v>
      </c>
      <c r="N961">
        <v>68.099999999999994</v>
      </c>
      <c r="O961">
        <v>143</v>
      </c>
      <c r="P961">
        <v>1</v>
      </c>
    </row>
    <row r="962" spans="1:16" x14ac:dyDescent="0.25">
      <c r="A962" s="1">
        <v>45436.001574074071</v>
      </c>
      <c r="B962" t="s">
        <v>20</v>
      </c>
      <c r="C962">
        <v>63.555399999999999</v>
      </c>
      <c r="D962">
        <v>151.4083</v>
      </c>
      <c r="E962">
        <v>187</v>
      </c>
      <c r="F962" t="s">
        <v>17</v>
      </c>
      <c r="G962">
        <v>18.899999999999999</v>
      </c>
      <c r="H962">
        <v>60.3</v>
      </c>
      <c r="I962" t="s">
        <v>28</v>
      </c>
      <c r="J962">
        <v>34</v>
      </c>
      <c r="K962">
        <v>223</v>
      </c>
      <c r="L962">
        <v>1</v>
      </c>
      <c r="M962" t="s">
        <v>23</v>
      </c>
      <c r="N962">
        <v>85.3</v>
      </c>
      <c r="O962">
        <v>197</v>
      </c>
      <c r="P962">
        <v>1</v>
      </c>
    </row>
    <row r="963" spans="1:16" x14ac:dyDescent="0.25">
      <c r="A963" s="1">
        <v>45317.353379629632</v>
      </c>
      <c r="B963" t="s">
        <v>33</v>
      </c>
      <c r="C963">
        <v>86.666300000000007</v>
      </c>
      <c r="D963">
        <v>-8.1036000000000001</v>
      </c>
      <c r="E963">
        <v>302</v>
      </c>
      <c r="F963" t="s">
        <v>26</v>
      </c>
      <c r="G963">
        <v>19.5</v>
      </c>
      <c r="H963">
        <v>64.5</v>
      </c>
      <c r="I963" t="s">
        <v>18</v>
      </c>
      <c r="J963">
        <v>38</v>
      </c>
      <c r="K963">
        <v>149</v>
      </c>
      <c r="L963">
        <v>10</v>
      </c>
      <c r="M963" t="s">
        <v>19</v>
      </c>
      <c r="N963">
        <v>69</v>
      </c>
      <c r="O963">
        <v>213</v>
      </c>
      <c r="P963">
        <v>0</v>
      </c>
    </row>
    <row r="964" spans="1:16" x14ac:dyDescent="0.25">
      <c r="A964" s="1">
        <v>45430.607523148145</v>
      </c>
      <c r="B964" t="s">
        <v>33</v>
      </c>
      <c r="C964">
        <v>62.954900000000002</v>
      </c>
      <c r="D964">
        <v>134.6387</v>
      </c>
      <c r="E964">
        <v>177</v>
      </c>
      <c r="F964" t="s">
        <v>21</v>
      </c>
      <c r="G964">
        <v>24.7</v>
      </c>
      <c r="H964">
        <v>70.599999999999994</v>
      </c>
      <c r="I964" t="s">
        <v>22</v>
      </c>
      <c r="J964">
        <v>58</v>
      </c>
      <c r="K964">
        <v>301</v>
      </c>
      <c r="L964">
        <v>1</v>
      </c>
      <c r="M964" t="s">
        <v>31</v>
      </c>
      <c r="N964">
        <v>82.7</v>
      </c>
      <c r="O964">
        <v>254</v>
      </c>
      <c r="P964">
        <v>1</v>
      </c>
    </row>
    <row r="965" spans="1:16" x14ac:dyDescent="0.25">
      <c r="A965" s="1">
        <v>45431.465428240743</v>
      </c>
      <c r="B965" t="s">
        <v>30</v>
      </c>
      <c r="C965">
        <v>57.555</v>
      </c>
      <c r="D965">
        <v>179.23490000000001</v>
      </c>
      <c r="E965">
        <v>448</v>
      </c>
      <c r="F965" t="s">
        <v>21</v>
      </c>
      <c r="G965">
        <v>21.5</v>
      </c>
      <c r="H965">
        <v>55.7</v>
      </c>
      <c r="I965" t="s">
        <v>22</v>
      </c>
      <c r="J965">
        <v>55</v>
      </c>
      <c r="K965">
        <v>500</v>
      </c>
      <c r="L965">
        <v>2</v>
      </c>
      <c r="M965" t="s">
        <v>31</v>
      </c>
      <c r="N965">
        <v>86.7</v>
      </c>
      <c r="O965">
        <v>173</v>
      </c>
      <c r="P965">
        <v>1</v>
      </c>
    </row>
    <row r="966" spans="1:16" x14ac:dyDescent="0.25">
      <c r="A966" s="1">
        <v>45584.672118055554</v>
      </c>
      <c r="B966" t="s">
        <v>34</v>
      </c>
      <c r="C966">
        <v>-8.3428000000000004</v>
      </c>
      <c r="D966">
        <v>-26.270199999999999</v>
      </c>
      <c r="E966">
        <v>197</v>
      </c>
      <c r="F966" t="s">
        <v>21</v>
      </c>
      <c r="G966">
        <v>22.9</v>
      </c>
      <c r="H966">
        <v>71.900000000000006</v>
      </c>
      <c r="I966" t="s">
        <v>28</v>
      </c>
      <c r="J966">
        <v>18</v>
      </c>
      <c r="K966">
        <v>387</v>
      </c>
      <c r="L966">
        <v>9</v>
      </c>
      <c r="M966" t="s">
        <v>19</v>
      </c>
      <c r="N966">
        <v>71</v>
      </c>
      <c r="O966">
        <v>140</v>
      </c>
      <c r="P966">
        <v>0</v>
      </c>
    </row>
    <row r="967" spans="1:16" x14ac:dyDescent="0.25">
      <c r="A967" s="1">
        <v>45394.812395833331</v>
      </c>
      <c r="B967" t="s">
        <v>24</v>
      </c>
      <c r="C967">
        <v>-51.602499999999999</v>
      </c>
      <c r="D967">
        <v>114.3963</v>
      </c>
      <c r="E967">
        <v>428</v>
      </c>
      <c r="F967" t="s">
        <v>21</v>
      </c>
      <c r="G967">
        <v>28.6</v>
      </c>
      <c r="H967">
        <v>77.7</v>
      </c>
      <c r="I967" t="s">
        <v>22</v>
      </c>
      <c r="J967">
        <v>14</v>
      </c>
      <c r="K967">
        <v>175</v>
      </c>
      <c r="L967">
        <v>9</v>
      </c>
      <c r="M967" t="s">
        <v>27</v>
      </c>
      <c r="N967">
        <v>96.2</v>
      </c>
      <c r="O967">
        <v>115</v>
      </c>
      <c r="P967">
        <v>1</v>
      </c>
    </row>
    <row r="968" spans="1:16" x14ac:dyDescent="0.25">
      <c r="A968" s="1">
        <v>45351.980532407404</v>
      </c>
      <c r="B968" t="s">
        <v>32</v>
      </c>
      <c r="C968">
        <v>-30.946000000000002</v>
      </c>
      <c r="D968">
        <v>-65.535200000000003</v>
      </c>
      <c r="E968">
        <v>435</v>
      </c>
      <c r="F968" t="s">
        <v>17</v>
      </c>
      <c r="G968">
        <v>24.7</v>
      </c>
      <c r="H968">
        <v>75.3</v>
      </c>
      <c r="I968" t="s">
        <v>22</v>
      </c>
      <c r="J968">
        <v>41</v>
      </c>
      <c r="K968">
        <v>245</v>
      </c>
      <c r="L968">
        <v>2</v>
      </c>
      <c r="M968" t="s">
        <v>23</v>
      </c>
      <c r="N968">
        <v>87.1</v>
      </c>
      <c r="O968">
        <v>232</v>
      </c>
      <c r="P968">
        <v>1</v>
      </c>
    </row>
    <row r="969" spans="1:16" x14ac:dyDescent="0.25">
      <c r="A969" s="1">
        <v>45568.673101851855</v>
      </c>
      <c r="B969" t="s">
        <v>20</v>
      </c>
      <c r="C969">
        <v>-47.350299999999997</v>
      </c>
      <c r="D969">
        <v>-100.22110000000001</v>
      </c>
      <c r="E969">
        <v>309</v>
      </c>
      <c r="F969" t="s">
        <v>21</v>
      </c>
      <c r="G969">
        <v>20.2</v>
      </c>
      <c r="H969">
        <v>65.8</v>
      </c>
      <c r="I969" t="s">
        <v>18</v>
      </c>
      <c r="J969">
        <v>26</v>
      </c>
      <c r="K969">
        <v>105</v>
      </c>
      <c r="L969">
        <v>9</v>
      </c>
      <c r="M969" t="s">
        <v>31</v>
      </c>
      <c r="N969">
        <v>60.7</v>
      </c>
      <c r="O969">
        <v>244</v>
      </c>
      <c r="P969">
        <v>0</v>
      </c>
    </row>
    <row r="970" spans="1:16" x14ac:dyDescent="0.25">
      <c r="A970" s="1">
        <v>45485.426018518519</v>
      </c>
      <c r="B970" t="s">
        <v>25</v>
      </c>
      <c r="C970">
        <v>29.293099999999999</v>
      </c>
      <c r="D970">
        <v>-63.655999999999999</v>
      </c>
      <c r="E970">
        <v>346</v>
      </c>
      <c r="F970" t="s">
        <v>26</v>
      </c>
      <c r="G970">
        <v>21.5</v>
      </c>
      <c r="H970">
        <v>60.1</v>
      </c>
      <c r="I970" t="s">
        <v>28</v>
      </c>
      <c r="J970">
        <v>17</v>
      </c>
      <c r="K970">
        <v>370</v>
      </c>
      <c r="L970">
        <v>9</v>
      </c>
      <c r="M970" t="s">
        <v>19</v>
      </c>
      <c r="N970">
        <v>70.8</v>
      </c>
      <c r="O970">
        <v>259</v>
      </c>
      <c r="P970">
        <v>0</v>
      </c>
    </row>
    <row r="971" spans="1:16" x14ac:dyDescent="0.25">
      <c r="A971" s="1">
        <v>45589.086562500001</v>
      </c>
      <c r="B971" t="s">
        <v>30</v>
      </c>
      <c r="C971">
        <v>-67.426199999999994</v>
      </c>
      <c r="D971">
        <v>-107.51560000000001</v>
      </c>
      <c r="E971">
        <v>428</v>
      </c>
      <c r="F971" t="s">
        <v>26</v>
      </c>
      <c r="G971">
        <v>29.1</v>
      </c>
      <c r="H971">
        <v>55.9</v>
      </c>
      <c r="I971" t="s">
        <v>28</v>
      </c>
      <c r="J971">
        <v>34</v>
      </c>
      <c r="K971">
        <v>176</v>
      </c>
      <c r="L971">
        <v>2</v>
      </c>
      <c r="M971" t="s">
        <v>19</v>
      </c>
      <c r="N971">
        <v>89.5</v>
      </c>
      <c r="O971">
        <v>123</v>
      </c>
      <c r="P971">
        <v>0</v>
      </c>
    </row>
    <row r="972" spans="1:16" x14ac:dyDescent="0.25">
      <c r="A972" s="1">
        <v>45372.497048611112</v>
      </c>
      <c r="B972" t="s">
        <v>34</v>
      </c>
      <c r="C972">
        <v>82.811599999999999</v>
      </c>
      <c r="D972">
        <v>62.198300000000003</v>
      </c>
      <c r="E972">
        <v>106</v>
      </c>
      <c r="F972" t="s">
        <v>26</v>
      </c>
      <c r="G972">
        <v>21.6</v>
      </c>
      <c r="H972">
        <v>79.3</v>
      </c>
      <c r="I972" t="s">
        <v>28</v>
      </c>
      <c r="J972">
        <v>51</v>
      </c>
      <c r="K972">
        <v>120</v>
      </c>
      <c r="L972">
        <v>9</v>
      </c>
      <c r="M972" t="s">
        <v>23</v>
      </c>
      <c r="N972">
        <v>96.2</v>
      </c>
      <c r="O972">
        <v>228</v>
      </c>
      <c r="P972">
        <v>0</v>
      </c>
    </row>
    <row r="973" spans="1:16" x14ac:dyDescent="0.25">
      <c r="A973" s="1">
        <v>45487.833773148152</v>
      </c>
      <c r="B973" t="s">
        <v>33</v>
      </c>
      <c r="C973">
        <v>58.6218</v>
      </c>
      <c r="D973">
        <v>133.4487</v>
      </c>
      <c r="E973">
        <v>154</v>
      </c>
      <c r="F973" t="s">
        <v>17</v>
      </c>
      <c r="G973">
        <v>25.8</v>
      </c>
      <c r="H973">
        <v>69</v>
      </c>
      <c r="I973" t="s">
        <v>28</v>
      </c>
      <c r="J973">
        <v>60</v>
      </c>
      <c r="K973">
        <v>357</v>
      </c>
      <c r="L973">
        <v>10</v>
      </c>
      <c r="M973" t="s">
        <v>31</v>
      </c>
      <c r="N973">
        <v>87.9</v>
      </c>
      <c r="O973">
        <v>269</v>
      </c>
      <c r="P973">
        <v>1</v>
      </c>
    </row>
    <row r="974" spans="1:16" x14ac:dyDescent="0.25">
      <c r="A974" s="1">
        <v>45619.802754629629</v>
      </c>
      <c r="B974" t="s">
        <v>24</v>
      </c>
      <c r="C974">
        <v>-31.995899999999999</v>
      </c>
      <c r="D974">
        <v>164.6097</v>
      </c>
      <c r="E974">
        <v>417</v>
      </c>
      <c r="F974" t="s">
        <v>21</v>
      </c>
      <c r="G974">
        <v>23.8</v>
      </c>
      <c r="H974">
        <v>50.7</v>
      </c>
      <c r="I974" t="s">
        <v>22</v>
      </c>
      <c r="J974">
        <v>47</v>
      </c>
      <c r="K974">
        <v>278</v>
      </c>
      <c r="L974">
        <v>2</v>
      </c>
      <c r="M974" t="s">
        <v>19</v>
      </c>
      <c r="N974">
        <v>88.7</v>
      </c>
      <c r="O974">
        <v>226</v>
      </c>
      <c r="P974">
        <v>1</v>
      </c>
    </row>
    <row r="975" spans="1:16" x14ac:dyDescent="0.25">
      <c r="A975" s="1">
        <v>45561.440185185187</v>
      </c>
      <c r="B975" t="s">
        <v>34</v>
      </c>
      <c r="C975">
        <v>84.804100000000005</v>
      </c>
      <c r="D975">
        <v>86.153300000000002</v>
      </c>
      <c r="E975">
        <v>438</v>
      </c>
      <c r="F975" t="s">
        <v>17</v>
      </c>
      <c r="G975">
        <v>20.6</v>
      </c>
      <c r="H975">
        <v>79.3</v>
      </c>
      <c r="I975" t="s">
        <v>22</v>
      </c>
      <c r="J975">
        <v>37</v>
      </c>
      <c r="K975">
        <v>431</v>
      </c>
      <c r="L975">
        <v>5</v>
      </c>
      <c r="M975" t="s">
        <v>31</v>
      </c>
      <c r="N975">
        <v>71.7</v>
      </c>
      <c r="O975">
        <v>246</v>
      </c>
      <c r="P975">
        <v>1</v>
      </c>
    </row>
    <row r="976" spans="1:16" x14ac:dyDescent="0.25">
      <c r="A976" s="1">
        <v>45513.700219907405</v>
      </c>
      <c r="B976" t="s">
        <v>34</v>
      </c>
      <c r="C976">
        <v>-11.147</v>
      </c>
      <c r="D976">
        <v>-97.933499999999995</v>
      </c>
      <c r="E976">
        <v>106</v>
      </c>
      <c r="F976" t="s">
        <v>17</v>
      </c>
      <c r="G976">
        <v>29.6</v>
      </c>
      <c r="H976">
        <v>62</v>
      </c>
      <c r="I976" t="s">
        <v>22</v>
      </c>
      <c r="J976">
        <v>54</v>
      </c>
      <c r="K976">
        <v>410</v>
      </c>
      <c r="L976">
        <v>9</v>
      </c>
      <c r="M976" t="s">
        <v>23</v>
      </c>
      <c r="N976">
        <v>62.3</v>
      </c>
      <c r="O976">
        <v>111</v>
      </c>
      <c r="P976">
        <v>1</v>
      </c>
    </row>
    <row r="977" spans="1:16" x14ac:dyDescent="0.25">
      <c r="A977" s="1">
        <v>45619.358067129629</v>
      </c>
      <c r="B977" t="s">
        <v>29</v>
      </c>
      <c r="C977">
        <v>-9.8535000000000004</v>
      </c>
      <c r="D977">
        <v>-164.78399999999999</v>
      </c>
      <c r="E977">
        <v>147</v>
      </c>
      <c r="F977" t="s">
        <v>17</v>
      </c>
      <c r="G977">
        <v>27.5</v>
      </c>
      <c r="H977">
        <v>51.6</v>
      </c>
      <c r="I977" t="s">
        <v>28</v>
      </c>
      <c r="J977">
        <v>15</v>
      </c>
      <c r="K977">
        <v>496</v>
      </c>
      <c r="L977">
        <v>4</v>
      </c>
      <c r="M977" t="s">
        <v>27</v>
      </c>
      <c r="N977">
        <v>68.400000000000006</v>
      </c>
      <c r="O977">
        <v>238</v>
      </c>
      <c r="P977">
        <v>1</v>
      </c>
    </row>
    <row r="978" spans="1:16" x14ac:dyDescent="0.25">
      <c r="A978" s="1">
        <v>45581.950925925928</v>
      </c>
      <c r="B978" t="s">
        <v>16</v>
      </c>
      <c r="C978">
        <v>35.673999999999999</v>
      </c>
      <c r="D978">
        <v>177.2099</v>
      </c>
      <c r="E978">
        <v>248</v>
      </c>
      <c r="F978" t="s">
        <v>26</v>
      </c>
      <c r="G978">
        <v>23</v>
      </c>
      <c r="H978">
        <v>72.3</v>
      </c>
      <c r="I978" t="s">
        <v>22</v>
      </c>
      <c r="J978">
        <v>35</v>
      </c>
      <c r="K978">
        <v>256</v>
      </c>
      <c r="L978">
        <v>3</v>
      </c>
      <c r="M978" t="s">
        <v>27</v>
      </c>
      <c r="N978">
        <v>99.2</v>
      </c>
      <c r="O978">
        <v>296</v>
      </c>
      <c r="P978">
        <v>1</v>
      </c>
    </row>
    <row r="979" spans="1:16" x14ac:dyDescent="0.25">
      <c r="A979" s="1">
        <v>45337.945138888892</v>
      </c>
      <c r="B979" t="s">
        <v>16</v>
      </c>
      <c r="C979">
        <v>87.965000000000003</v>
      </c>
      <c r="D979">
        <v>-109.0684</v>
      </c>
      <c r="E979">
        <v>299</v>
      </c>
      <c r="F979" t="s">
        <v>21</v>
      </c>
      <c r="G979">
        <v>20.5</v>
      </c>
      <c r="H979">
        <v>75.2</v>
      </c>
      <c r="I979" t="s">
        <v>28</v>
      </c>
      <c r="J979">
        <v>21</v>
      </c>
      <c r="K979">
        <v>148</v>
      </c>
      <c r="L979">
        <v>6</v>
      </c>
      <c r="M979" t="s">
        <v>31</v>
      </c>
      <c r="N979">
        <v>67.5</v>
      </c>
      <c r="O979">
        <v>150</v>
      </c>
      <c r="P979">
        <v>0</v>
      </c>
    </row>
    <row r="980" spans="1:16" x14ac:dyDescent="0.25">
      <c r="A980" s="1">
        <v>45458.118298611109</v>
      </c>
      <c r="B980" t="s">
        <v>16</v>
      </c>
      <c r="C980">
        <v>68.122900000000001</v>
      </c>
      <c r="D980">
        <v>9.8155000000000001</v>
      </c>
      <c r="E980">
        <v>382</v>
      </c>
      <c r="F980" t="s">
        <v>26</v>
      </c>
      <c r="G980">
        <v>20.6</v>
      </c>
      <c r="H980">
        <v>72.8</v>
      </c>
      <c r="I980" t="s">
        <v>22</v>
      </c>
      <c r="J980">
        <v>10</v>
      </c>
      <c r="K980">
        <v>128</v>
      </c>
      <c r="L980">
        <v>1</v>
      </c>
      <c r="M980" t="s">
        <v>23</v>
      </c>
      <c r="N980">
        <v>79.2</v>
      </c>
      <c r="O980">
        <v>157</v>
      </c>
      <c r="P980">
        <v>1</v>
      </c>
    </row>
    <row r="981" spans="1:16" x14ac:dyDescent="0.25">
      <c r="A981" s="1">
        <v>45469.832546296297</v>
      </c>
      <c r="B981" t="s">
        <v>30</v>
      </c>
      <c r="C981">
        <v>84.021500000000003</v>
      </c>
      <c r="D981">
        <v>75.482900000000001</v>
      </c>
      <c r="E981">
        <v>236</v>
      </c>
      <c r="F981" t="s">
        <v>26</v>
      </c>
      <c r="G981">
        <v>19.399999999999999</v>
      </c>
      <c r="H981">
        <v>57.2</v>
      </c>
      <c r="I981" t="s">
        <v>22</v>
      </c>
      <c r="J981">
        <v>13</v>
      </c>
      <c r="K981">
        <v>368</v>
      </c>
      <c r="L981">
        <v>2</v>
      </c>
      <c r="M981" t="s">
        <v>23</v>
      </c>
      <c r="N981">
        <v>83.7</v>
      </c>
      <c r="O981">
        <v>276</v>
      </c>
      <c r="P981">
        <v>1</v>
      </c>
    </row>
    <row r="982" spans="1:16" x14ac:dyDescent="0.25">
      <c r="A982" s="1">
        <v>45627.527048611111</v>
      </c>
      <c r="B982" t="s">
        <v>29</v>
      </c>
      <c r="C982">
        <v>73.915400000000005</v>
      </c>
      <c r="D982">
        <v>-123.8449</v>
      </c>
      <c r="E982">
        <v>122</v>
      </c>
      <c r="F982" t="s">
        <v>17</v>
      </c>
      <c r="G982">
        <v>28.3</v>
      </c>
      <c r="H982">
        <v>80</v>
      </c>
      <c r="I982" t="s">
        <v>18</v>
      </c>
      <c r="J982">
        <v>43</v>
      </c>
      <c r="K982">
        <v>444</v>
      </c>
      <c r="L982">
        <v>10</v>
      </c>
      <c r="M982" t="s">
        <v>31</v>
      </c>
      <c r="N982">
        <v>91.6</v>
      </c>
      <c r="O982">
        <v>141</v>
      </c>
      <c r="P982">
        <v>1</v>
      </c>
    </row>
    <row r="983" spans="1:16" x14ac:dyDescent="0.25">
      <c r="A983" s="1">
        <v>45504.154976851853</v>
      </c>
      <c r="B983" t="s">
        <v>24</v>
      </c>
      <c r="C983">
        <v>56.282899999999998</v>
      </c>
      <c r="D983">
        <v>49.029200000000003</v>
      </c>
      <c r="E983">
        <v>201</v>
      </c>
      <c r="F983" t="s">
        <v>21</v>
      </c>
      <c r="G983">
        <v>24.4</v>
      </c>
      <c r="H983">
        <v>50.8</v>
      </c>
      <c r="I983" t="s">
        <v>22</v>
      </c>
      <c r="J983">
        <v>13</v>
      </c>
      <c r="K983">
        <v>367</v>
      </c>
      <c r="L983">
        <v>2</v>
      </c>
      <c r="M983" t="s">
        <v>19</v>
      </c>
      <c r="N983">
        <v>88.3</v>
      </c>
      <c r="O983">
        <v>174</v>
      </c>
      <c r="P983">
        <v>1</v>
      </c>
    </row>
    <row r="984" spans="1:16" x14ac:dyDescent="0.25">
      <c r="A984" s="1">
        <v>45367.555902777778</v>
      </c>
      <c r="B984" t="s">
        <v>25</v>
      </c>
      <c r="C984">
        <v>-89.098100000000002</v>
      </c>
      <c r="D984">
        <v>33.8294</v>
      </c>
      <c r="E984">
        <v>226</v>
      </c>
      <c r="F984" t="s">
        <v>21</v>
      </c>
      <c r="G984">
        <v>18.600000000000001</v>
      </c>
      <c r="H984">
        <v>77.900000000000006</v>
      </c>
      <c r="I984" t="s">
        <v>22</v>
      </c>
      <c r="J984">
        <v>30</v>
      </c>
      <c r="K984">
        <v>252</v>
      </c>
      <c r="L984">
        <v>10</v>
      </c>
      <c r="M984" t="s">
        <v>19</v>
      </c>
      <c r="N984">
        <v>67.3</v>
      </c>
      <c r="O984">
        <v>145</v>
      </c>
      <c r="P984">
        <v>1</v>
      </c>
    </row>
    <row r="985" spans="1:16" x14ac:dyDescent="0.25">
      <c r="A985" s="1">
        <v>45460.613321759258</v>
      </c>
      <c r="B985" t="s">
        <v>25</v>
      </c>
      <c r="C985">
        <v>0.40550000000000003</v>
      </c>
      <c r="D985">
        <v>97.602199999999996</v>
      </c>
      <c r="E985">
        <v>266</v>
      </c>
      <c r="F985" t="s">
        <v>26</v>
      </c>
      <c r="G985">
        <v>23.5</v>
      </c>
      <c r="H985">
        <v>60.2</v>
      </c>
      <c r="I985" t="s">
        <v>22</v>
      </c>
      <c r="J985">
        <v>57</v>
      </c>
      <c r="K985">
        <v>108</v>
      </c>
      <c r="L985">
        <v>2</v>
      </c>
      <c r="M985" t="s">
        <v>27</v>
      </c>
      <c r="N985">
        <v>65.5</v>
      </c>
      <c r="O985">
        <v>202</v>
      </c>
      <c r="P985">
        <v>1</v>
      </c>
    </row>
    <row r="986" spans="1:16" x14ac:dyDescent="0.25">
      <c r="A986" s="1">
        <v>45317.208402777775</v>
      </c>
      <c r="B986" t="s">
        <v>32</v>
      </c>
      <c r="C986">
        <v>29.712800000000001</v>
      </c>
      <c r="D986">
        <v>-51.899299999999997</v>
      </c>
      <c r="E986">
        <v>277</v>
      </c>
      <c r="F986" t="s">
        <v>26</v>
      </c>
      <c r="G986">
        <v>29.2</v>
      </c>
      <c r="H986">
        <v>56.9</v>
      </c>
      <c r="I986" t="s">
        <v>18</v>
      </c>
      <c r="J986">
        <v>24</v>
      </c>
      <c r="K986">
        <v>100</v>
      </c>
      <c r="L986">
        <v>2</v>
      </c>
      <c r="M986" t="s">
        <v>31</v>
      </c>
      <c r="N986">
        <v>84.2</v>
      </c>
      <c r="O986">
        <v>164</v>
      </c>
      <c r="P986">
        <v>0</v>
      </c>
    </row>
    <row r="987" spans="1:16" x14ac:dyDescent="0.25">
      <c r="A987" s="1">
        <v>45360.414259259262</v>
      </c>
      <c r="B987" t="s">
        <v>29</v>
      </c>
      <c r="C987">
        <v>76.858199999999997</v>
      </c>
      <c r="D987">
        <v>-8.4829000000000008</v>
      </c>
      <c r="E987">
        <v>475</v>
      </c>
      <c r="F987" t="s">
        <v>21</v>
      </c>
      <c r="G987">
        <v>24.3</v>
      </c>
      <c r="H987">
        <v>52.6</v>
      </c>
      <c r="I987" t="s">
        <v>22</v>
      </c>
      <c r="J987">
        <v>55</v>
      </c>
      <c r="K987">
        <v>283</v>
      </c>
      <c r="L987">
        <v>6</v>
      </c>
      <c r="M987" t="s">
        <v>23</v>
      </c>
      <c r="N987">
        <v>95.9</v>
      </c>
      <c r="O987">
        <v>173</v>
      </c>
      <c r="P987">
        <v>1</v>
      </c>
    </row>
    <row r="988" spans="1:16" x14ac:dyDescent="0.25">
      <c r="A988" s="1">
        <v>45532.307638888888</v>
      </c>
      <c r="B988" t="s">
        <v>32</v>
      </c>
      <c r="C988">
        <v>-74.188000000000002</v>
      </c>
      <c r="D988">
        <v>-176.01410000000001</v>
      </c>
      <c r="E988">
        <v>387</v>
      </c>
      <c r="F988" t="s">
        <v>26</v>
      </c>
      <c r="G988">
        <v>28.1</v>
      </c>
      <c r="H988">
        <v>64.7</v>
      </c>
      <c r="I988" t="s">
        <v>28</v>
      </c>
      <c r="J988">
        <v>51</v>
      </c>
      <c r="K988">
        <v>340</v>
      </c>
      <c r="L988">
        <v>10</v>
      </c>
      <c r="M988" t="s">
        <v>23</v>
      </c>
      <c r="N988">
        <v>61.1</v>
      </c>
      <c r="O988">
        <v>243</v>
      </c>
      <c r="P988">
        <v>0</v>
      </c>
    </row>
    <row r="989" spans="1:16" x14ac:dyDescent="0.25">
      <c r="A989" s="1">
        <v>45304.790995370371</v>
      </c>
      <c r="B989" t="s">
        <v>20</v>
      </c>
      <c r="C989">
        <v>14.1533</v>
      </c>
      <c r="D989">
        <v>164.11859999999999</v>
      </c>
      <c r="E989">
        <v>286</v>
      </c>
      <c r="F989" t="s">
        <v>21</v>
      </c>
      <c r="G989">
        <v>25</v>
      </c>
      <c r="H989">
        <v>68.400000000000006</v>
      </c>
      <c r="I989" t="s">
        <v>22</v>
      </c>
      <c r="J989">
        <v>50</v>
      </c>
      <c r="K989">
        <v>382</v>
      </c>
      <c r="L989">
        <v>5</v>
      </c>
      <c r="M989" t="s">
        <v>23</v>
      </c>
      <c r="N989">
        <v>71.900000000000006</v>
      </c>
      <c r="O989">
        <v>283</v>
      </c>
      <c r="P989">
        <v>1</v>
      </c>
    </row>
    <row r="990" spans="1:16" x14ac:dyDescent="0.25">
      <c r="A990" s="1">
        <v>45647.450416666667</v>
      </c>
      <c r="B990" t="s">
        <v>16</v>
      </c>
      <c r="C990">
        <v>3.9786000000000001</v>
      </c>
      <c r="D990">
        <v>-135.22190000000001</v>
      </c>
      <c r="E990">
        <v>367</v>
      </c>
      <c r="F990" t="s">
        <v>17</v>
      </c>
      <c r="G990">
        <v>27</v>
      </c>
      <c r="H990">
        <v>55.1</v>
      </c>
      <c r="I990" t="s">
        <v>22</v>
      </c>
      <c r="J990">
        <v>47</v>
      </c>
      <c r="K990">
        <v>449</v>
      </c>
      <c r="L990">
        <v>9</v>
      </c>
      <c r="M990" t="s">
        <v>31</v>
      </c>
      <c r="N990">
        <v>99.7</v>
      </c>
      <c r="O990">
        <v>109</v>
      </c>
      <c r="P990">
        <v>1</v>
      </c>
    </row>
    <row r="991" spans="1:16" x14ac:dyDescent="0.25">
      <c r="A991" s="1">
        <v>45654.736215277779</v>
      </c>
      <c r="B991" t="s">
        <v>29</v>
      </c>
      <c r="C991">
        <v>-40.921599999999998</v>
      </c>
      <c r="D991">
        <v>27.528099999999998</v>
      </c>
      <c r="E991">
        <v>371</v>
      </c>
      <c r="F991" t="s">
        <v>17</v>
      </c>
      <c r="G991">
        <v>27.4</v>
      </c>
      <c r="H991">
        <v>50.9</v>
      </c>
      <c r="I991" t="s">
        <v>28</v>
      </c>
      <c r="J991">
        <v>40</v>
      </c>
      <c r="K991">
        <v>463</v>
      </c>
      <c r="L991">
        <v>8</v>
      </c>
      <c r="M991" t="s">
        <v>23</v>
      </c>
      <c r="N991">
        <v>90.7</v>
      </c>
      <c r="O991">
        <v>144</v>
      </c>
      <c r="P991">
        <v>1</v>
      </c>
    </row>
    <row r="992" spans="1:16" x14ac:dyDescent="0.25">
      <c r="A992" s="1">
        <v>45522.244293981479</v>
      </c>
      <c r="B992" t="s">
        <v>16</v>
      </c>
      <c r="C992">
        <v>-58.432099999999998</v>
      </c>
      <c r="D992">
        <v>-90.511799999999994</v>
      </c>
      <c r="E992">
        <v>315</v>
      </c>
      <c r="F992" t="s">
        <v>26</v>
      </c>
      <c r="G992">
        <v>23.5</v>
      </c>
      <c r="H992">
        <v>68.599999999999994</v>
      </c>
      <c r="I992" t="s">
        <v>22</v>
      </c>
      <c r="J992">
        <v>20</v>
      </c>
      <c r="K992">
        <v>372</v>
      </c>
      <c r="L992">
        <v>1</v>
      </c>
      <c r="M992" t="s">
        <v>19</v>
      </c>
      <c r="N992">
        <v>63.8</v>
      </c>
      <c r="O992">
        <v>221</v>
      </c>
      <c r="P992">
        <v>1</v>
      </c>
    </row>
    <row r="993" spans="1:16" x14ac:dyDescent="0.25">
      <c r="A993" s="1">
        <v>45544.231446759259</v>
      </c>
      <c r="B993" t="s">
        <v>20</v>
      </c>
      <c r="C993">
        <v>41.767899999999997</v>
      </c>
      <c r="D993">
        <v>-95.813500000000005</v>
      </c>
      <c r="E993">
        <v>262</v>
      </c>
      <c r="F993" t="s">
        <v>21</v>
      </c>
      <c r="G993">
        <v>24.5</v>
      </c>
      <c r="H993">
        <v>50.1</v>
      </c>
      <c r="I993" t="s">
        <v>22</v>
      </c>
      <c r="J993">
        <v>20</v>
      </c>
      <c r="K993">
        <v>387</v>
      </c>
      <c r="L993">
        <v>2</v>
      </c>
      <c r="M993" t="s">
        <v>23</v>
      </c>
      <c r="N993">
        <v>95</v>
      </c>
      <c r="O993">
        <v>145</v>
      </c>
      <c r="P993">
        <v>1</v>
      </c>
    </row>
    <row r="994" spans="1:16" x14ac:dyDescent="0.25">
      <c r="A994" s="1">
        <v>45566.389652777776</v>
      </c>
      <c r="B994" t="s">
        <v>16</v>
      </c>
      <c r="C994">
        <v>61.942300000000003</v>
      </c>
      <c r="D994">
        <v>34.526000000000003</v>
      </c>
      <c r="E994">
        <v>201</v>
      </c>
      <c r="F994" t="s">
        <v>17</v>
      </c>
      <c r="G994">
        <v>23.9</v>
      </c>
      <c r="H994">
        <v>57.8</v>
      </c>
      <c r="I994" t="s">
        <v>22</v>
      </c>
      <c r="J994">
        <v>24</v>
      </c>
      <c r="K994">
        <v>170</v>
      </c>
      <c r="L994">
        <v>1</v>
      </c>
      <c r="M994" t="s">
        <v>31</v>
      </c>
      <c r="N994">
        <v>90.8</v>
      </c>
      <c r="O994">
        <v>104</v>
      </c>
      <c r="P994">
        <v>1</v>
      </c>
    </row>
    <row r="995" spans="1:16" x14ac:dyDescent="0.25">
      <c r="A995" s="1">
        <v>45579.431446759256</v>
      </c>
      <c r="B995" t="s">
        <v>29</v>
      </c>
      <c r="C995">
        <v>46.972900000000003</v>
      </c>
      <c r="D995">
        <v>-36.519799999999996</v>
      </c>
      <c r="E995">
        <v>420</v>
      </c>
      <c r="F995" t="s">
        <v>17</v>
      </c>
      <c r="G995">
        <v>21.6</v>
      </c>
      <c r="H995">
        <v>62.8</v>
      </c>
      <c r="I995" t="s">
        <v>28</v>
      </c>
      <c r="J995">
        <v>31</v>
      </c>
      <c r="K995">
        <v>242</v>
      </c>
      <c r="L995">
        <v>10</v>
      </c>
      <c r="M995" t="s">
        <v>23</v>
      </c>
      <c r="N995">
        <v>95.6</v>
      </c>
      <c r="O995">
        <v>221</v>
      </c>
      <c r="P995">
        <v>1</v>
      </c>
    </row>
    <row r="996" spans="1:16" x14ac:dyDescent="0.25">
      <c r="A996" s="1">
        <v>45456.020185185182</v>
      </c>
      <c r="B996" t="s">
        <v>35</v>
      </c>
      <c r="C996">
        <v>44.247700000000002</v>
      </c>
      <c r="D996">
        <v>175.0702</v>
      </c>
      <c r="E996">
        <v>143</v>
      </c>
      <c r="F996" t="s">
        <v>26</v>
      </c>
      <c r="G996">
        <v>21.6</v>
      </c>
      <c r="H996">
        <v>64.099999999999994</v>
      </c>
      <c r="I996" t="s">
        <v>18</v>
      </c>
      <c r="J996">
        <v>32</v>
      </c>
      <c r="K996">
        <v>307</v>
      </c>
      <c r="L996">
        <v>10</v>
      </c>
      <c r="M996" t="s">
        <v>27</v>
      </c>
      <c r="N996">
        <v>64</v>
      </c>
      <c r="O996">
        <v>168</v>
      </c>
      <c r="P996">
        <v>0</v>
      </c>
    </row>
    <row r="997" spans="1:16" x14ac:dyDescent="0.25">
      <c r="A997" s="1">
        <v>45495.6875</v>
      </c>
      <c r="B997" t="s">
        <v>20</v>
      </c>
      <c r="C997">
        <v>89.870099999999994</v>
      </c>
      <c r="D997">
        <v>73.686700000000002</v>
      </c>
      <c r="E997">
        <v>264</v>
      </c>
      <c r="F997" t="s">
        <v>26</v>
      </c>
      <c r="G997">
        <v>26.9</v>
      </c>
      <c r="H997">
        <v>70</v>
      </c>
      <c r="I997" t="s">
        <v>22</v>
      </c>
      <c r="J997">
        <v>32</v>
      </c>
      <c r="K997">
        <v>188</v>
      </c>
      <c r="L997">
        <v>1</v>
      </c>
      <c r="M997" t="s">
        <v>23</v>
      </c>
      <c r="N997">
        <v>79.2</v>
      </c>
      <c r="O997">
        <v>213</v>
      </c>
      <c r="P997">
        <v>1</v>
      </c>
    </row>
    <row r="998" spans="1:16" x14ac:dyDescent="0.25">
      <c r="A998" s="1">
        <v>45412.207615740743</v>
      </c>
      <c r="B998" t="s">
        <v>34</v>
      </c>
      <c r="C998">
        <v>-10.479200000000001</v>
      </c>
      <c r="D998">
        <v>-177.12389999999999</v>
      </c>
      <c r="E998">
        <v>479</v>
      </c>
      <c r="F998" t="s">
        <v>26</v>
      </c>
      <c r="G998">
        <v>23.7</v>
      </c>
      <c r="H998">
        <v>77.900000000000006</v>
      </c>
      <c r="I998" t="s">
        <v>18</v>
      </c>
      <c r="J998">
        <v>56</v>
      </c>
      <c r="K998">
        <v>276</v>
      </c>
      <c r="L998">
        <v>7</v>
      </c>
      <c r="M998" t="s">
        <v>23</v>
      </c>
      <c r="N998">
        <v>83.7</v>
      </c>
      <c r="O998">
        <v>272</v>
      </c>
      <c r="P998">
        <v>0</v>
      </c>
    </row>
    <row r="999" spans="1:16" x14ac:dyDescent="0.25">
      <c r="A999" s="1">
        <v>45592.923067129632</v>
      </c>
      <c r="B999" t="s">
        <v>30</v>
      </c>
      <c r="C999">
        <v>-71.060900000000004</v>
      </c>
      <c r="D999">
        <v>75.371399999999994</v>
      </c>
      <c r="E999">
        <v>347</v>
      </c>
      <c r="F999" t="s">
        <v>21</v>
      </c>
      <c r="G999">
        <v>21</v>
      </c>
      <c r="H999">
        <v>63.1</v>
      </c>
      <c r="I999" t="s">
        <v>18</v>
      </c>
      <c r="J999">
        <v>35</v>
      </c>
      <c r="K999">
        <v>382</v>
      </c>
      <c r="L999">
        <v>5</v>
      </c>
      <c r="M999" t="s">
        <v>19</v>
      </c>
      <c r="N999">
        <v>74.8</v>
      </c>
      <c r="O999">
        <v>275</v>
      </c>
      <c r="P999">
        <v>0</v>
      </c>
    </row>
    <row r="1000" spans="1:16" x14ac:dyDescent="0.25">
      <c r="A1000" s="1">
        <v>45400.963148148148</v>
      </c>
      <c r="B1000" t="s">
        <v>30</v>
      </c>
      <c r="C1000">
        <v>-76.790999999999997</v>
      </c>
      <c r="D1000">
        <v>18.363099999999999</v>
      </c>
      <c r="E1000">
        <v>276</v>
      </c>
      <c r="F1000" t="s">
        <v>26</v>
      </c>
      <c r="G1000">
        <v>18</v>
      </c>
      <c r="H1000">
        <v>64.3</v>
      </c>
      <c r="I1000" t="s">
        <v>22</v>
      </c>
      <c r="J1000">
        <v>10</v>
      </c>
      <c r="K1000">
        <v>361</v>
      </c>
      <c r="L1000">
        <v>5</v>
      </c>
      <c r="M1000" t="s">
        <v>19</v>
      </c>
      <c r="N1000">
        <v>88.6</v>
      </c>
      <c r="O1000">
        <v>242</v>
      </c>
      <c r="P1000">
        <v>1</v>
      </c>
    </row>
    <row r="1001" spans="1:16" x14ac:dyDescent="0.25">
      <c r="A1001" s="1">
        <v>45553.819027777776</v>
      </c>
      <c r="B1001" t="s">
        <v>32</v>
      </c>
      <c r="C1001">
        <v>59.835599999999999</v>
      </c>
      <c r="D1001">
        <v>-114.4198</v>
      </c>
      <c r="E1001">
        <v>157</v>
      </c>
      <c r="F1001" t="s">
        <v>17</v>
      </c>
      <c r="G1001">
        <v>18.7</v>
      </c>
      <c r="H1001">
        <v>73.599999999999994</v>
      </c>
      <c r="I1001" t="s">
        <v>28</v>
      </c>
      <c r="J1001">
        <v>55</v>
      </c>
      <c r="K1001">
        <v>323</v>
      </c>
      <c r="L1001">
        <v>9</v>
      </c>
      <c r="M1001" t="s">
        <v>31</v>
      </c>
      <c r="N1001">
        <v>81.3</v>
      </c>
      <c r="O1001">
        <v>141</v>
      </c>
      <c r="P1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9768-A5DC-43FA-AE3F-2EED6B390C66}">
  <dimension ref="A1:Z1001"/>
  <sheetViews>
    <sheetView tabSelected="1" topLeftCell="A91" workbookViewId="0"/>
  </sheetViews>
  <sheetFormatPr defaultRowHeight="15" x14ac:dyDescent="0.25"/>
  <cols>
    <col min="1" max="1" width="15.5703125" bestFit="1" customWidth="1"/>
    <col min="2" max="2" width="11.140625" bestFit="1" customWidth="1"/>
    <col min="3" max="3" width="10.7109375" bestFit="1" customWidth="1"/>
    <col min="4" max="4" width="12.28515625" bestFit="1" customWidth="1"/>
    <col min="5" max="5" width="17.7109375" bestFit="1" customWidth="1"/>
    <col min="6" max="6" width="18.7109375" bestFit="1" customWidth="1"/>
    <col min="7" max="7" width="14.85546875" bestFit="1" customWidth="1"/>
    <col min="8" max="8" width="11.5703125" bestFit="1" customWidth="1"/>
    <col min="9" max="9" width="15.7109375" bestFit="1" customWidth="1"/>
    <col min="10" max="10" width="15.5703125" bestFit="1" customWidth="1"/>
    <col min="11" max="11" width="27" bestFit="1" customWidth="1"/>
    <col min="12" max="12" width="27.28515625" bestFit="1" customWidth="1"/>
    <col min="13" max="13" width="25.28515625" bestFit="1" customWidth="1"/>
    <col min="14" max="14" width="18.42578125" bestFit="1" customWidth="1"/>
    <col min="15" max="15" width="19.7109375" bestFit="1" customWidth="1"/>
    <col min="16" max="16" width="17.42578125" bestFit="1" customWidth="1"/>
    <col min="17" max="17" width="9" bestFit="1" customWidth="1"/>
    <col min="18" max="18" width="7.28515625" bestFit="1" customWidth="1"/>
    <col min="19" max="19" width="11.5703125" bestFit="1" customWidth="1"/>
    <col min="20" max="20" width="9.85546875" bestFit="1" customWidth="1"/>
    <col min="21" max="21" width="14.28515625" bestFit="1" customWidth="1"/>
    <col min="22" max="23" width="13.140625" bestFit="1" customWidth="1"/>
    <col min="24" max="24" width="20.140625" bestFit="1" customWidth="1"/>
    <col min="25" max="25" width="21.28515625" bestFit="1" customWidth="1"/>
    <col min="26" max="26" width="17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78</v>
      </c>
      <c r="R1" t="s">
        <v>77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</row>
    <row r="2" spans="1:26" x14ac:dyDescent="0.25">
      <c r="A2" s="1">
        <v>45371.007800925923</v>
      </c>
      <c r="B2" s="8" t="s">
        <v>16</v>
      </c>
      <c r="C2">
        <v>-65.738299999999995</v>
      </c>
      <c r="D2">
        <v>11.249700000000001</v>
      </c>
      <c r="E2">
        <v>390</v>
      </c>
      <c r="F2" s="8" t="s">
        <v>17</v>
      </c>
      <c r="G2">
        <v>27</v>
      </c>
      <c r="H2">
        <v>67.8</v>
      </c>
      <c r="I2" s="8" t="s">
        <v>18</v>
      </c>
      <c r="J2">
        <v>38</v>
      </c>
      <c r="K2">
        <v>320</v>
      </c>
      <c r="L2">
        <v>4</v>
      </c>
      <c r="M2" s="8" t="s">
        <v>19</v>
      </c>
      <c r="N2">
        <v>60.1</v>
      </c>
      <c r="O2">
        <v>285</v>
      </c>
      <c r="P2">
        <v>1</v>
      </c>
      <c r="Q2">
        <v>3</v>
      </c>
      <c r="R2">
        <v>2024</v>
      </c>
      <c r="S2">
        <v>3</v>
      </c>
      <c r="T2" s="8" t="s">
        <v>90</v>
      </c>
      <c r="U2">
        <v>0</v>
      </c>
      <c r="V2">
        <v>2</v>
      </c>
      <c r="W2">
        <v>1</v>
      </c>
      <c r="X2">
        <v>0</v>
      </c>
      <c r="Y2">
        <v>0</v>
      </c>
      <c r="Z2">
        <v>0</v>
      </c>
    </row>
    <row r="3" spans="1:26" x14ac:dyDescent="0.25">
      <c r="A3" s="1">
        <v>45595.329062500001</v>
      </c>
      <c r="B3" s="8" t="s">
        <v>20</v>
      </c>
      <c r="C3">
        <v>22.274799999999999</v>
      </c>
      <c r="D3">
        <v>-131.70859999999999</v>
      </c>
      <c r="E3">
        <v>491</v>
      </c>
      <c r="F3" s="8" t="s">
        <v>21</v>
      </c>
      <c r="G3">
        <v>22.5</v>
      </c>
      <c r="H3">
        <v>54.3</v>
      </c>
      <c r="I3" s="8" t="s">
        <v>22</v>
      </c>
      <c r="J3">
        <v>16</v>
      </c>
      <c r="K3">
        <v>439</v>
      </c>
      <c r="L3">
        <v>7</v>
      </c>
      <c r="M3" s="8" t="s">
        <v>23</v>
      </c>
      <c r="N3">
        <v>80.900000000000006</v>
      </c>
      <c r="O3">
        <v>174</v>
      </c>
      <c r="P3">
        <v>1</v>
      </c>
      <c r="Q3">
        <v>10</v>
      </c>
      <c r="R3">
        <v>2024</v>
      </c>
      <c r="S3">
        <v>3</v>
      </c>
      <c r="T3" s="8" t="s">
        <v>91</v>
      </c>
      <c r="U3">
        <v>0</v>
      </c>
      <c r="V3">
        <v>0</v>
      </c>
      <c r="W3">
        <v>2</v>
      </c>
      <c r="X3">
        <v>1</v>
      </c>
      <c r="Y3">
        <v>0</v>
      </c>
      <c r="Z3">
        <v>0</v>
      </c>
    </row>
    <row r="4" spans="1:26" x14ac:dyDescent="0.25">
      <c r="A4" s="1">
        <v>45502.779722222222</v>
      </c>
      <c r="B4" s="8" t="s">
        <v>24</v>
      </c>
      <c r="C4">
        <v>54.923200000000001</v>
      </c>
      <c r="D4">
        <v>79.545500000000004</v>
      </c>
      <c r="E4">
        <v>190</v>
      </c>
      <c r="F4" s="8" t="s">
        <v>21</v>
      </c>
      <c r="G4">
        <v>25.2</v>
      </c>
      <c r="H4">
        <v>62.2</v>
      </c>
      <c r="I4" s="8" t="s">
        <v>18</v>
      </c>
      <c r="J4">
        <v>34</v>
      </c>
      <c r="K4">
        <v>355</v>
      </c>
      <c r="L4">
        <v>3</v>
      </c>
      <c r="M4" s="8" t="s">
        <v>19</v>
      </c>
      <c r="N4">
        <v>99.2</v>
      </c>
      <c r="O4">
        <v>260</v>
      </c>
      <c r="P4">
        <v>0</v>
      </c>
      <c r="Q4">
        <v>7</v>
      </c>
      <c r="R4">
        <v>2024</v>
      </c>
      <c r="S4">
        <v>1</v>
      </c>
      <c r="T4" s="8" t="s">
        <v>92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</row>
    <row r="5" spans="1:26" x14ac:dyDescent="0.25">
      <c r="A5" s="1">
        <v>45593.03534722222</v>
      </c>
      <c r="B5" s="8" t="s">
        <v>25</v>
      </c>
      <c r="C5">
        <v>42.39</v>
      </c>
      <c r="D5">
        <v>-1.4787999999999999</v>
      </c>
      <c r="E5">
        <v>330</v>
      </c>
      <c r="F5" s="8" t="s">
        <v>26</v>
      </c>
      <c r="G5">
        <v>25.4</v>
      </c>
      <c r="H5">
        <v>52.3</v>
      </c>
      <c r="I5" s="8" t="s">
        <v>22</v>
      </c>
      <c r="J5">
        <v>37</v>
      </c>
      <c r="K5">
        <v>227</v>
      </c>
      <c r="L5">
        <v>5</v>
      </c>
      <c r="M5" s="8" t="s">
        <v>27</v>
      </c>
      <c r="N5">
        <v>97.4</v>
      </c>
      <c r="O5">
        <v>160</v>
      </c>
      <c r="P5">
        <v>1</v>
      </c>
      <c r="Q5">
        <v>10</v>
      </c>
      <c r="R5">
        <v>2024</v>
      </c>
      <c r="S5">
        <v>1</v>
      </c>
      <c r="T5" s="8" t="s">
        <v>91</v>
      </c>
      <c r="U5">
        <v>0</v>
      </c>
      <c r="V5">
        <v>1</v>
      </c>
      <c r="W5">
        <v>2</v>
      </c>
      <c r="X5">
        <v>1</v>
      </c>
      <c r="Y5">
        <v>0</v>
      </c>
      <c r="Z5">
        <v>0</v>
      </c>
    </row>
    <row r="6" spans="1:26" x14ac:dyDescent="0.25">
      <c r="A6" s="1">
        <v>45562.661782407406</v>
      </c>
      <c r="B6" s="8" t="s">
        <v>16</v>
      </c>
      <c r="C6">
        <v>-65.847700000000003</v>
      </c>
      <c r="D6">
        <v>47.946800000000003</v>
      </c>
      <c r="E6">
        <v>480</v>
      </c>
      <c r="F6" s="8" t="s">
        <v>17</v>
      </c>
      <c r="G6">
        <v>20.5</v>
      </c>
      <c r="H6">
        <v>57.2</v>
      </c>
      <c r="I6" s="8" t="s">
        <v>28</v>
      </c>
      <c r="J6">
        <v>56</v>
      </c>
      <c r="K6">
        <v>197</v>
      </c>
      <c r="L6">
        <v>6</v>
      </c>
      <c r="M6" s="8" t="s">
        <v>19</v>
      </c>
      <c r="N6">
        <v>71.599999999999994</v>
      </c>
      <c r="O6">
        <v>270</v>
      </c>
      <c r="P6">
        <v>1</v>
      </c>
      <c r="Q6">
        <v>9</v>
      </c>
      <c r="R6">
        <v>2024</v>
      </c>
      <c r="S6">
        <v>5</v>
      </c>
      <c r="T6" s="8" t="s">
        <v>91</v>
      </c>
      <c r="U6">
        <v>1</v>
      </c>
      <c r="V6">
        <v>2</v>
      </c>
      <c r="W6">
        <v>0</v>
      </c>
      <c r="X6">
        <v>0</v>
      </c>
      <c r="Y6">
        <v>0</v>
      </c>
      <c r="Z6">
        <v>1</v>
      </c>
    </row>
    <row r="7" spans="1:26" x14ac:dyDescent="0.25">
      <c r="A7" s="1">
        <v>45552.251562500001</v>
      </c>
      <c r="B7" s="8" t="s">
        <v>16</v>
      </c>
      <c r="C7">
        <v>73.331199999999995</v>
      </c>
      <c r="D7">
        <v>46.583100000000002</v>
      </c>
      <c r="E7">
        <v>118</v>
      </c>
      <c r="F7" s="8" t="s">
        <v>21</v>
      </c>
      <c r="G7">
        <v>24.3</v>
      </c>
      <c r="H7">
        <v>61.8</v>
      </c>
      <c r="I7" s="8" t="s">
        <v>28</v>
      </c>
      <c r="J7">
        <v>56</v>
      </c>
      <c r="K7">
        <v>258</v>
      </c>
      <c r="L7">
        <v>10</v>
      </c>
      <c r="M7" s="8" t="s">
        <v>19</v>
      </c>
      <c r="N7">
        <v>66.8</v>
      </c>
      <c r="O7">
        <v>189</v>
      </c>
      <c r="P7">
        <v>0</v>
      </c>
      <c r="Q7">
        <v>9</v>
      </c>
      <c r="R7">
        <v>2024</v>
      </c>
      <c r="S7">
        <v>2</v>
      </c>
      <c r="T7" s="8" t="s">
        <v>91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 x14ac:dyDescent="0.25">
      <c r="A8" s="1">
        <v>45327.36037037037</v>
      </c>
      <c r="B8" s="8" t="s">
        <v>29</v>
      </c>
      <c r="C8">
        <v>27.930700000000002</v>
      </c>
      <c r="D8">
        <v>147.5317</v>
      </c>
      <c r="E8">
        <v>480</v>
      </c>
      <c r="F8" s="8" t="s">
        <v>17</v>
      </c>
      <c r="G8">
        <v>20.7</v>
      </c>
      <c r="H8">
        <v>75.400000000000006</v>
      </c>
      <c r="I8" s="8" t="s">
        <v>28</v>
      </c>
      <c r="J8">
        <v>32</v>
      </c>
      <c r="K8">
        <v>263</v>
      </c>
      <c r="L8">
        <v>3</v>
      </c>
      <c r="M8" s="8" t="s">
        <v>19</v>
      </c>
      <c r="N8">
        <v>73.3</v>
      </c>
      <c r="O8">
        <v>198</v>
      </c>
      <c r="P8">
        <v>1</v>
      </c>
      <c r="Q8">
        <v>2</v>
      </c>
      <c r="R8">
        <v>2024</v>
      </c>
      <c r="S8">
        <v>1</v>
      </c>
      <c r="T8" s="8" t="s">
        <v>93</v>
      </c>
      <c r="U8">
        <v>0</v>
      </c>
      <c r="V8">
        <v>2</v>
      </c>
      <c r="W8">
        <v>0</v>
      </c>
      <c r="X8">
        <v>0</v>
      </c>
      <c r="Y8">
        <v>1</v>
      </c>
      <c r="Z8">
        <v>0</v>
      </c>
    </row>
    <row r="9" spans="1:26" x14ac:dyDescent="0.25">
      <c r="A9" s="1">
        <v>45563.38082175926</v>
      </c>
      <c r="B9" s="8" t="s">
        <v>25</v>
      </c>
      <c r="C9">
        <v>46.564300000000003</v>
      </c>
      <c r="D9">
        <v>-126.5348</v>
      </c>
      <c r="E9">
        <v>222</v>
      </c>
      <c r="F9" s="8" t="s">
        <v>21</v>
      </c>
      <c r="G9">
        <v>23.3</v>
      </c>
      <c r="H9">
        <v>64.2</v>
      </c>
      <c r="I9" s="8" t="s">
        <v>18</v>
      </c>
      <c r="J9">
        <v>30</v>
      </c>
      <c r="K9">
        <v>459</v>
      </c>
      <c r="L9">
        <v>9</v>
      </c>
      <c r="M9" s="8" t="s">
        <v>27</v>
      </c>
      <c r="N9">
        <v>73.8</v>
      </c>
      <c r="O9">
        <v>253</v>
      </c>
      <c r="P9">
        <v>0</v>
      </c>
      <c r="Q9">
        <v>9</v>
      </c>
      <c r="R9">
        <v>2024</v>
      </c>
      <c r="S9">
        <v>6</v>
      </c>
      <c r="T9" s="8" t="s">
        <v>91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</row>
    <row r="10" spans="1:26" x14ac:dyDescent="0.25">
      <c r="A10" s="1">
        <v>45309.352129629631</v>
      </c>
      <c r="B10" s="8" t="s">
        <v>25</v>
      </c>
      <c r="C10">
        <v>-83.673699999999997</v>
      </c>
      <c r="D10">
        <v>-31.712499999999999</v>
      </c>
      <c r="E10">
        <v>245</v>
      </c>
      <c r="F10" s="8" t="s">
        <v>26</v>
      </c>
      <c r="G10">
        <v>26.4</v>
      </c>
      <c r="H10">
        <v>77.2</v>
      </c>
      <c r="I10" s="8" t="s">
        <v>28</v>
      </c>
      <c r="J10">
        <v>14</v>
      </c>
      <c r="K10">
        <v>183</v>
      </c>
      <c r="L10">
        <v>2</v>
      </c>
      <c r="M10" s="8" t="s">
        <v>19</v>
      </c>
      <c r="N10">
        <v>69.599999999999994</v>
      </c>
      <c r="O10">
        <v>206</v>
      </c>
      <c r="P10">
        <v>0</v>
      </c>
      <c r="Q10">
        <v>1</v>
      </c>
      <c r="R10">
        <v>2024</v>
      </c>
      <c r="S10">
        <v>4</v>
      </c>
      <c r="T10" s="8" t="s">
        <v>93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</row>
    <row r="11" spans="1:26" x14ac:dyDescent="0.25">
      <c r="A11" s="1">
        <v>45605.033634259256</v>
      </c>
      <c r="B11" s="8" t="s">
        <v>30</v>
      </c>
      <c r="C11">
        <v>54.168300000000002</v>
      </c>
      <c r="D11">
        <v>-135.26759999999999</v>
      </c>
      <c r="E11">
        <v>389</v>
      </c>
      <c r="F11" s="8" t="s">
        <v>21</v>
      </c>
      <c r="G11">
        <v>21.9</v>
      </c>
      <c r="H11">
        <v>57.3</v>
      </c>
      <c r="I11" s="8" t="s">
        <v>28</v>
      </c>
      <c r="J11">
        <v>52</v>
      </c>
      <c r="K11">
        <v>127</v>
      </c>
      <c r="L11">
        <v>7</v>
      </c>
      <c r="M11" s="8" t="s">
        <v>31</v>
      </c>
      <c r="N11">
        <v>63.1</v>
      </c>
      <c r="O11">
        <v>224</v>
      </c>
      <c r="P11">
        <v>0</v>
      </c>
      <c r="Q11">
        <v>11</v>
      </c>
      <c r="R11">
        <v>2024</v>
      </c>
      <c r="S11">
        <v>6</v>
      </c>
      <c r="T11" s="8" t="s">
        <v>91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 x14ac:dyDescent="0.25">
      <c r="A12" s="1">
        <v>45300.972025462965</v>
      </c>
      <c r="B12" s="8" t="s">
        <v>25</v>
      </c>
      <c r="C12">
        <v>82.963300000000004</v>
      </c>
      <c r="D12">
        <v>-154.5274</v>
      </c>
      <c r="E12">
        <v>319</v>
      </c>
      <c r="F12" s="8" t="s">
        <v>17</v>
      </c>
      <c r="G12">
        <v>22</v>
      </c>
      <c r="H12">
        <v>53.5</v>
      </c>
      <c r="I12" s="8" t="s">
        <v>28</v>
      </c>
      <c r="J12">
        <v>28</v>
      </c>
      <c r="K12">
        <v>360</v>
      </c>
      <c r="L12">
        <v>4</v>
      </c>
      <c r="M12" s="8" t="s">
        <v>19</v>
      </c>
      <c r="N12">
        <v>69.8</v>
      </c>
      <c r="O12">
        <v>171</v>
      </c>
      <c r="P12">
        <v>1</v>
      </c>
      <c r="Q12">
        <v>1</v>
      </c>
      <c r="R12">
        <v>2024</v>
      </c>
      <c r="S12">
        <v>2</v>
      </c>
      <c r="T12" s="8" t="s">
        <v>93</v>
      </c>
      <c r="U12">
        <v>0</v>
      </c>
      <c r="V12">
        <v>2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s="1">
        <v>45324.936296296299</v>
      </c>
      <c r="B13" s="8" t="s">
        <v>24</v>
      </c>
      <c r="C13">
        <v>-25.276800000000001</v>
      </c>
      <c r="D13">
        <v>156.12620000000001</v>
      </c>
      <c r="E13">
        <v>234</v>
      </c>
      <c r="F13" s="8" t="s">
        <v>26</v>
      </c>
      <c r="G13">
        <v>29.7</v>
      </c>
      <c r="H13">
        <v>63.6</v>
      </c>
      <c r="I13" s="8" t="s">
        <v>18</v>
      </c>
      <c r="J13">
        <v>13</v>
      </c>
      <c r="K13">
        <v>406</v>
      </c>
      <c r="L13">
        <v>10</v>
      </c>
      <c r="M13" s="8" t="s">
        <v>27</v>
      </c>
      <c r="N13">
        <v>85.5</v>
      </c>
      <c r="O13">
        <v>238</v>
      </c>
      <c r="P13">
        <v>0</v>
      </c>
      <c r="Q13">
        <v>2</v>
      </c>
      <c r="R13">
        <v>2024</v>
      </c>
      <c r="S13">
        <v>5</v>
      </c>
      <c r="T13" s="8" t="s">
        <v>93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</row>
    <row r="14" spans="1:26" x14ac:dyDescent="0.25">
      <c r="A14" s="1">
        <v>45339.885208333333</v>
      </c>
      <c r="B14" s="8" t="s">
        <v>32</v>
      </c>
      <c r="C14">
        <v>-65.525999999999996</v>
      </c>
      <c r="D14">
        <v>-3.0202</v>
      </c>
      <c r="E14">
        <v>154</v>
      </c>
      <c r="F14" s="8" t="s">
        <v>21</v>
      </c>
      <c r="G14">
        <v>21.5</v>
      </c>
      <c r="H14">
        <v>74.2</v>
      </c>
      <c r="I14" s="8" t="s">
        <v>18</v>
      </c>
      <c r="J14">
        <v>38</v>
      </c>
      <c r="K14">
        <v>215</v>
      </c>
      <c r="L14">
        <v>3</v>
      </c>
      <c r="M14" s="8" t="s">
        <v>23</v>
      </c>
      <c r="N14">
        <v>84.4</v>
      </c>
      <c r="O14">
        <v>114</v>
      </c>
      <c r="P14">
        <v>0</v>
      </c>
      <c r="Q14">
        <v>2</v>
      </c>
      <c r="R14">
        <v>2024</v>
      </c>
      <c r="S14">
        <v>6</v>
      </c>
      <c r="T14" s="8" t="s">
        <v>93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</row>
    <row r="15" spans="1:26" x14ac:dyDescent="0.25">
      <c r="A15" s="1">
        <v>45355.281134259261</v>
      </c>
      <c r="B15" s="8" t="s">
        <v>30</v>
      </c>
      <c r="C15">
        <v>-26.183599999999998</v>
      </c>
      <c r="D15">
        <v>-30.364100000000001</v>
      </c>
      <c r="E15">
        <v>348</v>
      </c>
      <c r="F15" s="8" t="s">
        <v>26</v>
      </c>
      <c r="G15">
        <v>27.3</v>
      </c>
      <c r="H15">
        <v>71.599999999999994</v>
      </c>
      <c r="I15" s="8" t="s">
        <v>18</v>
      </c>
      <c r="J15">
        <v>30</v>
      </c>
      <c r="K15">
        <v>211</v>
      </c>
      <c r="L15">
        <v>2</v>
      </c>
      <c r="M15" s="8" t="s">
        <v>19</v>
      </c>
      <c r="N15">
        <v>96.4</v>
      </c>
      <c r="O15">
        <v>115</v>
      </c>
      <c r="P15">
        <v>0</v>
      </c>
      <c r="Q15">
        <v>3</v>
      </c>
      <c r="R15">
        <v>2024</v>
      </c>
      <c r="S15">
        <v>1</v>
      </c>
      <c r="T15" s="8" t="s">
        <v>90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</row>
    <row r="16" spans="1:26" x14ac:dyDescent="0.25">
      <c r="A16" s="1">
        <v>45532.513356481482</v>
      </c>
      <c r="B16" s="8" t="s">
        <v>33</v>
      </c>
      <c r="C16">
        <v>2.6709000000000001</v>
      </c>
      <c r="D16">
        <v>-80.887900000000002</v>
      </c>
      <c r="E16">
        <v>163</v>
      </c>
      <c r="F16" s="8" t="s">
        <v>21</v>
      </c>
      <c r="G16">
        <v>25.1</v>
      </c>
      <c r="H16">
        <v>76.8</v>
      </c>
      <c r="I16" s="8" t="s">
        <v>22</v>
      </c>
      <c r="J16">
        <v>54</v>
      </c>
      <c r="K16">
        <v>320</v>
      </c>
      <c r="L16">
        <v>5</v>
      </c>
      <c r="M16" s="8" t="s">
        <v>23</v>
      </c>
      <c r="N16">
        <v>93.2</v>
      </c>
      <c r="O16">
        <v>231</v>
      </c>
      <c r="P16">
        <v>1</v>
      </c>
      <c r="Q16">
        <v>8</v>
      </c>
      <c r="R16">
        <v>2024</v>
      </c>
      <c r="S16">
        <v>3</v>
      </c>
      <c r="T16" s="8" t="s">
        <v>92</v>
      </c>
      <c r="U16">
        <v>0</v>
      </c>
      <c r="V16">
        <v>0</v>
      </c>
      <c r="W16">
        <v>2</v>
      </c>
      <c r="X16">
        <v>1</v>
      </c>
      <c r="Y16">
        <v>1</v>
      </c>
      <c r="Z16">
        <v>1</v>
      </c>
    </row>
    <row r="17" spans="1:26" x14ac:dyDescent="0.25">
      <c r="A17" s="1">
        <v>45295.953275462962</v>
      </c>
      <c r="B17" s="8" t="s">
        <v>34</v>
      </c>
      <c r="C17">
        <v>-22.479299999999999</v>
      </c>
      <c r="D17">
        <v>-54.514299999999999</v>
      </c>
      <c r="E17">
        <v>130</v>
      </c>
      <c r="F17" s="8" t="s">
        <v>17</v>
      </c>
      <c r="G17">
        <v>23.7</v>
      </c>
      <c r="H17">
        <v>68.099999999999994</v>
      </c>
      <c r="I17" s="8" t="s">
        <v>28</v>
      </c>
      <c r="J17">
        <v>45</v>
      </c>
      <c r="K17">
        <v>487</v>
      </c>
      <c r="L17">
        <v>4</v>
      </c>
      <c r="M17" s="8" t="s">
        <v>27</v>
      </c>
      <c r="N17">
        <v>84.1</v>
      </c>
      <c r="O17">
        <v>256</v>
      </c>
      <c r="P17">
        <v>1</v>
      </c>
      <c r="Q17">
        <v>1</v>
      </c>
      <c r="R17">
        <v>2024</v>
      </c>
      <c r="S17">
        <v>4</v>
      </c>
      <c r="T17" s="8" t="s">
        <v>93</v>
      </c>
      <c r="U17">
        <v>0</v>
      </c>
      <c r="V17">
        <v>2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s="1">
        <v>45595.744479166664</v>
      </c>
      <c r="B18" s="8" t="s">
        <v>29</v>
      </c>
      <c r="C18">
        <v>-34.535299999999999</v>
      </c>
      <c r="D18">
        <v>-40.861699999999999</v>
      </c>
      <c r="E18">
        <v>391</v>
      </c>
      <c r="F18" s="8" t="s">
        <v>17</v>
      </c>
      <c r="G18">
        <v>21.6</v>
      </c>
      <c r="H18">
        <v>72.5</v>
      </c>
      <c r="I18" s="8" t="s">
        <v>28</v>
      </c>
      <c r="J18">
        <v>58</v>
      </c>
      <c r="K18">
        <v>298</v>
      </c>
      <c r="L18">
        <v>7</v>
      </c>
      <c r="M18" s="8" t="s">
        <v>27</v>
      </c>
      <c r="N18">
        <v>61.5</v>
      </c>
      <c r="O18">
        <v>170</v>
      </c>
      <c r="P18">
        <v>1</v>
      </c>
      <c r="Q18">
        <v>10</v>
      </c>
      <c r="R18">
        <v>2024</v>
      </c>
      <c r="S18">
        <v>3</v>
      </c>
      <c r="T18" s="8" t="s">
        <v>91</v>
      </c>
      <c r="U18">
        <v>0</v>
      </c>
      <c r="V18">
        <v>2</v>
      </c>
      <c r="W18">
        <v>0</v>
      </c>
      <c r="X18">
        <v>0</v>
      </c>
      <c r="Y18">
        <v>0</v>
      </c>
      <c r="Z18">
        <v>1</v>
      </c>
    </row>
    <row r="19" spans="1:26" x14ac:dyDescent="0.25">
      <c r="A19" s="1">
        <v>45488.654189814813</v>
      </c>
      <c r="B19" s="8" t="s">
        <v>16</v>
      </c>
      <c r="C19">
        <v>-8.7104999999999997</v>
      </c>
      <c r="D19">
        <v>-17.834700000000002</v>
      </c>
      <c r="E19">
        <v>344</v>
      </c>
      <c r="F19" s="8" t="s">
        <v>17</v>
      </c>
      <c r="G19">
        <v>21.4</v>
      </c>
      <c r="H19">
        <v>53.5</v>
      </c>
      <c r="I19" s="8" t="s">
        <v>18</v>
      </c>
      <c r="J19">
        <v>23</v>
      </c>
      <c r="K19">
        <v>461</v>
      </c>
      <c r="L19">
        <v>9</v>
      </c>
      <c r="M19" s="8" t="s">
        <v>19</v>
      </c>
      <c r="N19">
        <v>93.4</v>
      </c>
      <c r="O19">
        <v>106</v>
      </c>
      <c r="P19">
        <v>1</v>
      </c>
      <c r="Q19">
        <v>7</v>
      </c>
      <c r="R19">
        <v>2024</v>
      </c>
      <c r="S19">
        <v>1</v>
      </c>
      <c r="T19" s="8" t="s">
        <v>92</v>
      </c>
      <c r="U19">
        <v>0</v>
      </c>
      <c r="V19">
        <v>2</v>
      </c>
      <c r="W19">
        <v>1</v>
      </c>
      <c r="X19">
        <v>0</v>
      </c>
      <c r="Y19">
        <v>0</v>
      </c>
      <c r="Z19">
        <v>0</v>
      </c>
    </row>
    <row r="20" spans="1:26" x14ac:dyDescent="0.25">
      <c r="A20" s="1">
        <v>45310.279513888891</v>
      </c>
      <c r="B20" s="8" t="s">
        <v>34</v>
      </c>
      <c r="C20">
        <v>14.6629</v>
      </c>
      <c r="D20">
        <v>116.06959999999999</v>
      </c>
      <c r="E20">
        <v>409</v>
      </c>
      <c r="F20" s="8" t="s">
        <v>17</v>
      </c>
      <c r="G20">
        <v>27.5</v>
      </c>
      <c r="H20">
        <v>66.599999999999994</v>
      </c>
      <c r="I20" s="8" t="s">
        <v>18</v>
      </c>
      <c r="J20">
        <v>29</v>
      </c>
      <c r="K20">
        <v>492</v>
      </c>
      <c r="L20">
        <v>3</v>
      </c>
      <c r="M20" s="8" t="s">
        <v>19</v>
      </c>
      <c r="N20">
        <v>72.599999999999994</v>
      </c>
      <c r="O20">
        <v>204</v>
      </c>
      <c r="P20">
        <v>1</v>
      </c>
      <c r="Q20">
        <v>1</v>
      </c>
      <c r="R20">
        <v>2024</v>
      </c>
      <c r="S20">
        <v>5</v>
      </c>
      <c r="T20" s="8" t="s">
        <v>93</v>
      </c>
      <c r="U20">
        <v>1</v>
      </c>
      <c r="V20">
        <v>2</v>
      </c>
      <c r="W20">
        <v>1</v>
      </c>
      <c r="X20">
        <v>0</v>
      </c>
      <c r="Y20">
        <v>0</v>
      </c>
      <c r="Z20">
        <v>0</v>
      </c>
    </row>
    <row r="21" spans="1:26" x14ac:dyDescent="0.25">
      <c r="A21" s="1">
        <v>45410.891365740739</v>
      </c>
      <c r="B21" s="8" t="s">
        <v>24</v>
      </c>
      <c r="C21">
        <v>75.774299999999997</v>
      </c>
      <c r="D21">
        <v>108.9425</v>
      </c>
      <c r="E21">
        <v>457</v>
      </c>
      <c r="F21" s="8" t="s">
        <v>21</v>
      </c>
      <c r="G21">
        <v>25.5</v>
      </c>
      <c r="H21">
        <v>75.900000000000006</v>
      </c>
      <c r="I21" s="8" t="s">
        <v>28</v>
      </c>
      <c r="J21">
        <v>21</v>
      </c>
      <c r="K21">
        <v>315</v>
      </c>
      <c r="L21">
        <v>3</v>
      </c>
      <c r="M21" s="8" t="s">
        <v>27</v>
      </c>
      <c r="N21">
        <v>83.4</v>
      </c>
      <c r="O21">
        <v>248</v>
      </c>
      <c r="P21">
        <v>0</v>
      </c>
      <c r="Q21">
        <v>4</v>
      </c>
      <c r="R21">
        <v>2024</v>
      </c>
      <c r="S21">
        <v>0</v>
      </c>
      <c r="T21" s="8" t="s">
        <v>90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</row>
    <row r="22" spans="1:26" x14ac:dyDescent="0.25">
      <c r="A22" s="1">
        <v>45357.833634259259</v>
      </c>
      <c r="B22" s="8" t="s">
        <v>34</v>
      </c>
      <c r="C22">
        <v>50.341900000000003</v>
      </c>
      <c r="D22">
        <v>108.5647</v>
      </c>
      <c r="E22">
        <v>207</v>
      </c>
      <c r="F22" s="8" t="s">
        <v>26</v>
      </c>
      <c r="G22">
        <v>29.3</v>
      </c>
      <c r="H22">
        <v>59.4</v>
      </c>
      <c r="I22" s="8" t="s">
        <v>18</v>
      </c>
      <c r="J22">
        <v>31</v>
      </c>
      <c r="K22">
        <v>174</v>
      </c>
      <c r="L22">
        <v>5</v>
      </c>
      <c r="M22" s="8" t="s">
        <v>31</v>
      </c>
      <c r="N22">
        <v>65.900000000000006</v>
      </c>
      <c r="O22">
        <v>195</v>
      </c>
      <c r="P22">
        <v>0</v>
      </c>
      <c r="Q22">
        <v>3</v>
      </c>
      <c r="R22">
        <v>2024</v>
      </c>
      <c r="S22">
        <v>3</v>
      </c>
      <c r="T22" s="8" t="s">
        <v>90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</row>
    <row r="23" spans="1:26" x14ac:dyDescent="0.25">
      <c r="A23" s="1">
        <v>45616.693136574075</v>
      </c>
      <c r="B23" s="8" t="s">
        <v>32</v>
      </c>
      <c r="C23">
        <v>-6.6729000000000003</v>
      </c>
      <c r="D23">
        <v>132.67269999999999</v>
      </c>
      <c r="E23">
        <v>155</v>
      </c>
      <c r="F23" s="8" t="s">
        <v>26</v>
      </c>
      <c r="G23">
        <v>19.399999999999999</v>
      </c>
      <c r="H23">
        <v>53.2</v>
      </c>
      <c r="I23" s="8" t="s">
        <v>22</v>
      </c>
      <c r="J23">
        <v>20</v>
      </c>
      <c r="K23">
        <v>152</v>
      </c>
      <c r="L23">
        <v>1</v>
      </c>
      <c r="M23" s="8" t="s">
        <v>31</v>
      </c>
      <c r="N23">
        <v>99.3</v>
      </c>
      <c r="O23">
        <v>235</v>
      </c>
      <c r="P23">
        <v>1</v>
      </c>
      <c r="Q23">
        <v>11</v>
      </c>
      <c r="R23">
        <v>2024</v>
      </c>
      <c r="S23">
        <v>3</v>
      </c>
      <c r="T23" s="8" t="s">
        <v>91</v>
      </c>
      <c r="U23">
        <v>0</v>
      </c>
      <c r="V23">
        <v>1</v>
      </c>
      <c r="W23">
        <v>2</v>
      </c>
      <c r="X23">
        <v>1</v>
      </c>
      <c r="Y23">
        <v>0</v>
      </c>
      <c r="Z23">
        <v>0</v>
      </c>
    </row>
    <row r="24" spans="1:26" x14ac:dyDescent="0.25">
      <c r="A24" s="1">
        <v>45298.384351851855</v>
      </c>
      <c r="B24" s="8" t="s">
        <v>20</v>
      </c>
      <c r="C24">
        <v>-74.1751</v>
      </c>
      <c r="D24">
        <v>-102.73309999999999</v>
      </c>
      <c r="E24">
        <v>314</v>
      </c>
      <c r="F24" s="8" t="s">
        <v>26</v>
      </c>
      <c r="G24">
        <v>19.899999999999999</v>
      </c>
      <c r="H24">
        <v>64.8</v>
      </c>
      <c r="I24" s="8" t="s">
        <v>18</v>
      </c>
      <c r="J24">
        <v>57</v>
      </c>
      <c r="K24">
        <v>396</v>
      </c>
      <c r="L24">
        <v>10</v>
      </c>
      <c r="M24" s="8" t="s">
        <v>23</v>
      </c>
      <c r="N24">
        <v>78.599999999999994</v>
      </c>
      <c r="O24">
        <v>135</v>
      </c>
      <c r="P24">
        <v>0</v>
      </c>
      <c r="Q24">
        <v>1</v>
      </c>
      <c r="R24">
        <v>2024</v>
      </c>
      <c r="S24">
        <v>0</v>
      </c>
      <c r="T24" s="8" t="s">
        <v>93</v>
      </c>
      <c r="U24">
        <v>0</v>
      </c>
      <c r="V24">
        <v>1</v>
      </c>
      <c r="W24">
        <v>1</v>
      </c>
      <c r="X24">
        <v>0</v>
      </c>
      <c r="Y24">
        <v>0</v>
      </c>
      <c r="Z24">
        <v>1</v>
      </c>
    </row>
    <row r="25" spans="1:26" x14ac:dyDescent="0.25">
      <c r="A25" s="1">
        <v>45560.633472222224</v>
      </c>
      <c r="B25" s="8" t="s">
        <v>24</v>
      </c>
      <c r="C25">
        <v>-33.226399999999998</v>
      </c>
      <c r="D25">
        <v>169.61869999999999</v>
      </c>
      <c r="E25">
        <v>156</v>
      </c>
      <c r="F25" s="8" t="s">
        <v>21</v>
      </c>
      <c r="G25">
        <v>27.2</v>
      </c>
      <c r="H25">
        <v>74.400000000000006</v>
      </c>
      <c r="I25" s="8" t="s">
        <v>28</v>
      </c>
      <c r="J25">
        <v>35</v>
      </c>
      <c r="K25">
        <v>354</v>
      </c>
      <c r="L25">
        <v>2</v>
      </c>
      <c r="M25" s="8" t="s">
        <v>23</v>
      </c>
      <c r="N25">
        <v>63.1</v>
      </c>
      <c r="O25">
        <v>282</v>
      </c>
      <c r="P25">
        <v>0</v>
      </c>
      <c r="Q25">
        <v>9</v>
      </c>
      <c r="R25">
        <v>2024</v>
      </c>
      <c r="S25">
        <v>3</v>
      </c>
      <c r="T25" s="8" t="s">
        <v>91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s="1">
        <v>45333.562708333331</v>
      </c>
      <c r="B26" s="8" t="s">
        <v>30</v>
      </c>
      <c r="C26">
        <v>-34.446899999999999</v>
      </c>
      <c r="D26">
        <v>93.158500000000004</v>
      </c>
      <c r="E26">
        <v>119</v>
      </c>
      <c r="F26" s="8" t="s">
        <v>21</v>
      </c>
      <c r="G26">
        <v>28.1</v>
      </c>
      <c r="H26">
        <v>72.400000000000006</v>
      </c>
      <c r="I26" s="8" t="s">
        <v>18</v>
      </c>
      <c r="J26">
        <v>41</v>
      </c>
      <c r="K26">
        <v>176</v>
      </c>
      <c r="L26">
        <v>2</v>
      </c>
      <c r="M26" s="8" t="s">
        <v>19</v>
      </c>
      <c r="N26">
        <v>60.9</v>
      </c>
      <c r="O26">
        <v>238</v>
      </c>
      <c r="P26">
        <v>0</v>
      </c>
      <c r="Q26">
        <v>2</v>
      </c>
      <c r="R26">
        <v>2024</v>
      </c>
      <c r="S26">
        <v>0</v>
      </c>
      <c r="T26" s="8" t="s">
        <v>93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</row>
    <row r="27" spans="1:26" x14ac:dyDescent="0.25">
      <c r="A27" s="1">
        <v>45616.473761574074</v>
      </c>
      <c r="B27" s="8" t="s">
        <v>33</v>
      </c>
      <c r="C27">
        <v>-13.510999999999999</v>
      </c>
      <c r="D27">
        <v>141.84540000000001</v>
      </c>
      <c r="E27">
        <v>112</v>
      </c>
      <c r="F27" s="8" t="s">
        <v>21</v>
      </c>
      <c r="G27">
        <v>19.7</v>
      </c>
      <c r="H27">
        <v>76.599999999999994</v>
      </c>
      <c r="I27" s="8" t="s">
        <v>18</v>
      </c>
      <c r="J27">
        <v>22</v>
      </c>
      <c r="K27">
        <v>121</v>
      </c>
      <c r="L27">
        <v>3</v>
      </c>
      <c r="M27" s="8" t="s">
        <v>27</v>
      </c>
      <c r="N27">
        <v>80.900000000000006</v>
      </c>
      <c r="O27">
        <v>262</v>
      </c>
      <c r="P27">
        <v>0</v>
      </c>
      <c r="Q27">
        <v>11</v>
      </c>
      <c r="R27">
        <v>2024</v>
      </c>
      <c r="S27">
        <v>3</v>
      </c>
      <c r="T27" s="8" t="s">
        <v>91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</row>
    <row r="28" spans="1:26" x14ac:dyDescent="0.25">
      <c r="A28" s="1">
        <v>45468.101678240739</v>
      </c>
      <c r="B28" s="8" t="s">
        <v>33</v>
      </c>
      <c r="C28">
        <v>-22.427</v>
      </c>
      <c r="D28">
        <v>108.2306</v>
      </c>
      <c r="E28">
        <v>435</v>
      </c>
      <c r="F28" s="8" t="s">
        <v>26</v>
      </c>
      <c r="G28">
        <v>25.8</v>
      </c>
      <c r="H28">
        <v>78.599999999999994</v>
      </c>
      <c r="I28" s="8" t="s">
        <v>22</v>
      </c>
      <c r="J28">
        <v>22</v>
      </c>
      <c r="K28">
        <v>220</v>
      </c>
      <c r="L28">
        <v>7</v>
      </c>
      <c r="M28" s="8" t="s">
        <v>27</v>
      </c>
      <c r="N28">
        <v>90.8</v>
      </c>
      <c r="O28">
        <v>101</v>
      </c>
      <c r="P28">
        <v>1</v>
      </c>
      <c r="Q28">
        <v>6</v>
      </c>
      <c r="R28">
        <v>2024</v>
      </c>
      <c r="S28">
        <v>2</v>
      </c>
      <c r="T28" s="8" t="s">
        <v>92</v>
      </c>
      <c r="U28">
        <v>0</v>
      </c>
      <c r="V28">
        <v>1</v>
      </c>
      <c r="W28">
        <v>2</v>
      </c>
      <c r="X28">
        <v>1</v>
      </c>
      <c r="Y28">
        <v>1</v>
      </c>
      <c r="Z28">
        <v>0</v>
      </c>
    </row>
    <row r="29" spans="1:26" x14ac:dyDescent="0.25">
      <c r="A29" s="1">
        <v>45468.000833333332</v>
      </c>
      <c r="B29" s="8" t="s">
        <v>25</v>
      </c>
      <c r="C29">
        <v>43.335299999999997</v>
      </c>
      <c r="D29">
        <v>-12.068300000000001</v>
      </c>
      <c r="E29">
        <v>422</v>
      </c>
      <c r="F29" s="8" t="s">
        <v>26</v>
      </c>
      <c r="G29">
        <v>20</v>
      </c>
      <c r="H29">
        <v>62.9</v>
      </c>
      <c r="I29" s="8" t="s">
        <v>22</v>
      </c>
      <c r="J29">
        <v>14</v>
      </c>
      <c r="K29">
        <v>184</v>
      </c>
      <c r="L29">
        <v>9</v>
      </c>
      <c r="M29" s="8" t="s">
        <v>27</v>
      </c>
      <c r="N29">
        <v>64</v>
      </c>
      <c r="O29">
        <v>248</v>
      </c>
      <c r="P29">
        <v>1</v>
      </c>
      <c r="Q29">
        <v>6</v>
      </c>
      <c r="R29">
        <v>2024</v>
      </c>
      <c r="S29">
        <v>2</v>
      </c>
      <c r="T29" s="8" t="s">
        <v>92</v>
      </c>
      <c r="U29">
        <v>0</v>
      </c>
      <c r="V29">
        <v>1</v>
      </c>
      <c r="W29">
        <v>2</v>
      </c>
      <c r="X29">
        <v>1</v>
      </c>
      <c r="Y29">
        <v>0</v>
      </c>
      <c r="Z29">
        <v>0</v>
      </c>
    </row>
    <row r="30" spans="1:26" x14ac:dyDescent="0.25">
      <c r="A30" s="1">
        <v>45414.106898148151</v>
      </c>
      <c r="B30" s="8" t="s">
        <v>29</v>
      </c>
      <c r="C30">
        <v>-66.7517</v>
      </c>
      <c r="D30">
        <v>161.44999999999999</v>
      </c>
      <c r="E30">
        <v>353</v>
      </c>
      <c r="F30" s="8" t="s">
        <v>21</v>
      </c>
      <c r="G30">
        <v>20.5</v>
      </c>
      <c r="H30">
        <v>52</v>
      </c>
      <c r="I30" s="8" t="s">
        <v>22</v>
      </c>
      <c r="J30">
        <v>26</v>
      </c>
      <c r="K30">
        <v>392</v>
      </c>
      <c r="L30">
        <v>7</v>
      </c>
      <c r="M30" s="8" t="s">
        <v>27</v>
      </c>
      <c r="N30">
        <v>76.400000000000006</v>
      </c>
      <c r="O30">
        <v>155</v>
      </c>
      <c r="P30">
        <v>1</v>
      </c>
      <c r="Q30">
        <v>5</v>
      </c>
      <c r="R30">
        <v>2024</v>
      </c>
      <c r="S30">
        <v>4</v>
      </c>
      <c r="T30" s="8" t="s">
        <v>90</v>
      </c>
      <c r="U30">
        <v>0</v>
      </c>
      <c r="V30">
        <v>0</v>
      </c>
      <c r="W30">
        <v>2</v>
      </c>
      <c r="X30">
        <v>1</v>
      </c>
      <c r="Y30">
        <v>0</v>
      </c>
      <c r="Z30">
        <v>0</v>
      </c>
    </row>
    <row r="31" spans="1:26" x14ac:dyDescent="0.25">
      <c r="A31" s="1">
        <v>45514.003240740742</v>
      </c>
      <c r="B31" s="8" t="s">
        <v>32</v>
      </c>
      <c r="C31">
        <v>-65.734899999999996</v>
      </c>
      <c r="D31">
        <v>-173.30109999999999</v>
      </c>
      <c r="E31">
        <v>299</v>
      </c>
      <c r="F31" s="8" t="s">
        <v>17</v>
      </c>
      <c r="G31">
        <v>23.9</v>
      </c>
      <c r="H31">
        <v>50.1</v>
      </c>
      <c r="I31" s="8" t="s">
        <v>22</v>
      </c>
      <c r="J31">
        <v>17</v>
      </c>
      <c r="K31">
        <v>315</v>
      </c>
      <c r="L31">
        <v>6</v>
      </c>
      <c r="M31" s="8" t="s">
        <v>19</v>
      </c>
      <c r="N31">
        <v>88.3</v>
      </c>
      <c r="O31">
        <v>252</v>
      </c>
      <c r="P31">
        <v>1</v>
      </c>
      <c r="Q31">
        <v>8</v>
      </c>
      <c r="R31">
        <v>2024</v>
      </c>
      <c r="S31">
        <v>6</v>
      </c>
      <c r="T31" s="8" t="s">
        <v>92</v>
      </c>
      <c r="U31">
        <v>1</v>
      </c>
      <c r="V31">
        <v>2</v>
      </c>
      <c r="W31">
        <v>2</v>
      </c>
      <c r="X31">
        <v>1</v>
      </c>
      <c r="Y31">
        <v>0</v>
      </c>
      <c r="Z31">
        <v>0</v>
      </c>
    </row>
    <row r="32" spans="1:26" x14ac:dyDescent="0.25">
      <c r="A32" s="1">
        <v>45425.139131944445</v>
      </c>
      <c r="B32" s="8" t="s">
        <v>35</v>
      </c>
      <c r="C32">
        <v>-55.476799999999997</v>
      </c>
      <c r="D32">
        <v>18.255099999999999</v>
      </c>
      <c r="E32">
        <v>261</v>
      </c>
      <c r="F32" s="8" t="s">
        <v>17</v>
      </c>
      <c r="G32">
        <v>22.5</v>
      </c>
      <c r="H32">
        <v>78.400000000000006</v>
      </c>
      <c r="I32" s="8" t="s">
        <v>28</v>
      </c>
      <c r="J32">
        <v>41</v>
      </c>
      <c r="K32">
        <v>209</v>
      </c>
      <c r="L32">
        <v>6</v>
      </c>
      <c r="M32" s="8" t="s">
        <v>31</v>
      </c>
      <c r="N32">
        <v>71.8</v>
      </c>
      <c r="O32">
        <v>240</v>
      </c>
      <c r="P32">
        <v>1</v>
      </c>
      <c r="Q32">
        <v>5</v>
      </c>
      <c r="R32">
        <v>2024</v>
      </c>
      <c r="S32">
        <v>1</v>
      </c>
      <c r="T32" s="8" t="s">
        <v>90</v>
      </c>
      <c r="U32">
        <v>0</v>
      </c>
      <c r="V32">
        <v>2</v>
      </c>
      <c r="W32">
        <v>0</v>
      </c>
      <c r="X32">
        <v>0</v>
      </c>
      <c r="Y32">
        <v>1</v>
      </c>
      <c r="Z32">
        <v>0</v>
      </c>
    </row>
    <row r="33" spans="1:26" x14ac:dyDescent="0.25">
      <c r="A33" s="1">
        <v>45628.356099537035</v>
      </c>
      <c r="B33" s="8" t="s">
        <v>32</v>
      </c>
      <c r="C33">
        <v>5.9179000000000004</v>
      </c>
      <c r="D33">
        <v>74.825400000000002</v>
      </c>
      <c r="E33">
        <v>425</v>
      </c>
      <c r="F33" s="8" t="s">
        <v>17</v>
      </c>
      <c r="G33">
        <v>19.3</v>
      </c>
      <c r="H33">
        <v>51.1</v>
      </c>
      <c r="I33" s="8" t="s">
        <v>22</v>
      </c>
      <c r="J33">
        <v>39</v>
      </c>
      <c r="K33">
        <v>235</v>
      </c>
      <c r="L33">
        <v>9</v>
      </c>
      <c r="M33" s="8" t="s">
        <v>31</v>
      </c>
      <c r="N33">
        <v>88.3</v>
      </c>
      <c r="O33">
        <v>242</v>
      </c>
      <c r="P33">
        <v>1</v>
      </c>
      <c r="Q33">
        <v>12</v>
      </c>
      <c r="R33">
        <v>2024</v>
      </c>
      <c r="S33">
        <v>1</v>
      </c>
      <c r="T33" s="8" t="s">
        <v>93</v>
      </c>
      <c r="U33">
        <v>0</v>
      </c>
      <c r="V33">
        <v>2</v>
      </c>
      <c r="W33">
        <v>2</v>
      </c>
      <c r="X33">
        <v>1</v>
      </c>
      <c r="Y33">
        <v>0</v>
      </c>
      <c r="Z33">
        <v>0</v>
      </c>
    </row>
    <row r="34" spans="1:26" x14ac:dyDescent="0.25">
      <c r="A34" s="1">
        <v>45334.266284722224</v>
      </c>
      <c r="B34" s="8" t="s">
        <v>16</v>
      </c>
      <c r="C34">
        <v>49.392899999999997</v>
      </c>
      <c r="D34">
        <v>-47.580500000000001</v>
      </c>
      <c r="E34">
        <v>369</v>
      </c>
      <c r="F34" s="8" t="s">
        <v>26</v>
      </c>
      <c r="G34">
        <v>26.3</v>
      </c>
      <c r="H34">
        <v>52.1</v>
      </c>
      <c r="I34" s="8" t="s">
        <v>18</v>
      </c>
      <c r="J34">
        <v>48</v>
      </c>
      <c r="K34">
        <v>104</v>
      </c>
      <c r="L34">
        <v>7</v>
      </c>
      <c r="M34" s="8" t="s">
        <v>19</v>
      </c>
      <c r="N34">
        <v>66.7</v>
      </c>
      <c r="O34">
        <v>220</v>
      </c>
      <c r="P34">
        <v>0</v>
      </c>
      <c r="Q34">
        <v>2</v>
      </c>
      <c r="R34">
        <v>2024</v>
      </c>
      <c r="S34">
        <v>1</v>
      </c>
      <c r="T34" s="8" t="s">
        <v>93</v>
      </c>
      <c r="U34">
        <v>0</v>
      </c>
      <c r="V34">
        <v>1</v>
      </c>
      <c r="W34">
        <v>1</v>
      </c>
      <c r="X34">
        <v>0</v>
      </c>
      <c r="Y34">
        <v>0</v>
      </c>
      <c r="Z34">
        <v>1</v>
      </c>
    </row>
    <row r="35" spans="1:26" x14ac:dyDescent="0.25">
      <c r="A35" s="1">
        <v>45406.262060185189</v>
      </c>
      <c r="B35" s="8" t="s">
        <v>24</v>
      </c>
      <c r="C35">
        <v>80.315799999999996</v>
      </c>
      <c r="D35">
        <v>70.765000000000001</v>
      </c>
      <c r="E35">
        <v>223</v>
      </c>
      <c r="F35" s="8" t="s">
        <v>17</v>
      </c>
      <c r="G35">
        <v>24</v>
      </c>
      <c r="H35">
        <v>60.2</v>
      </c>
      <c r="I35" s="8" t="s">
        <v>22</v>
      </c>
      <c r="J35">
        <v>45</v>
      </c>
      <c r="K35">
        <v>292</v>
      </c>
      <c r="L35">
        <v>6</v>
      </c>
      <c r="M35" s="8" t="s">
        <v>23</v>
      </c>
      <c r="N35">
        <v>78.400000000000006</v>
      </c>
      <c r="O35">
        <v>205</v>
      </c>
      <c r="P35">
        <v>1</v>
      </c>
      <c r="Q35">
        <v>4</v>
      </c>
      <c r="R35">
        <v>2024</v>
      </c>
      <c r="S35">
        <v>3</v>
      </c>
      <c r="T35" s="8" t="s">
        <v>90</v>
      </c>
      <c r="U35">
        <v>0</v>
      </c>
      <c r="V35">
        <v>2</v>
      </c>
      <c r="W35">
        <v>2</v>
      </c>
      <c r="X35">
        <v>1</v>
      </c>
      <c r="Y35">
        <v>0</v>
      </c>
      <c r="Z35">
        <v>0</v>
      </c>
    </row>
    <row r="36" spans="1:26" x14ac:dyDescent="0.25">
      <c r="A36" s="1">
        <v>45632.795289351852</v>
      </c>
      <c r="B36" s="8" t="s">
        <v>30</v>
      </c>
      <c r="C36">
        <v>-19.884699999999999</v>
      </c>
      <c r="D36">
        <v>42.5062</v>
      </c>
      <c r="E36">
        <v>200</v>
      </c>
      <c r="F36" s="8" t="s">
        <v>26</v>
      </c>
      <c r="G36">
        <v>28.1</v>
      </c>
      <c r="H36">
        <v>72.099999999999994</v>
      </c>
      <c r="I36" s="8" t="s">
        <v>18</v>
      </c>
      <c r="J36">
        <v>28</v>
      </c>
      <c r="K36">
        <v>129</v>
      </c>
      <c r="L36">
        <v>9</v>
      </c>
      <c r="M36" s="8" t="s">
        <v>19</v>
      </c>
      <c r="N36">
        <v>74.3</v>
      </c>
      <c r="O36">
        <v>134</v>
      </c>
      <c r="P36">
        <v>0</v>
      </c>
      <c r="Q36">
        <v>12</v>
      </c>
      <c r="R36">
        <v>2024</v>
      </c>
      <c r="S36">
        <v>5</v>
      </c>
      <c r="T36" s="8" t="s">
        <v>93</v>
      </c>
      <c r="U36">
        <v>1</v>
      </c>
      <c r="V36">
        <v>1</v>
      </c>
      <c r="W36">
        <v>1</v>
      </c>
      <c r="X36">
        <v>0</v>
      </c>
      <c r="Y36">
        <v>0</v>
      </c>
      <c r="Z36">
        <v>0</v>
      </c>
    </row>
    <row r="37" spans="1:26" x14ac:dyDescent="0.25">
      <c r="A37" s="1">
        <v>45412.495335648149</v>
      </c>
      <c r="B37" s="8" t="s">
        <v>25</v>
      </c>
      <c r="C37">
        <v>5.4554999999999998</v>
      </c>
      <c r="D37">
        <v>-147.5455</v>
      </c>
      <c r="E37">
        <v>466</v>
      </c>
      <c r="F37" s="8" t="s">
        <v>21</v>
      </c>
      <c r="G37">
        <v>26.1</v>
      </c>
      <c r="H37">
        <v>72.099999999999994</v>
      </c>
      <c r="I37" s="8" t="s">
        <v>18</v>
      </c>
      <c r="J37">
        <v>54</v>
      </c>
      <c r="K37">
        <v>475</v>
      </c>
      <c r="L37">
        <v>9</v>
      </c>
      <c r="M37" s="8" t="s">
        <v>31</v>
      </c>
      <c r="N37">
        <v>83.4</v>
      </c>
      <c r="O37">
        <v>222</v>
      </c>
      <c r="P37">
        <v>0</v>
      </c>
      <c r="Q37">
        <v>4</v>
      </c>
      <c r="R37">
        <v>2024</v>
      </c>
      <c r="S37">
        <v>2</v>
      </c>
      <c r="T37" s="8" t="s">
        <v>90</v>
      </c>
      <c r="U37">
        <v>0</v>
      </c>
      <c r="V37">
        <v>0</v>
      </c>
      <c r="W37">
        <v>1</v>
      </c>
      <c r="X37">
        <v>0</v>
      </c>
      <c r="Y37">
        <v>0</v>
      </c>
      <c r="Z37">
        <v>1</v>
      </c>
    </row>
    <row r="38" spans="1:26" x14ac:dyDescent="0.25">
      <c r="A38" s="1">
        <v>45554.954062500001</v>
      </c>
      <c r="B38" s="8" t="s">
        <v>32</v>
      </c>
      <c r="C38">
        <v>-19.2577</v>
      </c>
      <c r="D38">
        <v>66.744</v>
      </c>
      <c r="E38">
        <v>474</v>
      </c>
      <c r="F38" s="8" t="s">
        <v>21</v>
      </c>
      <c r="G38">
        <v>27.7</v>
      </c>
      <c r="H38">
        <v>71.2</v>
      </c>
      <c r="I38" s="8" t="s">
        <v>22</v>
      </c>
      <c r="J38">
        <v>50</v>
      </c>
      <c r="K38">
        <v>311</v>
      </c>
      <c r="L38">
        <v>3</v>
      </c>
      <c r="M38" s="8" t="s">
        <v>31</v>
      </c>
      <c r="N38">
        <v>91.6</v>
      </c>
      <c r="O38">
        <v>266</v>
      </c>
      <c r="P38">
        <v>1</v>
      </c>
      <c r="Q38">
        <v>9</v>
      </c>
      <c r="R38">
        <v>2024</v>
      </c>
      <c r="S38">
        <v>4</v>
      </c>
      <c r="T38" s="8" t="s">
        <v>91</v>
      </c>
      <c r="U38">
        <v>0</v>
      </c>
      <c r="V38">
        <v>0</v>
      </c>
      <c r="W38">
        <v>2</v>
      </c>
      <c r="X38">
        <v>1</v>
      </c>
      <c r="Y38">
        <v>0</v>
      </c>
      <c r="Z38">
        <v>1</v>
      </c>
    </row>
    <row r="39" spans="1:26" x14ac:dyDescent="0.25">
      <c r="A39" s="1">
        <v>45648.63071759259</v>
      </c>
      <c r="B39" s="8" t="s">
        <v>20</v>
      </c>
      <c r="C39">
        <v>-79.0792</v>
      </c>
      <c r="D39">
        <v>-16.342300000000002</v>
      </c>
      <c r="E39">
        <v>490</v>
      </c>
      <c r="F39" s="8" t="s">
        <v>26</v>
      </c>
      <c r="G39">
        <v>23.1</v>
      </c>
      <c r="H39">
        <v>75.2</v>
      </c>
      <c r="I39" s="8" t="s">
        <v>22</v>
      </c>
      <c r="J39">
        <v>14</v>
      </c>
      <c r="K39">
        <v>460</v>
      </c>
      <c r="L39">
        <v>7</v>
      </c>
      <c r="M39" s="8" t="s">
        <v>19</v>
      </c>
      <c r="N39">
        <v>87.8</v>
      </c>
      <c r="O39">
        <v>261</v>
      </c>
      <c r="P39">
        <v>1</v>
      </c>
      <c r="Q39">
        <v>12</v>
      </c>
      <c r="R39">
        <v>2024</v>
      </c>
      <c r="S39">
        <v>0</v>
      </c>
      <c r="T39" s="8" t="s">
        <v>93</v>
      </c>
      <c r="U39">
        <v>0</v>
      </c>
      <c r="V39">
        <v>1</v>
      </c>
      <c r="W39">
        <v>2</v>
      </c>
      <c r="X39">
        <v>1</v>
      </c>
      <c r="Y39">
        <v>1</v>
      </c>
      <c r="Z39">
        <v>0</v>
      </c>
    </row>
    <row r="40" spans="1:26" x14ac:dyDescent="0.25">
      <c r="A40" s="1">
        <v>45519.239629629628</v>
      </c>
      <c r="B40" s="8" t="s">
        <v>34</v>
      </c>
      <c r="C40">
        <v>-1.6787000000000001</v>
      </c>
      <c r="D40">
        <v>3.2441</v>
      </c>
      <c r="E40">
        <v>126</v>
      </c>
      <c r="F40" s="8" t="s">
        <v>26</v>
      </c>
      <c r="G40">
        <v>29.6</v>
      </c>
      <c r="H40">
        <v>67.599999999999994</v>
      </c>
      <c r="I40" s="8" t="s">
        <v>18</v>
      </c>
      <c r="J40">
        <v>19</v>
      </c>
      <c r="K40">
        <v>201</v>
      </c>
      <c r="L40">
        <v>9</v>
      </c>
      <c r="M40" s="8" t="s">
        <v>23</v>
      </c>
      <c r="N40">
        <v>84.1</v>
      </c>
      <c r="O40">
        <v>255</v>
      </c>
      <c r="P40">
        <v>0</v>
      </c>
      <c r="Q40">
        <v>8</v>
      </c>
      <c r="R40">
        <v>2024</v>
      </c>
      <c r="S40">
        <v>4</v>
      </c>
      <c r="T40" s="8" t="s">
        <v>92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</row>
    <row r="41" spans="1:26" x14ac:dyDescent="0.25">
      <c r="A41" s="1">
        <v>45367.470625000002</v>
      </c>
      <c r="B41" s="8" t="s">
        <v>16</v>
      </c>
      <c r="C41">
        <v>-8.2431000000000001</v>
      </c>
      <c r="D41">
        <v>-12.495900000000001</v>
      </c>
      <c r="E41">
        <v>164</v>
      </c>
      <c r="F41" s="8" t="s">
        <v>21</v>
      </c>
      <c r="G41">
        <v>18.2</v>
      </c>
      <c r="H41">
        <v>76.400000000000006</v>
      </c>
      <c r="I41" s="8" t="s">
        <v>28</v>
      </c>
      <c r="J41">
        <v>45</v>
      </c>
      <c r="K41">
        <v>466</v>
      </c>
      <c r="L41">
        <v>7</v>
      </c>
      <c r="M41" s="8" t="s">
        <v>19</v>
      </c>
      <c r="N41">
        <v>98.1</v>
      </c>
      <c r="O41">
        <v>196</v>
      </c>
      <c r="P41">
        <v>0</v>
      </c>
      <c r="Q41">
        <v>3</v>
      </c>
      <c r="R41">
        <v>2024</v>
      </c>
      <c r="S41">
        <v>6</v>
      </c>
      <c r="T41" s="8" t="s">
        <v>90</v>
      </c>
      <c r="U41">
        <v>1</v>
      </c>
      <c r="V41">
        <v>0</v>
      </c>
      <c r="W41">
        <v>0</v>
      </c>
      <c r="X41">
        <v>0</v>
      </c>
      <c r="Y41">
        <v>1</v>
      </c>
      <c r="Z41">
        <v>0</v>
      </c>
    </row>
    <row r="42" spans="1:26" x14ac:dyDescent="0.25">
      <c r="A42" s="1">
        <v>45654.486747685187</v>
      </c>
      <c r="B42" s="8" t="s">
        <v>30</v>
      </c>
      <c r="C42">
        <v>-30.0701</v>
      </c>
      <c r="D42">
        <v>135.6396</v>
      </c>
      <c r="E42">
        <v>477</v>
      </c>
      <c r="F42" s="8" t="s">
        <v>17</v>
      </c>
      <c r="G42">
        <v>19.2</v>
      </c>
      <c r="H42">
        <v>79.400000000000006</v>
      </c>
      <c r="I42" s="8" t="s">
        <v>28</v>
      </c>
      <c r="J42">
        <v>12</v>
      </c>
      <c r="K42">
        <v>310</v>
      </c>
      <c r="L42">
        <v>5</v>
      </c>
      <c r="M42" s="8" t="s">
        <v>31</v>
      </c>
      <c r="N42">
        <v>63.7</v>
      </c>
      <c r="O42">
        <v>129</v>
      </c>
      <c r="P42">
        <v>1</v>
      </c>
      <c r="Q42">
        <v>12</v>
      </c>
      <c r="R42">
        <v>2024</v>
      </c>
      <c r="S42">
        <v>6</v>
      </c>
      <c r="T42" s="8" t="s">
        <v>93</v>
      </c>
      <c r="U42">
        <v>1</v>
      </c>
      <c r="V42">
        <v>2</v>
      </c>
      <c r="W42">
        <v>0</v>
      </c>
      <c r="X42">
        <v>0</v>
      </c>
      <c r="Y42">
        <v>1</v>
      </c>
      <c r="Z42">
        <v>0</v>
      </c>
    </row>
    <row r="43" spans="1:26" x14ac:dyDescent="0.25">
      <c r="A43" s="1">
        <v>45326.788865740738</v>
      </c>
      <c r="B43" s="8" t="s">
        <v>34</v>
      </c>
      <c r="C43">
        <v>61.8444</v>
      </c>
      <c r="D43">
        <v>107.48350000000001</v>
      </c>
      <c r="E43">
        <v>245</v>
      </c>
      <c r="F43" s="8" t="s">
        <v>21</v>
      </c>
      <c r="G43">
        <v>24.2</v>
      </c>
      <c r="H43">
        <v>56.9</v>
      </c>
      <c r="I43" s="8" t="s">
        <v>18</v>
      </c>
      <c r="J43">
        <v>39</v>
      </c>
      <c r="K43">
        <v>379</v>
      </c>
      <c r="L43">
        <v>2</v>
      </c>
      <c r="M43" s="8" t="s">
        <v>27</v>
      </c>
      <c r="N43">
        <v>66.400000000000006</v>
      </c>
      <c r="O43">
        <v>183</v>
      </c>
      <c r="P43">
        <v>0</v>
      </c>
      <c r="Q43">
        <v>2</v>
      </c>
      <c r="R43">
        <v>2024</v>
      </c>
      <c r="S43">
        <v>0</v>
      </c>
      <c r="T43" s="8" t="s">
        <v>93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</row>
    <row r="44" spans="1:26" x14ac:dyDescent="0.25">
      <c r="A44" s="1">
        <v>45482.092291666668</v>
      </c>
      <c r="B44" s="8" t="s">
        <v>34</v>
      </c>
      <c r="C44">
        <v>40.783999999999999</v>
      </c>
      <c r="D44">
        <v>77.2346</v>
      </c>
      <c r="E44">
        <v>172</v>
      </c>
      <c r="F44" s="8" t="s">
        <v>17</v>
      </c>
      <c r="G44">
        <v>25.2</v>
      </c>
      <c r="H44">
        <v>67.599999999999994</v>
      </c>
      <c r="I44" s="8" t="s">
        <v>28</v>
      </c>
      <c r="J44">
        <v>40</v>
      </c>
      <c r="K44">
        <v>274</v>
      </c>
      <c r="L44">
        <v>7</v>
      </c>
      <c r="M44" s="8" t="s">
        <v>23</v>
      </c>
      <c r="N44">
        <v>66.3</v>
      </c>
      <c r="O44">
        <v>170</v>
      </c>
      <c r="P44">
        <v>1</v>
      </c>
      <c r="Q44">
        <v>7</v>
      </c>
      <c r="R44">
        <v>2024</v>
      </c>
      <c r="S44">
        <v>2</v>
      </c>
      <c r="T44" s="8" t="s">
        <v>92</v>
      </c>
      <c r="U44">
        <v>0</v>
      </c>
      <c r="V44">
        <v>2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s="1">
        <v>45627.996018518519</v>
      </c>
      <c r="B45" s="8" t="s">
        <v>16</v>
      </c>
      <c r="C45">
        <v>-68.351500000000001</v>
      </c>
      <c r="D45">
        <v>158.251</v>
      </c>
      <c r="E45">
        <v>206</v>
      </c>
      <c r="F45" s="8" t="s">
        <v>17</v>
      </c>
      <c r="G45">
        <v>20.7</v>
      </c>
      <c r="H45">
        <v>77.5</v>
      </c>
      <c r="I45" s="8" t="s">
        <v>28</v>
      </c>
      <c r="J45">
        <v>15</v>
      </c>
      <c r="K45">
        <v>308</v>
      </c>
      <c r="L45">
        <v>2</v>
      </c>
      <c r="M45" s="8" t="s">
        <v>31</v>
      </c>
      <c r="N45">
        <v>63.9</v>
      </c>
      <c r="O45">
        <v>209</v>
      </c>
      <c r="P45">
        <v>1</v>
      </c>
      <c r="Q45">
        <v>12</v>
      </c>
      <c r="R45">
        <v>2024</v>
      </c>
      <c r="S45">
        <v>0</v>
      </c>
      <c r="T45" s="8" t="s">
        <v>93</v>
      </c>
      <c r="U45">
        <v>0</v>
      </c>
      <c r="V45">
        <v>2</v>
      </c>
      <c r="W45">
        <v>0</v>
      </c>
      <c r="X45">
        <v>0</v>
      </c>
      <c r="Y45">
        <v>1</v>
      </c>
      <c r="Z45">
        <v>0</v>
      </c>
    </row>
    <row r="46" spans="1:26" x14ac:dyDescent="0.25">
      <c r="A46" s="1">
        <v>45465.559745370374</v>
      </c>
      <c r="B46" s="8" t="s">
        <v>20</v>
      </c>
      <c r="C46">
        <v>-33.837800000000001</v>
      </c>
      <c r="D46">
        <v>73.322100000000006</v>
      </c>
      <c r="E46">
        <v>310</v>
      </c>
      <c r="F46" s="8" t="s">
        <v>21</v>
      </c>
      <c r="G46">
        <v>18.7</v>
      </c>
      <c r="H46">
        <v>54.7</v>
      </c>
      <c r="I46" s="8" t="s">
        <v>28</v>
      </c>
      <c r="J46">
        <v>52</v>
      </c>
      <c r="K46">
        <v>232</v>
      </c>
      <c r="L46">
        <v>9</v>
      </c>
      <c r="M46" s="8" t="s">
        <v>27</v>
      </c>
      <c r="N46">
        <v>72.599999999999994</v>
      </c>
      <c r="O46">
        <v>113</v>
      </c>
      <c r="P46">
        <v>0</v>
      </c>
      <c r="Q46">
        <v>6</v>
      </c>
      <c r="R46">
        <v>2024</v>
      </c>
      <c r="S46">
        <v>6</v>
      </c>
      <c r="T46" s="8" t="s">
        <v>92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 x14ac:dyDescent="0.25">
      <c r="A47" s="1">
        <v>45500.660254629627</v>
      </c>
      <c r="B47" s="8" t="s">
        <v>30</v>
      </c>
      <c r="C47">
        <v>69.660899999999998</v>
      </c>
      <c r="D47">
        <v>38.446399999999997</v>
      </c>
      <c r="E47">
        <v>225</v>
      </c>
      <c r="F47" s="8" t="s">
        <v>26</v>
      </c>
      <c r="G47">
        <v>19</v>
      </c>
      <c r="H47">
        <v>63</v>
      </c>
      <c r="I47" s="8" t="s">
        <v>22</v>
      </c>
      <c r="J47">
        <v>17</v>
      </c>
      <c r="K47">
        <v>282</v>
      </c>
      <c r="L47">
        <v>6</v>
      </c>
      <c r="M47" s="8" t="s">
        <v>23</v>
      </c>
      <c r="N47">
        <v>99.6</v>
      </c>
      <c r="O47">
        <v>265</v>
      </c>
      <c r="P47">
        <v>1</v>
      </c>
      <c r="Q47">
        <v>7</v>
      </c>
      <c r="R47">
        <v>2024</v>
      </c>
      <c r="S47">
        <v>6</v>
      </c>
      <c r="T47" s="8" t="s">
        <v>92</v>
      </c>
      <c r="U47">
        <v>1</v>
      </c>
      <c r="V47">
        <v>1</v>
      </c>
      <c r="W47">
        <v>2</v>
      </c>
      <c r="X47">
        <v>1</v>
      </c>
      <c r="Y47">
        <v>0</v>
      </c>
      <c r="Z47">
        <v>0</v>
      </c>
    </row>
    <row r="48" spans="1:26" x14ac:dyDescent="0.25">
      <c r="A48" s="1">
        <v>45540.591666666667</v>
      </c>
      <c r="B48" s="8" t="s">
        <v>33</v>
      </c>
      <c r="C48">
        <v>20.8843</v>
      </c>
      <c r="D48">
        <v>1.3947000000000001</v>
      </c>
      <c r="E48">
        <v>303</v>
      </c>
      <c r="F48" s="8" t="s">
        <v>17</v>
      </c>
      <c r="G48">
        <v>20.7</v>
      </c>
      <c r="H48">
        <v>70.599999999999994</v>
      </c>
      <c r="I48" s="8" t="s">
        <v>28</v>
      </c>
      <c r="J48">
        <v>47</v>
      </c>
      <c r="K48">
        <v>143</v>
      </c>
      <c r="L48">
        <v>10</v>
      </c>
      <c r="M48" s="8" t="s">
        <v>19</v>
      </c>
      <c r="N48">
        <v>98.1</v>
      </c>
      <c r="O48">
        <v>123</v>
      </c>
      <c r="P48">
        <v>1</v>
      </c>
      <c r="Q48">
        <v>9</v>
      </c>
      <c r="R48">
        <v>2024</v>
      </c>
      <c r="S48">
        <v>4</v>
      </c>
      <c r="T48" s="8" t="s">
        <v>91</v>
      </c>
      <c r="U48">
        <v>0</v>
      </c>
      <c r="V48">
        <v>2</v>
      </c>
      <c r="W48">
        <v>0</v>
      </c>
      <c r="X48">
        <v>0</v>
      </c>
      <c r="Y48">
        <v>0</v>
      </c>
      <c r="Z48">
        <v>1</v>
      </c>
    </row>
    <row r="49" spans="1:26" x14ac:dyDescent="0.25">
      <c r="A49" s="1">
        <v>45607.923530092594</v>
      </c>
      <c r="B49" s="8" t="s">
        <v>35</v>
      </c>
      <c r="C49">
        <v>-14.8081</v>
      </c>
      <c r="D49">
        <v>-177.30029999999999</v>
      </c>
      <c r="E49">
        <v>237</v>
      </c>
      <c r="F49" s="8" t="s">
        <v>17</v>
      </c>
      <c r="G49">
        <v>20.7</v>
      </c>
      <c r="H49">
        <v>78.3</v>
      </c>
      <c r="I49" s="8" t="s">
        <v>22</v>
      </c>
      <c r="J49">
        <v>35</v>
      </c>
      <c r="K49">
        <v>491</v>
      </c>
      <c r="L49">
        <v>2</v>
      </c>
      <c r="M49" s="8" t="s">
        <v>19</v>
      </c>
      <c r="N49">
        <v>80.7</v>
      </c>
      <c r="O49">
        <v>189</v>
      </c>
      <c r="P49">
        <v>1</v>
      </c>
      <c r="Q49">
        <v>11</v>
      </c>
      <c r="R49">
        <v>2024</v>
      </c>
      <c r="S49">
        <v>1</v>
      </c>
      <c r="T49" s="8" t="s">
        <v>91</v>
      </c>
      <c r="U49">
        <v>0</v>
      </c>
      <c r="V49">
        <v>2</v>
      </c>
      <c r="W49">
        <v>2</v>
      </c>
      <c r="X49">
        <v>1</v>
      </c>
      <c r="Y49">
        <v>1</v>
      </c>
      <c r="Z49">
        <v>0</v>
      </c>
    </row>
    <row r="50" spans="1:26" x14ac:dyDescent="0.25">
      <c r="A50" s="1">
        <v>45413.934849537036</v>
      </c>
      <c r="B50" s="8" t="s">
        <v>20</v>
      </c>
      <c r="C50">
        <v>4.1399999999999999E-2</v>
      </c>
      <c r="D50">
        <v>-130.65049999999999</v>
      </c>
      <c r="E50">
        <v>172</v>
      </c>
      <c r="F50" s="8" t="s">
        <v>26</v>
      </c>
      <c r="G50">
        <v>18.2</v>
      </c>
      <c r="H50">
        <v>79.900000000000006</v>
      </c>
      <c r="I50" s="8" t="s">
        <v>28</v>
      </c>
      <c r="J50">
        <v>46</v>
      </c>
      <c r="K50">
        <v>258</v>
      </c>
      <c r="L50">
        <v>3</v>
      </c>
      <c r="M50" s="8" t="s">
        <v>31</v>
      </c>
      <c r="N50">
        <v>60.1</v>
      </c>
      <c r="O50">
        <v>154</v>
      </c>
      <c r="P50">
        <v>0</v>
      </c>
      <c r="Q50">
        <v>5</v>
      </c>
      <c r="R50">
        <v>2024</v>
      </c>
      <c r="S50">
        <v>3</v>
      </c>
      <c r="T50" s="8" t="s">
        <v>90</v>
      </c>
      <c r="U50">
        <v>0</v>
      </c>
      <c r="V50">
        <v>1</v>
      </c>
      <c r="W50">
        <v>0</v>
      </c>
      <c r="X50">
        <v>0</v>
      </c>
      <c r="Y50">
        <v>1</v>
      </c>
      <c r="Z50">
        <v>1</v>
      </c>
    </row>
    <row r="51" spans="1:26" x14ac:dyDescent="0.25">
      <c r="A51" s="1">
        <v>45499.846539351849</v>
      </c>
      <c r="B51" s="8" t="s">
        <v>25</v>
      </c>
      <c r="C51">
        <v>-79.914599999999993</v>
      </c>
      <c r="D51">
        <v>-3.8553999999999999</v>
      </c>
      <c r="E51">
        <v>214</v>
      </c>
      <c r="F51" s="8" t="s">
        <v>21</v>
      </c>
      <c r="G51">
        <v>21.7</v>
      </c>
      <c r="H51">
        <v>77</v>
      </c>
      <c r="I51" s="8" t="s">
        <v>22</v>
      </c>
      <c r="J51">
        <v>47</v>
      </c>
      <c r="K51">
        <v>187</v>
      </c>
      <c r="L51">
        <v>10</v>
      </c>
      <c r="M51" s="8" t="s">
        <v>19</v>
      </c>
      <c r="N51">
        <v>97.4</v>
      </c>
      <c r="O51">
        <v>175</v>
      </c>
      <c r="P51">
        <v>1</v>
      </c>
      <c r="Q51">
        <v>7</v>
      </c>
      <c r="R51">
        <v>2024</v>
      </c>
      <c r="S51">
        <v>5</v>
      </c>
      <c r="T51" s="8" t="s">
        <v>92</v>
      </c>
      <c r="U51">
        <v>1</v>
      </c>
      <c r="V51">
        <v>0</v>
      </c>
      <c r="W51">
        <v>2</v>
      </c>
      <c r="X51">
        <v>1</v>
      </c>
      <c r="Y51">
        <v>1</v>
      </c>
      <c r="Z51">
        <v>1</v>
      </c>
    </row>
    <row r="52" spans="1:26" x14ac:dyDescent="0.25">
      <c r="A52" s="1">
        <v>45513.05327546296</v>
      </c>
      <c r="B52" s="8" t="s">
        <v>33</v>
      </c>
      <c r="C52">
        <v>76.4465</v>
      </c>
      <c r="D52">
        <v>173.14930000000001</v>
      </c>
      <c r="E52">
        <v>330</v>
      </c>
      <c r="F52" s="8" t="s">
        <v>17</v>
      </c>
      <c r="G52">
        <v>24</v>
      </c>
      <c r="H52">
        <v>52.9</v>
      </c>
      <c r="I52" s="8" t="s">
        <v>22</v>
      </c>
      <c r="J52">
        <v>14</v>
      </c>
      <c r="K52">
        <v>425</v>
      </c>
      <c r="L52">
        <v>1</v>
      </c>
      <c r="M52" s="8" t="s">
        <v>31</v>
      </c>
      <c r="N52">
        <v>89.8</v>
      </c>
      <c r="O52">
        <v>289</v>
      </c>
      <c r="P52">
        <v>1</v>
      </c>
      <c r="Q52">
        <v>8</v>
      </c>
      <c r="R52">
        <v>2024</v>
      </c>
      <c r="S52">
        <v>5</v>
      </c>
      <c r="T52" s="8" t="s">
        <v>92</v>
      </c>
      <c r="U52">
        <v>1</v>
      </c>
      <c r="V52">
        <v>2</v>
      </c>
      <c r="W52">
        <v>2</v>
      </c>
      <c r="X52">
        <v>1</v>
      </c>
      <c r="Y52">
        <v>0</v>
      </c>
      <c r="Z52">
        <v>0</v>
      </c>
    </row>
    <row r="53" spans="1:26" x14ac:dyDescent="0.25">
      <c r="A53" s="1">
        <v>45320.877870370372</v>
      </c>
      <c r="B53" s="8" t="s">
        <v>34</v>
      </c>
      <c r="C53">
        <v>-15.6005</v>
      </c>
      <c r="D53">
        <v>-92.197400000000002</v>
      </c>
      <c r="E53">
        <v>130</v>
      </c>
      <c r="F53" s="8" t="s">
        <v>26</v>
      </c>
      <c r="G53">
        <v>18.100000000000001</v>
      </c>
      <c r="H53">
        <v>78.3</v>
      </c>
      <c r="I53" s="8" t="s">
        <v>22</v>
      </c>
      <c r="J53">
        <v>39</v>
      </c>
      <c r="K53">
        <v>424</v>
      </c>
      <c r="L53">
        <v>9</v>
      </c>
      <c r="M53" s="8" t="s">
        <v>27</v>
      </c>
      <c r="N53">
        <v>92.3</v>
      </c>
      <c r="O53">
        <v>143</v>
      </c>
      <c r="P53">
        <v>1</v>
      </c>
      <c r="Q53">
        <v>1</v>
      </c>
      <c r="R53">
        <v>2024</v>
      </c>
      <c r="S53">
        <v>1</v>
      </c>
      <c r="T53" s="8" t="s">
        <v>93</v>
      </c>
      <c r="U53">
        <v>0</v>
      </c>
      <c r="V53">
        <v>1</v>
      </c>
      <c r="W53">
        <v>2</v>
      </c>
      <c r="X53">
        <v>1</v>
      </c>
      <c r="Y53">
        <v>1</v>
      </c>
      <c r="Z53">
        <v>0</v>
      </c>
    </row>
    <row r="54" spans="1:26" x14ac:dyDescent="0.25">
      <c r="A54" s="1">
        <v>45374.533032407409</v>
      </c>
      <c r="B54" s="8" t="s">
        <v>30</v>
      </c>
      <c r="C54">
        <v>67.396000000000001</v>
      </c>
      <c r="D54">
        <v>170.15369999999999</v>
      </c>
      <c r="E54">
        <v>364</v>
      </c>
      <c r="F54" s="8" t="s">
        <v>17</v>
      </c>
      <c r="G54">
        <v>26.9</v>
      </c>
      <c r="H54">
        <v>67.8</v>
      </c>
      <c r="I54" s="8" t="s">
        <v>28</v>
      </c>
      <c r="J54">
        <v>55</v>
      </c>
      <c r="K54">
        <v>467</v>
      </c>
      <c r="L54">
        <v>7</v>
      </c>
      <c r="M54" s="8" t="s">
        <v>23</v>
      </c>
      <c r="N54">
        <v>95.2</v>
      </c>
      <c r="O54">
        <v>128</v>
      </c>
      <c r="P54">
        <v>1</v>
      </c>
      <c r="Q54">
        <v>3</v>
      </c>
      <c r="R54">
        <v>2024</v>
      </c>
      <c r="S54">
        <v>6</v>
      </c>
      <c r="T54" s="8" t="s">
        <v>90</v>
      </c>
      <c r="U54">
        <v>1</v>
      </c>
      <c r="V54">
        <v>2</v>
      </c>
      <c r="W54">
        <v>0</v>
      </c>
      <c r="X54">
        <v>0</v>
      </c>
      <c r="Y54">
        <v>0</v>
      </c>
      <c r="Z54">
        <v>1</v>
      </c>
    </row>
    <row r="55" spans="1:26" x14ac:dyDescent="0.25">
      <c r="A55" s="1">
        <v>45582.557303240741</v>
      </c>
      <c r="B55" s="8" t="s">
        <v>32</v>
      </c>
      <c r="C55">
        <v>33.617899999999999</v>
      </c>
      <c r="D55">
        <v>-67.275800000000004</v>
      </c>
      <c r="E55">
        <v>430</v>
      </c>
      <c r="F55" s="8" t="s">
        <v>17</v>
      </c>
      <c r="G55">
        <v>26.4</v>
      </c>
      <c r="H55">
        <v>68.400000000000006</v>
      </c>
      <c r="I55" s="8" t="s">
        <v>22</v>
      </c>
      <c r="J55">
        <v>16</v>
      </c>
      <c r="K55">
        <v>277</v>
      </c>
      <c r="L55">
        <v>8</v>
      </c>
      <c r="M55" s="8" t="s">
        <v>19</v>
      </c>
      <c r="N55">
        <v>71.900000000000006</v>
      </c>
      <c r="O55">
        <v>137</v>
      </c>
      <c r="P55">
        <v>1</v>
      </c>
      <c r="Q55">
        <v>10</v>
      </c>
      <c r="R55">
        <v>2024</v>
      </c>
      <c r="S55">
        <v>4</v>
      </c>
      <c r="T55" s="8" t="s">
        <v>91</v>
      </c>
      <c r="U55">
        <v>0</v>
      </c>
      <c r="V55">
        <v>2</v>
      </c>
      <c r="W55">
        <v>2</v>
      </c>
      <c r="X55">
        <v>1</v>
      </c>
      <c r="Y55">
        <v>0</v>
      </c>
      <c r="Z55">
        <v>0</v>
      </c>
    </row>
    <row r="56" spans="1:26" x14ac:dyDescent="0.25">
      <c r="A56" s="1">
        <v>45484.296840277777</v>
      </c>
      <c r="B56" s="8" t="s">
        <v>32</v>
      </c>
      <c r="C56">
        <v>-50.817399999999999</v>
      </c>
      <c r="D56">
        <v>-40.340899999999998</v>
      </c>
      <c r="E56">
        <v>187</v>
      </c>
      <c r="F56" s="8" t="s">
        <v>21</v>
      </c>
      <c r="G56">
        <v>18.600000000000001</v>
      </c>
      <c r="H56">
        <v>67.7</v>
      </c>
      <c r="I56" s="8" t="s">
        <v>28</v>
      </c>
      <c r="J56">
        <v>12</v>
      </c>
      <c r="K56">
        <v>375</v>
      </c>
      <c r="L56">
        <v>5</v>
      </c>
      <c r="M56" s="8" t="s">
        <v>19</v>
      </c>
      <c r="N56">
        <v>85.4</v>
      </c>
      <c r="O56">
        <v>140</v>
      </c>
      <c r="P56">
        <v>0</v>
      </c>
      <c r="Q56">
        <v>7</v>
      </c>
      <c r="R56">
        <v>2024</v>
      </c>
      <c r="S56">
        <v>4</v>
      </c>
      <c r="T56" s="8" t="s">
        <v>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 s="1">
        <v>45637.706805555557</v>
      </c>
      <c r="B57" s="8" t="s">
        <v>34</v>
      </c>
      <c r="C57">
        <v>50.270899999999997</v>
      </c>
      <c r="D57">
        <v>125.6915</v>
      </c>
      <c r="E57">
        <v>323</v>
      </c>
      <c r="F57" s="8" t="s">
        <v>17</v>
      </c>
      <c r="G57">
        <v>28.3</v>
      </c>
      <c r="H57">
        <v>61.2</v>
      </c>
      <c r="I57" s="8" t="s">
        <v>18</v>
      </c>
      <c r="J57">
        <v>52</v>
      </c>
      <c r="K57">
        <v>139</v>
      </c>
      <c r="L57">
        <v>4</v>
      </c>
      <c r="M57" s="8" t="s">
        <v>23</v>
      </c>
      <c r="N57">
        <v>72.400000000000006</v>
      </c>
      <c r="O57">
        <v>127</v>
      </c>
      <c r="P57">
        <v>1</v>
      </c>
      <c r="Q57">
        <v>12</v>
      </c>
      <c r="R57">
        <v>2024</v>
      </c>
      <c r="S57">
        <v>3</v>
      </c>
      <c r="T57" s="8" t="s">
        <v>93</v>
      </c>
      <c r="U57">
        <v>0</v>
      </c>
      <c r="V57">
        <v>2</v>
      </c>
      <c r="W57">
        <v>1</v>
      </c>
      <c r="X57">
        <v>0</v>
      </c>
      <c r="Y57">
        <v>0</v>
      </c>
      <c r="Z57">
        <v>1</v>
      </c>
    </row>
    <row r="58" spans="1:26" x14ac:dyDescent="0.25">
      <c r="A58" s="1">
        <v>45301.045428240737</v>
      </c>
      <c r="B58" s="8" t="s">
        <v>25</v>
      </c>
      <c r="C58">
        <v>-73.821100000000001</v>
      </c>
      <c r="D58">
        <v>3.1869999999999998</v>
      </c>
      <c r="E58">
        <v>386</v>
      </c>
      <c r="F58" s="8" t="s">
        <v>26</v>
      </c>
      <c r="G58">
        <v>26.6</v>
      </c>
      <c r="H58">
        <v>78.2</v>
      </c>
      <c r="I58" s="8" t="s">
        <v>18</v>
      </c>
      <c r="J58">
        <v>19</v>
      </c>
      <c r="K58">
        <v>456</v>
      </c>
      <c r="L58">
        <v>7</v>
      </c>
      <c r="M58" s="8" t="s">
        <v>27</v>
      </c>
      <c r="N58">
        <v>87.6</v>
      </c>
      <c r="O58">
        <v>290</v>
      </c>
      <c r="P58">
        <v>0</v>
      </c>
      <c r="Q58">
        <v>1</v>
      </c>
      <c r="R58">
        <v>2024</v>
      </c>
      <c r="S58">
        <v>3</v>
      </c>
      <c r="T58" s="8" t="s">
        <v>93</v>
      </c>
      <c r="U58">
        <v>0</v>
      </c>
      <c r="V58">
        <v>1</v>
      </c>
      <c r="W58">
        <v>1</v>
      </c>
      <c r="X58">
        <v>0</v>
      </c>
      <c r="Y58">
        <v>1</v>
      </c>
      <c r="Z58">
        <v>0</v>
      </c>
    </row>
    <row r="59" spans="1:26" x14ac:dyDescent="0.25">
      <c r="A59" s="1">
        <v>45460.332916666666</v>
      </c>
      <c r="B59" s="8" t="s">
        <v>25</v>
      </c>
      <c r="C59">
        <v>79.117199999999997</v>
      </c>
      <c r="D59">
        <v>178.49340000000001</v>
      </c>
      <c r="E59">
        <v>422</v>
      </c>
      <c r="F59" s="8" t="s">
        <v>17</v>
      </c>
      <c r="G59">
        <v>19.600000000000001</v>
      </c>
      <c r="H59">
        <v>53.3</v>
      </c>
      <c r="I59" s="8" t="s">
        <v>22</v>
      </c>
      <c r="J59">
        <v>40</v>
      </c>
      <c r="K59">
        <v>205</v>
      </c>
      <c r="L59">
        <v>5</v>
      </c>
      <c r="M59" s="8" t="s">
        <v>23</v>
      </c>
      <c r="N59">
        <v>86.1</v>
      </c>
      <c r="O59">
        <v>242</v>
      </c>
      <c r="P59">
        <v>1</v>
      </c>
      <c r="Q59">
        <v>6</v>
      </c>
      <c r="R59">
        <v>2024</v>
      </c>
      <c r="S59">
        <v>1</v>
      </c>
      <c r="T59" s="8" t="s">
        <v>92</v>
      </c>
      <c r="U59">
        <v>0</v>
      </c>
      <c r="V59">
        <v>2</v>
      </c>
      <c r="W59">
        <v>2</v>
      </c>
      <c r="X59">
        <v>1</v>
      </c>
      <c r="Y59">
        <v>0</v>
      </c>
      <c r="Z59">
        <v>0</v>
      </c>
    </row>
    <row r="60" spans="1:26" x14ac:dyDescent="0.25">
      <c r="A60" s="1">
        <v>45468.078101851854</v>
      </c>
      <c r="B60" s="8" t="s">
        <v>25</v>
      </c>
      <c r="C60">
        <v>27.4253</v>
      </c>
      <c r="D60">
        <v>90.138599999999997</v>
      </c>
      <c r="E60">
        <v>433</v>
      </c>
      <c r="F60" s="8" t="s">
        <v>17</v>
      </c>
      <c r="G60">
        <v>24</v>
      </c>
      <c r="H60">
        <v>77.8</v>
      </c>
      <c r="I60" s="8" t="s">
        <v>28</v>
      </c>
      <c r="J60">
        <v>37</v>
      </c>
      <c r="K60">
        <v>173</v>
      </c>
      <c r="L60">
        <v>9</v>
      </c>
      <c r="M60" s="8" t="s">
        <v>23</v>
      </c>
      <c r="N60">
        <v>89.6</v>
      </c>
      <c r="O60">
        <v>143</v>
      </c>
      <c r="P60">
        <v>1</v>
      </c>
      <c r="Q60">
        <v>6</v>
      </c>
      <c r="R60">
        <v>2024</v>
      </c>
      <c r="S60">
        <v>2</v>
      </c>
      <c r="T60" s="8" t="s">
        <v>92</v>
      </c>
      <c r="U60">
        <v>0</v>
      </c>
      <c r="V60">
        <v>2</v>
      </c>
      <c r="W60">
        <v>0</v>
      </c>
      <c r="X60">
        <v>0</v>
      </c>
      <c r="Y60">
        <v>1</v>
      </c>
      <c r="Z60">
        <v>0</v>
      </c>
    </row>
    <row r="61" spans="1:26" x14ac:dyDescent="0.25">
      <c r="A61" s="1">
        <v>45399.842569444445</v>
      </c>
      <c r="B61" s="8" t="s">
        <v>25</v>
      </c>
      <c r="C61">
        <v>67.908600000000007</v>
      </c>
      <c r="D61">
        <v>-140.0283</v>
      </c>
      <c r="E61">
        <v>318</v>
      </c>
      <c r="F61" s="8" t="s">
        <v>26</v>
      </c>
      <c r="G61">
        <v>26</v>
      </c>
      <c r="H61">
        <v>77.400000000000006</v>
      </c>
      <c r="I61" s="8" t="s">
        <v>28</v>
      </c>
      <c r="J61">
        <v>19</v>
      </c>
      <c r="K61">
        <v>314</v>
      </c>
      <c r="L61">
        <v>2</v>
      </c>
      <c r="M61" s="8" t="s">
        <v>19</v>
      </c>
      <c r="N61">
        <v>70.2</v>
      </c>
      <c r="O61">
        <v>250</v>
      </c>
      <c r="P61">
        <v>0</v>
      </c>
      <c r="Q61">
        <v>4</v>
      </c>
      <c r="R61">
        <v>2024</v>
      </c>
      <c r="S61">
        <v>3</v>
      </c>
      <c r="T61" s="8" t="s">
        <v>90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</row>
    <row r="62" spans="1:26" x14ac:dyDescent="0.25">
      <c r="A62" s="1">
        <v>45574.768182870372</v>
      </c>
      <c r="B62" s="8" t="s">
        <v>25</v>
      </c>
      <c r="C62">
        <v>-72.895799999999994</v>
      </c>
      <c r="D62">
        <v>129.8921</v>
      </c>
      <c r="E62">
        <v>176</v>
      </c>
      <c r="F62" s="8" t="s">
        <v>21</v>
      </c>
      <c r="G62">
        <v>22.6</v>
      </c>
      <c r="H62">
        <v>73.3</v>
      </c>
      <c r="I62" s="8" t="s">
        <v>22</v>
      </c>
      <c r="J62">
        <v>37</v>
      </c>
      <c r="K62">
        <v>154</v>
      </c>
      <c r="L62">
        <v>4</v>
      </c>
      <c r="M62" s="8" t="s">
        <v>31</v>
      </c>
      <c r="N62">
        <v>91.4</v>
      </c>
      <c r="O62">
        <v>169</v>
      </c>
      <c r="P62">
        <v>1</v>
      </c>
      <c r="Q62">
        <v>10</v>
      </c>
      <c r="R62">
        <v>2024</v>
      </c>
      <c r="S62">
        <v>3</v>
      </c>
      <c r="T62" s="8" t="s">
        <v>91</v>
      </c>
      <c r="U62">
        <v>0</v>
      </c>
      <c r="V62">
        <v>0</v>
      </c>
      <c r="W62">
        <v>2</v>
      </c>
      <c r="X62">
        <v>1</v>
      </c>
      <c r="Y62">
        <v>0</v>
      </c>
      <c r="Z62">
        <v>0</v>
      </c>
    </row>
    <row r="63" spans="1:26" x14ac:dyDescent="0.25">
      <c r="A63" s="1">
        <v>45623.720682870371</v>
      </c>
      <c r="B63" s="8" t="s">
        <v>29</v>
      </c>
      <c r="C63">
        <v>-58.680199999999999</v>
      </c>
      <c r="D63">
        <v>-62.747399999999999</v>
      </c>
      <c r="E63">
        <v>125</v>
      </c>
      <c r="F63" s="8" t="s">
        <v>17</v>
      </c>
      <c r="G63">
        <v>23.4</v>
      </c>
      <c r="H63">
        <v>57.6</v>
      </c>
      <c r="I63" s="8" t="s">
        <v>22</v>
      </c>
      <c r="J63">
        <v>23</v>
      </c>
      <c r="K63">
        <v>191</v>
      </c>
      <c r="L63">
        <v>2</v>
      </c>
      <c r="M63" s="8" t="s">
        <v>27</v>
      </c>
      <c r="N63">
        <v>72</v>
      </c>
      <c r="O63">
        <v>241</v>
      </c>
      <c r="P63">
        <v>1</v>
      </c>
      <c r="Q63">
        <v>11</v>
      </c>
      <c r="R63">
        <v>2024</v>
      </c>
      <c r="S63">
        <v>3</v>
      </c>
      <c r="T63" s="8" t="s">
        <v>91</v>
      </c>
      <c r="U63">
        <v>0</v>
      </c>
      <c r="V63">
        <v>2</v>
      </c>
      <c r="W63">
        <v>2</v>
      </c>
      <c r="X63">
        <v>1</v>
      </c>
      <c r="Y63">
        <v>0</v>
      </c>
      <c r="Z63">
        <v>0</v>
      </c>
    </row>
    <row r="64" spans="1:26" x14ac:dyDescent="0.25">
      <c r="A64" s="1">
        <v>45455.117673611108</v>
      </c>
      <c r="B64" s="8" t="s">
        <v>20</v>
      </c>
      <c r="C64">
        <v>64.039500000000004</v>
      </c>
      <c r="D64">
        <v>-151.7045</v>
      </c>
      <c r="E64">
        <v>336</v>
      </c>
      <c r="F64" s="8" t="s">
        <v>21</v>
      </c>
      <c r="G64">
        <v>27.4</v>
      </c>
      <c r="H64">
        <v>58.9</v>
      </c>
      <c r="I64" s="8" t="s">
        <v>18</v>
      </c>
      <c r="J64">
        <v>49</v>
      </c>
      <c r="K64">
        <v>100</v>
      </c>
      <c r="L64">
        <v>10</v>
      </c>
      <c r="M64" s="8" t="s">
        <v>23</v>
      </c>
      <c r="N64">
        <v>70.7</v>
      </c>
      <c r="O64">
        <v>236</v>
      </c>
      <c r="P64">
        <v>0</v>
      </c>
      <c r="Q64">
        <v>6</v>
      </c>
      <c r="R64">
        <v>2024</v>
      </c>
      <c r="S64">
        <v>3</v>
      </c>
      <c r="T64" s="8" t="s">
        <v>92</v>
      </c>
      <c r="U64">
        <v>0</v>
      </c>
      <c r="V64">
        <v>0</v>
      </c>
      <c r="W64">
        <v>1</v>
      </c>
      <c r="X64">
        <v>0</v>
      </c>
      <c r="Y64">
        <v>0</v>
      </c>
      <c r="Z64">
        <v>1</v>
      </c>
    </row>
    <row r="65" spans="1:26" x14ac:dyDescent="0.25">
      <c r="A65" s="1">
        <v>45598.888726851852</v>
      </c>
      <c r="B65" s="8" t="s">
        <v>16</v>
      </c>
      <c r="C65">
        <v>-24.1402</v>
      </c>
      <c r="D65">
        <v>-168.60130000000001</v>
      </c>
      <c r="E65">
        <v>244</v>
      </c>
      <c r="F65" s="8" t="s">
        <v>26</v>
      </c>
      <c r="G65">
        <v>21.3</v>
      </c>
      <c r="H65">
        <v>73.8</v>
      </c>
      <c r="I65" s="8" t="s">
        <v>22</v>
      </c>
      <c r="J65">
        <v>39</v>
      </c>
      <c r="K65">
        <v>229</v>
      </c>
      <c r="L65">
        <v>7</v>
      </c>
      <c r="M65" s="8" t="s">
        <v>19</v>
      </c>
      <c r="N65">
        <v>98.1</v>
      </c>
      <c r="O65">
        <v>197</v>
      </c>
      <c r="P65">
        <v>1</v>
      </c>
      <c r="Q65">
        <v>11</v>
      </c>
      <c r="R65">
        <v>2024</v>
      </c>
      <c r="S65">
        <v>6</v>
      </c>
      <c r="T65" s="8" t="s">
        <v>91</v>
      </c>
      <c r="U65">
        <v>1</v>
      </c>
      <c r="V65">
        <v>1</v>
      </c>
      <c r="W65">
        <v>2</v>
      </c>
      <c r="X65">
        <v>1</v>
      </c>
      <c r="Y65">
        <v>0</v>
      </c>
      <c r="Z65">
        <v>0</v>
      </c>
    </row>
    <row r="66" spans="1:26" x14ac:dyDescent="0.25">
      <c r="A66" s="1">
        <v>45351.633958333332</v>
      </c>
      <c r="B66" s="8" t="s">
        <v>29</v>
      </c>
      <c r="C66">
        <v>72.857399999999998</v>
      </c>
      <c r="D66">
        <v>179.01</v>
      </c>
      <c r="E66">
        <v>391</v>
      </c>
      <c r="F66" s="8" t="s">
        <v>21</v>
      </c>
      <c r="G66">
        <v>20.5</v>
      </c>
      <c r="H66">
        <v>71.2</v>
      </c>
      <c r="I66" s="8" t="s">
        <v>18</v>
      </c>
      <c r="J66">
        <v>12</v>
      </c>
      <c r="K66">
        <v>112</v>
      </c>
      <c r="L66">
        <v>7</v>
      </c>
      <c r="M66" s="8" t="s">
        <v>19</v>
      </c>
      <c r="N66">
        <v>78.3</v>
      </c>
      <c r="O66">
        <v>267</v>
      </c>
      <c r="P66">
        <v>0</v>
      </c>
      <c r="Q66">
        <v>2</v>
      </c>
      <c r="R66">
        <v>2024</v>
      </c>
      <c r="S66">
        <v>4</v>
      </c>
      <c r="T66" s="8" t="s">
        <v>93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</row>
    <row r="67" spans="1:26" x14ac:dyDescent="0.25">
      <c r="A67" s="1">
        <v>45368.99114583333</v>
      </c>
      <c r="B67" s="8" t="s">
        <v>20</v>
      </c>
      <c r="C67">
        <v>7.3574999999999999</v>
      </c>
      <c r="D67">
        <v>86.644199999999998</v>
      </c>
      <c r="E67">
        <v>425</v>
      </c>
      <c r="F67" s="8" t="s">
        <v>26</v>
      </c>
      <c r="G67">
        <v>24.2</v>
      </c>
      <c r="H67">
        <v>54.6</v>
      </c>
      <c r="I67" s="8" t="s">
        <v>18</v>
      </c>
      <c r="J67">
        <v>32</v>
      </c>
      <c r="K67">
        <v>193</v>
      </c>
      <c r="L67">
        <v>3</v>
      </c>
      <c r="M67" s="8" t="s">
        <v>23</v>
      </c>
      <c r="N67">
        <v>69.900000000000006</v>
      </c>
      <c r="O67">
        <v>260</v>
      </c>
      <c r="P67">
        <v>0</v>
      </c>
      <c r="Q67">
        <v>3</v>
      </c>
      <c r="R67">
        <v>2024</v>
      </c>
      <c r="S67">
        <v>0</v>
      </c>
      <c r="T67" s="8" t="s">
        <v>90</v>
      </c>
      <c r="U67">
        <v>0</v>
      </c>
      <c r="V67">
        <v>1</v>
      </c>
      <c r="W67">
        <v>1</v>
      </c>
      <c r="X67">
        <v>0</v>
      </c>
      <c r="Y67">
        <v>0</v>
      </c>
      <c r="Z67">
        <v>0</v>
      </c>
    </row>
    <row r="68" spans="1:26" x14ac:dyDescent="0.25">
      <c r="A68" s="1">
        <v>45621.443854166668</v>
      </c>
      <c r="B68" s="8" t="s">
        <v>34</v>
      </c>
      <c r="C68">
        <v>68.959400000000002</v>
      </c>
      <c r="D68">
        <v>-123.5048</v>
      </c>
      <c r="E68">
        <v>403</v>
      </c>
      <c r="F68" s="8" t="s">
        <v>21</v>
      </c>
      <c r="G68">
        <v>26.9</v>
      </c>
      <c r="H68">
        <v>60.6</v>
      </c>
      <c r="I68" s="8" t="s">
        <v>28</v>
      </c>
      <c r="J68">
        <v>50</v>
      </c>
      <c r="K68">
        <v>418</v>
      </c>
      <c r="L68">
        <v>1</v>
      </c>
      <c r="M68" s="8" t="s">
        <v>27</v>
      </c>
      <c r="N68">
        <v>67.8</v>
      </c>
      <c r="O68">
        <v>182</v>
      </c>
      <c r="P68">
        <v>0</v>
      </c>
      <c r="Q68">
        <v>11</v>
      </c>
      <c r="R68">
        <v>2024</v>
      </c>
      <c r="S68">
        <v>1</v>
      </c>
      <c r="T68" s="8" t="s">
        <v>91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 x14ac:dyDescent="0.25">
      <c r="A69" s="1">
        <v>45477.765648148146</v>
      </c>
      <c r="B69" s="8" t="s">
        <v>29</v>
      </c>
      <c r="C69">
        <v>14.9079</v>
      </c>
      <c r="D69">
        <v>50.160600000000002</v>
      </c>
      <c r="E69">
        <v>438</v>
      </c>
      <c r="F69" s="8" t="s">
        <v>17</v>
      </c>
      <c r="G69">
        <v>26.5</v>
      </c>
      <c r="H69">
        <v>69.3</v>
      </c>
      <c r="I69" s="8" t="s">
        <v>22</v>
      </c>
      <c r="J69">
        <v>34</v>
      </c>
      <c r="K69">
        <v>378</v>
      </c>
      <c r="L69">
        <v>5</v>
      </c>
      <c r="M69" s="8" t="s">
        <v>23</v>
      </c>
      <c r="N69">
        <v>88.7</v>
      </c>
      <c r="O69">
        <v>256</v>
      </c>
      <c r="P69">
        <v>1</v>
      </c>
      <c r="Q69">
        <v>7</v>
      </c>
      <c r="R69">
        <v>2024</v>
      </c>
      <c r="S69">
        <v>4</v>
      </c>
      <c r="T69" s="8" t="s">
        <v>92</v>
      </c>
      <c r="U69">
        <v>0</v>
      </c>
      <c r="V69">
        <v>2</v>
      </c>
      <c r="W69">
        <v>2</v>
      </c>
      <c r="X69">
        <v>1</v>
      </c>
      <c r="Y69">
        <v>0</v>
      </c>
      <c r="Z69">
        <v>0</v>
      </c>
    </row>
    <row r="70" spans="1:26" x14ac:dyDescent="0.25">
      <c r="A70" s="1">
        <v>45370.224942129629</v>
      </c>
      <c r="B70" s="8" t="s">
        <v>35</v>
      </c>
      <c r="C70">
        <v>66.235299999999995</v>
      </c>
      <c r="D70">
        <v>10.8345</v>
      </c>
      <c r="E70">
        <v>339</v>
      </c>
      <c r="F70" s="8" t="s">
        <v>21</v>
      </c>
      <c r="G70">
        <v>26.8</v>
      </c>
      <c r="H70">
        <v>64.5</v>
      </c>
      <c r="I70" s="8" t="s">
        <v>18</v>
      </c>
      <c r="J70">
        <v>24</v>
      </c>
      <c r="K70">
        <v>235</v>
      </c>
      <c r="L70">
        <v>6</v>
      </c>
      <c r="M70" s="8" t="s">
        <v>27</v>
      </c>
      <c r="N70">
        <v>69.3</v>
      </c>
      <c r="O70">
        <v>212</v>
      </c>
      <c r="P70">
        <v>0</v>
      </c>
      <c r="Q70">
        <v>3</v>
      </c>
      <c r="R70">
        <v>2024</v>
      </c>
      <c r="S70">
        <v>2</v>
      </c>
      <c r="T70" s="8" t="s">
        <v>90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</row>
    <row r="71" spans="1:26" x14ac:dyDescent="0.25">
      <c r="A71" s="1">
        <v>45371.059293981481</v>
      </c>
      <c r="B71" s="8" t="s">
        <v>25</v>
      </c>
      <c r="C71">
        <v>70.189899999999994</v>
      </c>
      <c r="D71">
        <v>-65.679199999999994</v>
      </c>
      <c r="E71">
        <v>203</v>
      </c>
      <c r="F71" s="8" t="s">
        <v>21</v>
      </c>
      <c r="G71">
        <v>18</v>
      </c>
      <c r="H71">
        <v>68.900000000000006</v>
      </c>
      <c r="I71" s="8" t="s">
        <v>22</v>
      </c>
      <c r="J71">
        <v>19</v>
      </c>
      <c r="K71">
        <v>370</v>
      </c>
      <c r="L71">
        <v>3</v>
      </c>
      <c r="M71" s="8" t="s">
        <v>27</v>
      </c>
      <c r="N71">
        <v>74.400000000000006</v>
      </c>
      <c r="O71">
        <v>254</v>
      </c>
      <c r="P71">
        <v>1</v>
      </c>
      <c r="Q71">
        <v>3</v>
      </c>
      <c r="R71">
        <v>2024</v>
      </c>
      <c r="S71">
        <v>3</v>
      </c>
      <c r="T71" s="8" t="s">
        <v>90</v>
      </c>
      <c r="U71">
        <v>0</v>
      </c>
      <c r="V71">
        <v>0</v>
      </c>
      <c r="W71">
        <v>2</v>
      </c>
      <c r="X71">
        <v>1</v>
      </c>
      <c r="Y71">
        <v>0</v>
      </c>
      <c r="Z71">
        <v>0</v>
      </c>
    </row>
    <row r="72" spans="1:26" x14ac:dyDescent="0.25">
      <c r="A72" s="1">
        <v>45491.47011574074</v>
      </c>
      <c r="B72" s="8" t="s">
        <v>29</v>
      </c>
      <c r="C72">
        <v>51.453899999999997</v>
      </c>
      <c r="D72">
        <v>-20.825299999999999</v>
      </c>
      <c r="E72">
        <v>313</v>
      </c>
      <c r="F72" s="8" t="s">
        <v>26</v>
      </c>
      <c r="G72">
        <v>23.6</v>
      </c>
      <c r="H72">
        <v>65.2</v>
      </c>
      <c r="I72" s="8" t="s">
        <v>28</v>
      </c>
      <c r="J72">
        <v>49</v>
      </c>
      <c r="K72">
        <v>137</v>
      </c>
      <c r="L72">
        <v>6</v>
      </c>
      <c r="M72" s="8" t="s">
        <v>19</v>
      </c>
      <c r="N72">
        <v>100</v>
      </c>
      <c r="O72">
        <v>122</v>
      </c>
      <c r="P72">
        <v>0</v>
      </c>
      <c r="Q72">
        <v>7</v>
      </c>
      <c r="R72">
        <v>2024</v>
      </c>
      <c r="S72">
        <v>4</v>
      </c>
      <c r="T72" s="8" t="s">
        <v>92</v>
      </c>
      <c r="U72">
        <v>0</v>
      </c>
      <c r="V72">
        <v>1</v>
      </c>
      <c r="W72">
        <v>0</v>
      </c>
      <c r="X72">
        <v>0</v>
      </c>
      <c r="Y72">
        <v>0</v>
      </c>
      <c r="Z72">
        <v>1</v>
      </c>
    </row>
    <row r="73" spans="1:26" x14ac:dyDescent="0.25">
      <c r="A73" s="1">
        <v>45514.36141203704</v>
      </c>
      <c r="B73" s="8" t="s">
        <v>30</v>
      </c>
      <c r="C73">
        <v>-39.880000000000003</v>
      </c>
      <c r="D73">
        <v>55.179200000000002</v>
      </c>
      <c r="E73">
        <v>261</v>
      </c>
      <c r="F73" s="8" t="s">
        <v>26</v>
      </c>
      <c r="G73">
        <v>27.1</v>
      </c>
      <c r="H73">
        <v>67.3</v>
      </c>
      <c r="I73" s="8" t="s">
        <v>18</v>
      </c>
      <c r="J73">
        <v>35</v>
      </c>
      <c r="K73">
        <v>496</v>
      </c>
      <c r="L73">
        <v>2</v>
      </c>
      <c r="M73" s="8" t="s">
        <v>23</v>
      </c>
      <c r="N73">
        <v>71.3</v>
      </c>
      <c r="O73">
        <v>264</v>
      </c>
      <c r="P73">
        <v>0</v>
      </c>
      <c r="Q73">
        <v>8</v>
      </c>
      <c r="R73">
        <v>2024</v>
      </c>
      <c r="S73">
        <v>6</v>
      </c>
      <c r="T73" s="8" t="s">
        <v>92</v>
      </c>
      <c r="U73">
        <v>1</v>
      </c>
      <c r="V73">
        <v>1</v>
      </c>
      <c r="W73">
        <v>1</v>
      </c>
      <c r="X73">
        <v>0</v>
      </c>
      <c r="Y73">
        <v>0</v>
      </c>
      <c r="Z73">
        <v>0</v>
      </c>
    </row>
    <row r="74" spans="1:26" x14ac:dyDescent="0.25">
      <c r="A74" s="1">
        <v>45342.341134259259</v>
      </c>
      <c r="B74" s="8" t="s">
        <v>32</v>
      </c>
      <c r="C74">
        <v>-17.235499999999998</v>
      </c>
      <c r="D74">
        <v>-130.69149999999999</v>
      </c>
      <c r="E74">
        <v>179</v>
      </c>
      <c r="F74" s="8" t="s">
        <v>21</v>
      </c>
      <c r="G74">
        <v>28.5</v>
      </c>
      <c r="H74">
        <v>51</v>
      </c>
      <c r="I74" s="8" t="s">
        <v>18</v>
      </c>
      <c r="J74">
        <v>12</v>
      </c>
      <c r="K74">
        <v>354</v>
      </c>
      <c r="L74">
        <v>3</v>
      </c>
      <c r="M74" s="8" t="s">
        <v>23</v>
      </c>
      <c r="N74">
        <v>92.8</v>
      </c>
      <c r="O74">
        <v>225</v>
      </c>
      <c r="P74">
        <v>0</v>
      </c>
      <c r="Q74">
        <v>2</v>
      </c>
      <c r="R74">
        <v>2024</v>
      </c>
      <c r="S74">
        <v>2</v>
      </c>
      <c r="T74" s="8" t="s">
        <v>93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</row>
    <row r="75" spans="1:26" x14ac:dyDescent="0.25">
      <c r="A75" s="1">
        <v>45644.099594907406</v>
      </c>
      <c r="B75" s="8" t="s">
        <v>20</v>
      </c>
      <c r="C75">
        <v>-44.257599999999996</v>
      </c>
      <c r="D75">
        <v>-86.507300000000001</v>
      </c>
      <c r="E75">
        <v>442</v>
      </c>
      <c r="F75" s="8" t="s">
        <v>21</v>
      </c>
      <c r="G75">
        <v>18.3</v>
      </c>
      <c r="H75">
        <v>50.3</v>
      </c>
      <c r="I75" s="8" t="s">
        <v>28</v>
      </c>
      <c r="J75">
        <v>56</v>
      </c>
      <c r="K75">
        <v>469</v>
      </c>
      <c r="L75">
        <v>2</v>
      </c>
      <c r="M75" s="8" t="s">
        <v>19</v>
      </c>
      <c r="N75">
        <v>96.3</v>
      </c>
      <c r="O75">
        <v>192</v>
      </c>
      <c r="P75">
        <v>0</v>
      </c>
      <c r="Q75">
        <v>12</v>
      </c>
      <c r="R75">
        <v>2024</v>
      </c>
      <c r="S75">
        <v>3</v>
      </c>
      <c r="T75" s="8" t="s">
        <v>93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 x14ac:dyDescent="0.25">
      <c r="A76" s="1">
        <v>45524.679594907408</v>
      </c>
      <c r="B76" s="8" t="s">
        <v>34</v>
      </c>
      <c r="C76">
        <v>19.925699999999999</v>
      </c>
      <c r="D76">
        <v>116.0526</v>
      </c>
      <c r="E76">
        <v>291</v>
      </c>
      <c r="F76" s="8" t="s">
        <v>26</v>
      </c>
      <c r="G76">
        <v>28.5</v>
      </c>
      <c r="H76">
        <v>54.6</v>
      </c>
      <c r="I76" s="8" t="s">
        <v>22</v>
      </c>
      <c r="J76">
        <v>14</v>
      </c>
      <c r="K76">
        <v>316</v>
      </c>
      <c r="L76">
        <v>7</v>
      </c>
      <c r="M76" s="8" t="s">
        <v>19</v>
      </c>
      <c r="N76">
        <v>77.5</v>
      </c>
      <c r="O76">
        <v>288</v>
      </c>
      <c r="P76">
        <v>1</v>
      </c>
      <c r="Q76">
        <v>8</v>
      </c>
      <c r="R76">
        <v>2024</v>
      </c>
      <c r="S76">
        <v>2</v>
      </c>
      <c r="T76" s="8" t="s">
        <v>92</v>
      </c>
      <c r="U76">
        <v>0</v>
      </c>
      <c r="V76">
        <v>1</v>
      </c>
      <c r="W76">
        <v>2</v>
      </c>
      <c r="X76">
        <v>1</v>
      </c>
      <c r="Y76">
        <v>0</v>
      </c>
      <c r="Z76">
        <v>0</v>
      </c>
    </row>
    <row r="77" spans="1:26" x14ac:dyDescent="0.25">
      <c r="A77" s="1">
        <v>45602.319918981484</v>
      </c>
      <c r="B77" s="8" t="s">
        <v>34</v>
      </c>
      <c r="C77">
        <v>-47.209400000000002</v>
      </c>
      <c r="D77">
        <v>15.632400000000001</v>
      </c>
      <c r="E77">
        <v>348</v>
      </c>
      <c r="F77" s="8" t="s">
        <v>26</v>
      </c>
      <c r="G77">
        <v>28.2</v>
      </c>
      <c r="H77">
        <v>68.3</v>
      </c>
      <c r="I77" s="8" t="s">
        <v>28</v>
      </c>
      <c r="J77">
        <v>22</v>
      </c>
      <c r="K77">
        <v>415</v>
      </c>
      <c r="L77">
        <v>4</v>
      </c>
      <c r="M77" s="8" t="s">
        <v>27</v>
      </c>
      <c r="N77">
        <v>67.400000000000006</v>
      </c>
      <c r="O77">
        <v>204</v>
      </c>
      <c r="P77">
        <v>0</v>
      </c>
      <c r="Q77">
        <v>11</v>
      </c>
      <c r="R77">
        <v>2024</v>
      </c>
      <c r="S77">
        <v>3</v>
      </c>
      <c r="T77" s="8" t="s">
        <v>91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 s="1">
        <v>45640.631261574075</v>
      </c>
      <c r="B78" s="8" t="s">
        <v>20</v>
      </c>
      <c r="C78">
        <v>-58.424900000000001</v>
      </c>
      <c r="D78">
        <v>-57.660899999999998</v>
      </c>
      <c r="E78">
        <v>454</v>
      </c>
      <c r="F78" s="8" t="s">
        <v>21</v>
      </c>
      <c r="G78">
        <v>23.7</v>
      </c>
      <c r="H78">
        <v>51.9</v>
      </c>
      <c r="I78" s="8" t="s">
        <v>28</v>
      </c>
      <c r="J78">
        <v>51</v>
      </c>
      <c r="K78">
        <v>232</v>
      </c>
      <c r="L78">
        <v>7</v>
      </c>
      <c r="M78" s="8" t="s">
        <v>23</v>
      </c>
      <c r="N78">
        <v>78.7</v>
      </c>
      <c r="O78">
        <v>172</v>
      </c>
      <c r="P78">
        <v>0</v>
      </c>
      <c r="Q78">
        <v>12</v>
      </c>
      <c r="R78">
        <v>2024</v>
      </c>
      <c r="S78">
        <v>6</v>
      </c>
      <c r="T78" s="8" t="s">
        <v>93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 x14ac:dyDescent="0.25">
      <c r="A79" s="1">
        <v>45306.500983796293</v>
      </c>
      <c r="B79" s="8" t="s">
        <v>35</v>
      </c>
      <c r="C79">
        <v>-20.069600000000001</v>
      </c>
      <c r="D79">
        <v>-73.268900000000002</v>
      </c>
      <c r="E79">
        <v>486</v>
      </c>
      <c r="F79" s="8" t="s">
        <v>26</v>
      </c>
      <c r="G79">
        <v>29.1</v>
      </c>
      <c r="H79">
        <v>78.400000000000006</v>
      </c>
      <c r="I79" s="8" t="s">
        <v>28</v>
      </c>
      <c r="J79">
        <v>21</v>
      </c>
      <c r="K79">
        <v>158</v>
      </c>
      <c r="L79">
        <v>7</v>
      </c>
      <c r="M79" s="8" t="s">
        <v>19</v>
      </c>
      <c r="N79">
        <v>62.6</v>
      </c>
      <c r="O79">
        <v>243</v>
      </c>
      <c r="P79">
        <v>0</v>
      </c>
      <c r="Q79">
        <v>1</v>
      </c>
      <c r="R79">
        <v>2024</v>
      </c>
      <c r="S79">
        <v>1</v>
      </c>
      <c r="T79" s="8" t="s">
        <v>93</v>
      </c>
      <c r="U79">
        <v>0</v>
      </c>
      <c r="V79">
        <v>1</v>
      </c>
      <c r="W79">
        <v>0</v>
      </c>
      <c r="X79">
        <v>0</v>
      </c>
      <c r="Y79">
        <v>1</v>
      </c>
      <c r="Z79">
        <v>0</v>
      </c>
    </row>
    <row r="80" spans="1:26" x14ac:dyDescent="0.25">
      <c r="A80" s="1">
        <v>45430.417268518519</v>
      </c>
      <c r="B80" s="8" t="s">
        <v>24</v>
      </c>
      <c r="C80">
        <v>-36.854900000000001</v>
      </c>
      <c r="D80">
        <v>164.76179999999999</v>
      </c>
      <c r="E80">
        <v>483</v>
      </c>
      <c r="F80" s="8" t="s">
        <v>21</v>
      </c>
      <c r="G80">
        <v>29.2</v>
      </c>
      <c r="H80">
        <v>65</v>
      </c>
      <c r="I80" s="8" t="s">
        <v>22</v>
      </c>
      <c r="J80">
        <v>57</v>
      </c>
      <c r="K80">
        <v>167</v>
      </c>
      <c r="L80">
        <v>8</v>
      </c>
      <c r="M80" s="8" t="s">
        <v>31</v>
      </c>
      <c r="N80">
        <v>96.8</v>
      </c>
      <c r="O80">
        <v>245</v>
      </c>
      <c r="P80">
        <v>1</v>
      </c>
      <c r="Q80">
        <v>5</v>
      </c>
      <c r="R80">
        <v>2024</v>
      </c>
      <c r="S80">
        <v>6</v>
      </c>
      <c r="T80" s="8" t="s">
        <v>90</v>
      </c>
      <c r="U80">
        <v>1</v>
      </c>
      <c r="V80">
        <v>0</v>
      </c>
      <c r="W80">
        <v>2</v>
      </c>
      <c r="X80">
        <v>1</v>
      </c>
      <c r="Y80">
        <v>0</v>
      </c>
      <c r="Z80">
        <v>1</v>
      </c>
    </row>
    <row r="81" spans="1:26" x14ac:dyDescent="0.25">
      <c r="A81" s="1">
        <v>45613.085046296299</v>
      </c>
      <c r="B81" s="8" t="s">
        <v>29</v>
      </c>
      <c r="C81">
        <v>-86.660899999999998</v>
      </c>
      <c r="D81">
        <v>-128.03540000000001</v>
      </c>
      <c r="E81">
        <v>472</v>
      </c>
      <c r="F81" s="8" t="s">
        <v>26</v>
      </c>
      <c r="G81">
        <v>23.5</v>
      </c>
      <c r="H81">
        <v>72</v>
      </c>
      <c r="I81" s="8" t="s">
        <v>28</v>
      </c>
      <c r="J81">
        <v>59</v>
      </c>
      <c r="K81">
        <v>485</v>
      </c>
      <c r="L81">
        <v>3</v>
      </c>
      <c r="M81" s="8" t="s">
        <v>23</v>
      </c>
      <c r="N81">
        <v>67.2</v>
      </c>
      <c r="O81">
        <v>248</v>
      </c>
      <c r="P81">
        <v>0</v>
      </c>
      <c r="Q81">
        <v>11</v>
      </c>
      <c r="R81">
        <v>2024</v>
      </c>
      <c r="S81">
        <v>0</v>
      </c>
      <c r="T81" s="8" t="s">
        <v>91</v>
      </c>
      <c r="U81">
        <v>0</v>
      </c>
      <c r="V81">
        <v>1</v>
      </c>
      <c r="W81">
        <v>0</v>
      </c>
      <c r="X81">
        <v>0</v>
      </c>
      <c r="Y81">
        <v>0</v>
      </c>
      <c r="Z81">
        <v>1</v>
      </c>
    </row>
    <row r="82" spans="1:26" x14ac:dyDescent="0.25">
      <c r="A82" s="1">
        <v>45526.841631944444</v>
      </c>
      <c r="B82" s="8" t="s">
        <v>34</v>
      </c>
      <c r="C82">
        <v>-53.373199999999997</v>
      </c>
      <c r="D82">
        <v>-99.637</v>
      </c>
      <c r="E82">
        <v>186</v>
      </c>
      <c r="F82" s="8" t="s">
        <v>21</v>
      </c>
      <c r="G82">
        <v>18.899999999999999</v>
      </c>
      <c r="H82">
        <v>70.5</v>
      </c>
      <c r="I82" s="8" t="s">
        <v>28</v>
      </c>
      <c r="J82">
        <v>38</v>
      </c>
      <c r="K82">
        <v>344</v>
      </c>
      <c r="L82">
        <v>1</v>
      </c>
      <c r="M82" s="8" t="s">
        <v>27</v>
      </c>
      <c r="N82">
        <v>95.6</v>
      </c>
      <c r="O82">
        <v>252</v>
      </c>
      <c r="P82">
        <v>0</v>
      </c>
      <c r="Q82">
        <v>8</v>
      </c>
      <c r="R82">
        <v>2024</v>
      </c>
      <c r="S82">
        <v>4</v>
      </c>
      <c r="T82" s="8" t="s">
        <v>92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s="1">
        <v>45547.333877314813</v>
      </c>
      <c r="B83" s="8" t="s">
        <v>20</v>
      </c>
      <c r="C83">
        <v>-58.796300000000002</v>
      </c>
      <c r="D83">
        <v>-150.41220000000001</v>
      </c>
      <c r="E83">
        <v>366</v>
      </c>
      <c r="F83" s="8" t="s">
        <v>21</v>
      </c>
      <c r="G83">
        <v>22.8</v>
      </c>
      <c r="H83">
        <v>66.7</v>
      </c>
      <c r="I83" s="8" t="s">
        <v>28</v>
      </c>
      <c r="J83">
        <v>39</v>
      </c>
      <c r="K83">
        <v>219</v>
      </c>
      <c r="L83">
        <v>7</v>
      </c>
      <c r="M83" s="8" t="s">
        <v>27</v>
      </c>
      <c r="N83">
        <v>91</v>
      </c>
      <c r="O83">
        <v>211</v>
      </c>
      <c r="P83">
        <v>0</v>
      </c>
      <c r="Q83">
        <v>9</v>
      </c>
      <c r="R83">
        <v>2024</v>
      </c>
      <c r="S83">
        <v>4</v>
      </c>
      <c r="T83" s="8" t="s">
        <v>91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s="1">
        <v>45513.912858796299</v>
      </c>
      <c r="B84" s="8" t="s">
        <v>34</v>
      </c>
      <c r="C84">
        <v>-46.1616</v>
      </c>
      <c r="D84">
        <v>-46.640099999999997</v>
      </c>
      <c r="E84">
        <v>359</v>
      </c>
      <c r="F84" s="8" t="s">
        <v>26</v>
      </c>
      <c r="G84">
        <v>23</v>
      </c>
      <c r="H84">
        <v>71.7</v>
      </c>
      <c r="I84" s="8" t="s">
        <v>18</v>
      </c>
      <c r="J84">
        <v>50</v>
      </c>
      <c r="K84">
        <v>486</v>
      </c>
      <c r="L84">
        <v>10</v>
      </c>
      <c r="M84" s="8" t="s">
        <v>27</v>
      </c>
      <c r="N84">
        <v>64</v>
      </c>
      <c r="O84">
        <v>169</v>
      </c>
      <c r="P84">
        <v>0</v>
      </c>
      <c r="Q84">
        <v>8</v>
      </c>
      <c r="R84">
        <v>2024</v>
      </c>
      <c r="S84">
        <v>5</v>
      </c>
      <c r="T84" s="8" t="s">
        <v>92</v>
      </c>
      <c r="U84">
        <v>1</v>
      </c>
      <c r="V84">
        <v>1</v>
      </c>
      <c r="W84">
        <v>1</v>
      </c>
      <c r="X84">
        <v>0</v>
      </c>
      <c r="Y84">
        <v>0</v>
      </c>
      <c r="Z84">
        <v>1</v>
      </c>
    </row>
    <row r="85" spans="1:26" x14ac:dyDescent="0.25">
      <c r="A85" s="1">
        <v>45401.118391203701</v>
      </c>
      <c r="B85" s="8" t="s">
        <v>16</v>
      </c>
      <c r="C85">
        <v>33.871600000000001</v>
      </c>
      <c r="D85">
        <v>36.875300000000003</v>
      </c>
      <c r="E85">
        <v>422</v>
      </c>
      <c r="F85" s="8" t="s">
        <v>17</v>
      </c>
      <c r="G85">
        <v>26.5</v>
      </c>
      <c r="H85">
        <v>75</v>
      </c>
      <c r="I85" s="8" t="s">
        <v>22</v>
      </c>
      <c r="J85">
        <v>39</v>
      </c>
      <c r="K85">
        <v>100</v>
      </c>
      <c r="L85">
        <v>6</v>
      </c>
      <c r="M85" s="8" t="s">
        <v>19</v>
      </c>
      <c r="N85">
        <v>67.2</v>
      </c>
      <c r="O85">
        <v>127</v>
      </c>
      <c r="P85">
        <v>1</v>
      </c>
      <c r="Q85">
        <v>4</v>
      </c>
      <c r="R85">
        <v>2024</v>
      </c>
      <c r="S85">
        <v>5</v>
      </c>
      <c r="T85" s="8" t="s">
        <v>90</v>
      </c>
      <c r="U85">
        <v>1</v>
      </c>
      <c r="V85">
        <v>2</v>
      </c>
      <c r="W85">
        <v>2</v>
      </c>
      <c r="X85">
        <v>1</v>
      </c>
      <c r="Y85">
        <v>0</v>
      </c>
      <c r="Z85">
        <v>0</v>
      </c>
    </row>
    <row r="86" spans="1:26" x14ac:dyDescent="0.25">
      <c r="A86" s="1">
        <v>45565.471226851849</v>
      </c>
      <c r="B86" s="8" t="s">
        <v>20</v>
      </c>
      <c r="C86">
        <v>35.7136</v>
      </c>
      <c r="D86">
        <v>-23.1356</v>
      </c>
      <c r="E86">
        <v>209</v>
      </c>
      <c r="F86" s="8" t="s">
        <v>21</v>
      </c>
      <c r="G86">
        <v>24.9</v>
      </c>
      <c r="H86">
        <v>76.8</v>
      </c>
      <c r="I86" s="8" t="s">
        <v>28</v>
      </c>
      <c r="J86">
        <v>51</v>
      </c>
      <c r="K86">
        <v>214</v>
      </c>
      <c r="L86">
        <v>2</v>
      </c>
      <c r="M86" s="8" t="s">
        <v>31</v>
      </c>
      <c r="N86">
        <v>86.5</v>
      </c>
      <c r="O86">
        <v>156</v>
      </c>
      <c r="P86">
        <v>0</v>
      </c>
      <c r="Q86">
        <v>9</v>
      </c>
      <c r="R86">
        <v>2024</v>
      </c>
      <c r="S86">
        <v>1</v>
      </c>
      <c r="T86" s="8" t="s">
        <v>91</v>
      </c>
      <c r="U86">
        <v>0</v>
      </c>
      <c r="V86">
        <v>0</v>
      </c>
      <c r="W86">
        <v>0</v>
      </c>
      <c r="X86">
        <v>0</v>
      </c>
      <c r="Y86">
        <v>1</v>
      </c>
      <c r="Z86">
        <v>1</v>
      </c>
    </row>
    <row r="87" spans="1:26" x14ac:dyDescent="0.25">
      <c r="A87" s="1">
        <v>45373.697013888886</v>
      </c>
      <c r="B87" s="8" t="s">
        <v>34</v>
      </c>
      <c r="C87">
        <v>36.385800000000003</v>
      </c>
      <c r="D87">
        <v>-107.38939999999999</v>
      </c>
      <c r="E87">
        <v>324</v>
      </c>
      <c r="F87" s="8" t="s">
        <v>17</v>
      </c>
      <c r="G87">
        <v>20.7</v>
      </c>
      <c r="H87">
        <v>77.5</v>
      </c>
      <c r="I87" s="8" t="s">
        <v>22</v>
      </c>
      <c r="J87">
        <v>39</v>
      </c>
      <c r="K87">
        <v>387</v>
      </c>
      <c r="L87">
        <v>1</v>
      </c>
      <c r="M87" s="8" t="s">
        <v>19</v>
      </c>
      <c r="N87">
        <v>69.099999999999994</v>
      </c>
      <c r="O87">
        <v>138</v>
      </c>
      <c r="P87">
        <v>1</v>
      </c>
      <c r="Q87">
        <v>3</v>
      </c>
      <c r="R87">
        <v>2024</v>
      </c>
      <c r="S87">
        <v>5</v>
      </c>
      <c r="T87" s="8" t="s">
        <v>90</v>
      </c>
      <c r="U87">
        <v>1</v>
      </c>
      <c r="V87">
        <v>2</v>
      </c>
      <c r="W87">
        <v>2</v>
      </c>
      <c r="X87">
        <v>1</v>
      </c>
      <c r="Y87">
        <v>1</v>
      </c>
      <c r="Z87">
        <v>0</v>
      </c>
    </row>
    <row r="88" spans="1:26" x14ac:dyDescent="0.25">
      <c r="A88" s="1">
        <v>45580.168703703705</v>
      </c>
      <c r="B88" s="8" t="s">
        <v>16</v>
      </c>
      <c r="C88">
        <v>26.612500000000001</v>
      </c>
      <c r="D88">
        <v>25.4788</v>
      </c>
      <c r="E88">
        <v>199</v>
      </c>
      <c r="F88" s="8" t="s">
        <v>21</v>
      </c>
      <c r="G88">
        <v>27.4</v>
      </c>
      <c r="H88">
        <v>57.1</v>
      </c>
      <c r="I88" s="8" t="s">
        <v>22</v>
      </c>
      <c r="J88">
        <v>28</v>
      </c>
      <c r="K88">
        <v>383</v>
      </c>
      <c r="L88">
        <v>6</v>
      </c>
      <c r="M88" s="8" t="s">
        <v>19</v>
      </c>
      <c r="N88">
        <v>61.9</v>
      </c>
      <c r="O88">
        <v>105</v>
      </c>
      <c r="P88">
        <v>1</v>
      </c>
      <c r="Q88">
        <v>10</v>
      </c>
      <c r="R88">
        <v>2024</v>
      </c>
      <c r="S88">
        <v>2</v>
      </c>
      <c r="T88" s="8" t="s">
        <v>91</v>
      </c>
      <c r="U88">
        <v>0</v>
      </c>
      <c r="V88">
        <v>0</v>
      </c>
      <c r="W88">
        <v>2</v>
      </c>
      <c r="X88">
        <v>1</v>
      </c>
      <c r="Y88">
        <v>0</v>
      </c>
      <c r="Z88">
        <v>0</v>
      </c>
    </row>
    <row r="89" spans="1:26" x14ac:dyDescent="0.25">
      <c r="A89" s="1">
        <v>45644.792708333334</v>
      </c>
      <c r="B89" s="8" t="s">
        <v>34</v>
      </c>
      <c r="C89">
        <v>-84.891499999999994</v>
      </c>
      <c r="D89">
        <v>57.571399999999997</v>
      </c>
      <c r="E89">
        <v>213</v>
      </c>
      <c r="F89" s="8" t="s">
        <v>17</v>
      </c>
      <c r="G89">
        <v>27.7</v>
      </c>
      <c r="H89">
        <v>58.1</v>
      </c>
      <c r="I89" s="8" t="s">
        <v>28</v>
      </c>
      <c r="J89">
        <v>41</v>
      </c>
      <c r="K89">
        <v>267</v>
      </c>
      <c r="L89">
        <v>7</v>
      </c>
      <c r="M89" s="8" t="s">
        <v>31</v>
      </c>
      <c r="N89">
        <v>60.9</v>
      </c>
      <c r="O89">
        <v>254</v>
      </c>
      <c r="P89">
        <v>1</v>
      </c>
      <c r="Q89">
        <v>12</v>
      </c>
      <c r="R89">
        <v>2024</v>
      </c>
      <c r="S89">
        <v>3</v>
      </c>
      <c r="T89" s="8" t="s">
        <v>93</v>
      </c>
      <c r="U89">
        <v>0</v>
      </c>
      <c r="V89">
        <v>2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 s="1">
        <v>45452.716805555552</v>
      </c>
      <c r="B90" s="8" t="s">
        <v>29</v>
      </c>
      <c r="C90">
        <v>-49.684600000000003</v>
      </c>
      <c r="D90">
        <v>-63.289200000000001</v>
      </c>
      <c r="E90">
        <v>257</v>
      </c>
      <c r="F90" s="8" t="s">
        <v>17</v>
      </c>
      <c r="G90">
        <v>23.1</v>
      </c>
      <c r="H90">
        <v>59.1</v>
      </c>
      <c r="I90" s="8" t="s">
        <v>28</v>
      </c>
      <c r="J90">
        <v>56</v>
      </c>
      <c r="K90">
        <v>451</v>
      </c>
      <c r="L90">
        <v>3</v>
      </c>
      <c r="M90" s="8" t="s">
        <v>23</v>
      </c>
      <c r="N90">
        <v>93.8</v>
      </c>
      <c r="O90">
        <v>248</v>
      </c>
      <c r="P90">
        <v>1</v>
      </c>
      <c r="Q90">
        <v>6</v>
      </c>
      <c r="R90">
        <v>2024</v>
      </c>
      <c r="S90">
        <v>0</v>
      </c>
      <c r="T90" s="8" t="s">
        <v>92</v>
      </c>
      <c r="U90">
        <v>0</v>
      </c>
      <c r="V90">
        <v>2</v>
      </c>
      <c r="W90">
        <v>0</v>
      </c>
      <c r="X90">
        <v>0</v>
      </c>
      <c r="Y90">
        <v>0</v>
      </c>
      <c r="Z90">
        <v>1</v>
      </c>
    </row>
    <row r="91" spans="1:26" x14ac:dyDescent="0.25">
      <c r="A91" s="1">
        <v>45595.084560185183</v>
      </c>
      <c r="B91" s="8" t="s">
        <v>34</v>
      </c>
      <c r="C91">
        <v>14.747400000000001</v>
      </c>
      <c r="D91">
        <v>-2.5245000000000002</v>
      </c>
      <c r="E91">
        <v>475</v>
      </c>
      <c r="F91" s="8" t="s">
        <v>21</v>
      </c>
      <c r="G91">
        <v>22.2</v>
      </c>
      <c r="H91">
        <v>79.400000000000006</v>
      </c>
      <c r="I91" s="8" t="s">
        <v>18</v>
      </c>
      <c r="J91">
        <v>25</v>
      </c>
      <c r="K91">
        <v>268</v>
      </c>
      <c r="L91">
        <v>3</v>
      </c>
      <c r="M91" s="8" t="s">
        <v>23</v>
      </c>
      <c r="N91">
        <v>60.3</v>
      </c>
      <c r="O91">
        <v>151</v>
      </c>
      <c r="P91">
        <v>0</v>
      </c>
      <c r="Q91">
        <v>10</v>
      </c>
      <c r="R91">
        <v>2024</v>
      </c>
      <c r="S91">
        <v>3</v>
      </c>
      <c r="T91" s="8" t="s">
        <v>91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</row>
    <row r="92" spans="1:26" x14ac:dyDescent="0.25">
      <c r="A92" s="1">
        <v>45466.128680555557</v>
      </c>
      <c r="B92" s="8" t="s">
        <v>16</v>
      </c>
      <c r="C92">
        <v>-8.6011000000000006</v>
      </c>
      <c r="D92">
        <v>-63.127400000000002</v>
      </c>
      <c r="E92">
        <v>377</v>
      </c>
      <c r="F92" s="8" t="s">
        <v>21</v>
      </c>
      <c r="G92">
        <v>22.7</v>
      </c>
      <c r="H92">
        <v>75.5</v>
      </c>
      <c r="I92" s="8" t="s">
        <v>28</v>
      </c>
      <c r="J92">
        <v>59</v>
      </c>
      <c r="K92">
        <v>445</v>
      </c>
      <c r="L92">
        <v>7</v>
      </c>
      <c r="M92" s="8" t="s">
        <v>19</v>
      </c>
      <c r="N92">
        <v>99.1</v>
      </c>
      <c r="O92">
        <v>272</v>
      </c>
      <c r="P92">
        <v>0</v>
      </c>
      <c r="Q92">
        <v>6</v>
      </c>
      <c r="R92">
        <v>2024</v>
      </c>
      <c r="S92">
        <v>0</v>
      </c>
      <c r="T92" s="8" t="s">
        <v>92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</row>
    <row r="93" spans="1:26" x14ac:dyDescent="0.25">
      <c r="A93" s="1">
        <v>45523.717847222222</v>
      </c>
      <c r="B93" s="8" t="s">
        <v>30</v>
      </c>
      <c r="C93">
        <v>67.2149</v>
      </c>
      <c r="D93">
        <v>117.9203</v>
      </c>
      <c r="E93">
        <v>456</v>
      </c>
      <c r="F93" s="8" t="s">
        <v>17</v>
      </c>
      <c r="G93">
        <v>26.4</v>
      </c>
      <c r="H93">
        <v>51.4</v>
      </c>
      <c r="I93" s="8" t="s">
        <v>22</v>
      </c>
      <c r="J93">
        <v>23</v>
      </c>
      <c r="K93">
        <v>100</v>
      </c>
      <c r="L93">
        <v>1</v>
      </c>
      <c r="M93" s="8" t="s">
        <v>23</v>
      </c>
      <c r="N93">
        <v>94.2</v>
      </c>
      <c r="O93">
        <v>105</v>
      </c>
      <c r="P93">
        <v>1</v>
      </c>
      <c r="Q93">
        <v>8</v>
      </c>
      <c r="R93">
        <v>2024</v>
      </c>
      <c r="S93">
        <v>1</v>
      </c>
      <c r="T93" s="8" t="s">
        <v>92</v>
      </c>
      <c r="U93">
        <v>0</v>
      </c>
      <c r="V93">
        <v>2</v>
      </c>
      <c r="W93">
        <v>2</v>
      </c>
      <c r="X93">
        <v>1</v>
      </c>
      <c r="Y93">
        <v>0</v>
      </c>
      <c r="Z93">
        <v>0</v>
      </c>
    </row>
    <row r="94" spans="1:26" x14ac:dyDescent="0.25">
      <c r="A94" s="1">
        <v>45412.527650462966</v>
      </c>
      <c r="B94" s="8" t="s">
        <v>35</v>
      </c>
      <c r="C94">
        <v>-11.3392</v>
      </c>
      <c r="D94">
        <v>-69.339500000000001</v>
      </c>
      <c r="E94">
        <v>106</v>
      </c>
      <c r="F94" s="8" t="s">
        <v>17</v>
      </c>
      <c r="G94">
        <v>18.3</v>
      </c>
      <c r="H94">
        <v>65.900000000000006</v>
      </c>
      <c r="I94" s="8" t="s">
        <v>22</v>
      </c>
      <c r="J94">
        <v>53</v>
      </c>
      <c r="K94">
        <v>244</v>
      </c>
      <c r="L94">
        <v>2</v>
      </c>
      <c r="M94" s="8" t="s">
        <v>27</v>
      </c>
      <c r="N94">
        <v>99.5</v>
      </c>
      <c r="O94">
        <v>125</v>
      </c>
      <c r="P94">
        <v>1</v>
      </c>
      <c r="Q94">
        <v>4</v>
      </c>
      <c r="R94">
        <v>2024</v>
      </c>
      <c r="S94">
        <v>2</v>
      </c>
      <c r="T94" s="8" t="s">
        <v>90</v>
      </c>
      <c r="U94">
        <v>0</v>
      </c>
      <c r="V94">
        <v>2</v>
      </c>
      <c r="W94">
        <v>2</v>
      </c>
      <c r="X94">
        <v>1</v>
      </c>
      <c r="Y94">
        <v>0</v>
      </c>
      <c r="Z94">
        <v>1</v>
      </c>
    </row>
    <row r="95" spans="1:26" x14ac:dyDescent="0.25">
      <c r="A95" s="1">
        <v>45641.162222222221</v>
      </c>
      <c r="B95" s="8" t="s">
        <v>24</v>
      </c>
      <c r="C95">
        <v>26.376300000000001</v>
      </c>
      <c r="D95">
        <v>157.09049999999999</v>
      </c>
      <c r="E95">
        <v>234</v>
      </c>
      <c r="F95" s="8" t="s">
        <v>17</v>
      </c>
      <c r="G95">
        <v>29.1</v>
      </c>
      <c r="H95">
        <v>65.3</v>
      </c>
      <c r="I95" s="8" t="s">
        <v>28</v>
      </c>
      <c r="J95">
        <v>19</v>
      </c>
      <c r="K95">
        <v>432</v>
      </c>
      <c r="L95">
        <v>3</v>
      </c>
      <c r="M95" s="8" t="s">
        <v>23</v>
      </c>
      <c r="N95">
        <v>92.7</v>
      </c>
      <c r="O95">
        <v>214</v>
      </c>
      <c r="P95">
        <v>1</v>
      </c>
      <c r="Q95">
        <v>12</v>
      </c>
      <c r="R95">
        <v>2024</v>
      </c>
      <c r="S95">
        <v>0</v>
      </c>
      <c r="T95" s="8" t="s">
        <v>93</v>
      </c>
      <c r="U95">
        <v>0</v>
      </c>
      <c r="V95">
        <v>2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 s="1">
        <v>45372.622708333336</v>
      </c>
      <c r="B96" s="8" t="s">
        <v>32</v>
      </c>
      <c r="C96">
        <v>-13.468999999999999</v>
      </c>
      <c r="D96">
        <v>75.340800000000002</v>
      </c>
      <c r="E96">
        <v>390</v>
      </c>
      <c r="F96" s="8" t="s">
        <v>17</v>
      </c>
      <c r="G96">
        <v>19.5</v>
      </c>
      <c r="H96">
        <v>79.2</v>
      </c>
      <c r="I96" s="8" t="s">
        <v>22</v>
      </c>
      <c r="J96">
        <v>26</v>
      </c>
      <c r="K96">
        <v>366</v>
      </c>
      <c r="L96">
        <v>4</v>
      </c>
      <c r="M96" s="8" t="s">
        <v>31</v>
      </c>
      <c r="N96">
        <v>69.400000000000006</v>
      </c>
      <c r="O96">
        <v>217</v>
      </c>
      <c r="P96">
        <v>1</v>
      </c>
      <c r="Q96">
        <v>3</v>
      </c>
      <c r="R96">
        <v>2024</v>
      </c>
      <c r="S96">
        <v>4</v>
      </c>
      <c r="T96" s="8" t="s">
        <v>90</v>
      </c>
      <c r="U96">
        <v>0</v>
      </c>
      <c r="V96">
        <v>2</v>
      </c>
      <c r="W96">
        <v>2</v>
      </c>
      <c r="X96">
        <v>1</v>
      </c>
      <c r="Y96">
        <v>1</v>
      </c>
      <c r="Z96">
        <v>0</v>
      </c>
    </row>
    <row r="97" spans="1:26" x14ac:dyDescent="0.25">
      <c r="A97" s="1">
        <v>45562.755740740744</v>
      </c>
      <c r="B97" s="8" t="s">
        <v>29</v>
      </c>
      <c r="C97">
        <v>-11.2424</v>
      </c>
      <c r="D97">
        <v>-4.5637999999999996</v>
      </c>
      <c r="E97">
        <v>203</v>
      </c>
      <c r="F97" s="8" t="s">
        <v>26</v>
      </c>
      <c r="G97">
        <v>20.399999999999999</v>
      </c>
      <c r="H97">
        <v>78.3</v>
      </c>
      <c r="I97" s="8" t="s">
        <v>18</v>
      </c>
      <c r="J97">
        <v>21</v>
      </c>
      <c r="K97">
        <v>187</v>
      </c>
      <c r="L97">
        <v>5</v>
      </c>
      <c r="M97" s="8" t="s">
        <v>19</v>
      </c>
      <c r="N97">
        <v>87.9</v>
      </c>
      <c r="O97">
        <v>262</v>
      </c>
      <c r="P97">
        <v>0</v>
      </c>
      <c r="Q97">
        <v>9</v>
      </c>
      <c r="R97">
        <v>2024</v>
      </c>
      <c r="S97">
        <v>5</v>
      </c>
      <c r="T97" s="8" t="s">
        <v>91</v>
      </c>
      <c r="U97">
        <v>1</v>
      </c>
      <c r="V97">
        <v>1</v>
      </c>
      <c r="W97">
        <v>1</v>
      </c>
      <c r="X97">
        <v>0</v>
      </c>
      <c r="Y97">
        <v>1</v>
      </c>
      <c r="Z97">
        <v>0</v>
      </c>
    </row>
    <row r="98" spans="1:26" x14ac:dyDescent="0.25">
      <c r="A98" s="1">
        <v>45613.357662037037</v>
      </c>
      <c r="B98" s="8" t="s">
        <v>20</v>
      </c>
      <c r="C98">
        <v>62.655900000000003</v>
      </c>
      <c r="D98">
        <v>18.8474</v>
      </c>
      <c r="E98">
        <v>297</v>
      </c>
      <c r="F98" s="8" t="s">
        <v>17</v>
      </c>
      <c r="G98">
        <v>23.1</v>
      </c>
      <c r="H98">
        <v>59.4</v>
      </c>
      <c r="I98" s="8" t="s">
        <v>18</v>
      </c>
      <c r="J98">
        <v>29</v>
      </c>
      <c r="K98">
        <v>268</v>
      </c>
      <c r="L98">
        <v>10</v>
      </c>
      <c r="M98" s="8" t="s">
        <v>27</v>
      </c>
      <c r="N98">
        <v>71.2</v>
      </c>
      <c r="O98">
        <v>151</v>
      </c>
      <c r="P98">
        <v>1</v>
      </c>
      <c r="Q98">
        <v>11</v>
      </c>
      <c r="R98">
        <v>2024</v>
      </c>
      <c r="S98">
        <v>0</v>
      </c>
      <c r="T98" s="8" t="s">
        <v>91</v>
      </c>
      <c r="U98">
        <v>0</v>
      </c>
      <c r="V98">
        <v>2</v>
      </c>
      <c r="W98">
        <v>1</v>
      </c>
      <c r="X98">
        <v>0</v>
      </c>
      <c r="Y98">
        <v>0</v>
      </c>
      <c r="Z98">
        <v>0</v>
      </c>
    </row>
    <row r="99" spans="1:26" x14ac:dyDescent="0.25">
      <c r="A99" s="1">
        <v>45415.148935185185</v>
      </c>
      <c r="B99" s="8" t="s">
        <v>25</v>
      </c>
      <c r="C99">
        <v>60.803199999999997</v>
      </c>
      <c r="D99">
        <v>-179.59059999999999</v>
      </c>
      <c r="E99">
        <v>238</v>
      </c>
      <c r="F99" s="8" t="s">
        <v>21</v>
      </c>
      <c r="G99">
        <v>25</v>
      </c>
      <c r="H99">
        <v>75.8</v>
      </c>
      <c r="I99" s="8" t="s">
        <v>22</v>
      </c>
      <c r="J99">
        <v>26</v>
      </c>
      <c r="K99">
        <v>330</v>
      </c>
      <c r="L99">
        <v>9</v>
      </c>
      <c r="M99" s="8" t="s">
        <v>23</v>
      </c>
      <c r="N99">
        <v>99.2</v>
      </c>
      <c r="O99">
        <v>165</v>
      </c>
      <c r="P99">
        <v>1</v>
      </c>
      <c r="Q99">
        <v>5</v>
      </c>
      <c r="R99">
        <v>2024</v>
      </c>
      <c r="S99">
        <v>5</v>
      </c>
      <c r="T99" s="8" t="s">
        <v>90</v>
      </c>
      <c r="U99">
        <v>1</v>
      </c>
      <c r="V99">
        <v>0</v>
      </c>
      <c r="W99">
        <v>2</v>
      </c>
      <c r="X99">
        <v>1</v>
      </c>
      <c r="Y99">
        <v>1</v>
      </c>
      <c r="Z99">
        <v>0</v>
      </c>
    </row>
    <row r="100" spans="1:26" x14ac:dyDescent="0.25">
      <c r="A100" s="1">
        <v>45356.038043981483</v>
      </c>
      <c r="B100" s="8" t="s">
        <v>29</v>
      </c>
      <c r="C100">
        <v>-10.0451</v>
      </c>
      <c r="D100">
        <v>79.895600000000002</v>
      </c>
      <c r="E100">
        <v>126</v>
      </c>
      <c r="F100" s="8" t="s">
        <v>26</v>
      </c>
      <c r="G100">
        <v>28.2</v>
      </c>
      <c r="H100">
        <v>54.5</v>
      </c>
      <c r="I100" s="8" t="s">
        <v>18</v>
      </c>
      <c r="J100">
        <v>35</v>
      </c>
      <c r="K100">
        <v>320</v>
      </c>
      <c r="L100">
        <v>4</v>
      </c>
      <c r="M100" s="8" t="s">
        <v>31</v>
      </c>
      <c r="N100">
        <v>93.7</v>
      </c>
      <c r="O100">
        <v>136</v>
      </c>
      <c r="P100">
        <v>0</v>
      </c>
      <c r="Q100">
        <v>3</v>
      </c>
      <c r="R100">
        <v>2024</v>
      </c>
      <c r="S100">
        <v>2</v>
      </c>
      <c r="T100" s="8" t="s">
        <v>90</v>
      </c>
      <c r="U100">
        <v>0</v>
      </c>
      <c r="V100">
        <v>1</v>
      </c>
      <c r="W100">
        <v>1</v>
      </c>
      <c r="X100">
        <v>0</v>
      </c>
      <c r="Y100">
        <v>0</v>
      </c>
      <c r="Z100">
        <v>0</v>
      </c>
    </row>
    <row r="101" spans="1:26" x14ac:dyDescent="0.25">
      <c r="A101" s="1">
        <v>45305.390740740739</v>
      </c>
      <c r="B101" s="8" t="s">
        <v>30</v>
      </c>
      <c r="C101">
        <v>17.648299999999999</v>
      </c>
      <c r="D101">
        <v>114.2638</v>
      </c>
      <c r="E101">
        <v>455</v>
      </c>
      <c r="F101" s="8" t="s">
        <v>26</v>
      </c>
      <c r="G101">
        <v>22.9</v>
      </c>
      <c r="H101">
        <v>79.599999999999994</v>
      </c>
      <c r="I101" s="8" t="s">
        <v>18</v>
      </c>
      <c r="J101">
        <v>51</v>
      </c>
      <c r="K101">
        <v>410</v>
      </c>
      <c r="L101">
        <v>9</v>
      </c>
      <c r="M101" s="8" t="s">
        <v>23</v>
      </c>
      <c r="N101">
        <v>84.9</v>
      </c>
      <c r="O101">
        <v>233</v>
      </c>
      <c r="P101">
        <v>0</v>
      </c>
      <c r="Q101">
        <v>1</v>
      </c>
      <c r="R101">
        <v>2024</v>
      </c>
      <c r="S101">
        <v>0</v>
      </c>
      <c r="T101" s="8" t="s">
        <v>93</v>
      </c>
      <c r="U101">
        <v>0</v>
      </c>
      <c r="V101">
        <v>1</v>
      </c>
      <c r="W101">
        <v>1</v>
      </c>
      <c r="X101">
        <v>0</v>
      </c>
      <c r="Y101">
        <v>1</v>
      </c>
      <c r="Z101">
        <v>1</v>
      </c>
    </row>
    <row r="102" spans="1:26" x14ac:dyDescent="0.25">
      <c r="A102" s="1">
        <v>45339.879224537035</v>
      </c>
      <c r="B102" s="8" t="s">
        <v>29</v>
      </c>
      <c r="C102">
        <v>-51.923299999999998</v>
      </c>
      <c r="D102">
        <v>-57.585799999999999</v>
      </c>
      <c r="E102">
        <v>220</v>
      </c>
      <c r="F102" s="8" t="s">
        <v>17</v>
      </c>
      <c r="G102">
        <v>29.4</v>
      </c>
      <c r="H102">
        <v>52.4</v>
      </c>
      <c r="I102" s="8" t="s">
        <v>28</v>
      </c>
      <c r="J102">
        <v>18</v>
      </c>
      <c r="K102">
        <v>468</v>
      </c>
      <c r="L102">
        <v>9</v>
      </c>
      <c r="M102" s="8" t="s">
        <v>31</v>
      </c>
      <c r="N102">
        <v>63.1</v>
      </c>
      <c r="O102">
        <v>137</v>
      </c>
      <c r="P102">
        <v>1</v>
      </c>
      <c r="Q102">
        <v>2</v>
      </c>
      <c r="R102">
        <v>2024</v>
      </c>
      <c r="S102">
        <v>6</v>
      </c>
      <c r="T102" s="8" t="s">
        <v>93</v>
      </c>
      <c r="U102">
        <v>1</v>
      </c>
      <c r="V102">
        <v>2</v>
      </c>
      <c r="W102">
        <v>0</v>
      </c>
      <c r="X102">
        <v>0</v>
      </c>
      <c r="Y102">
        <v>0</v>
      </c>
      <c r="Z102">
        <v>0</v>
      </c>
    </row>
    <row r="103" spans="1:26" x14ac:dyDescent="0.25">
      <c r="A103" s="1">
        <v>45479.470462962963</v>
      </c>
      <c r="B103" s="8" t="s">
        <v>34</v>
      </c>
      <c r="C103">
        <v>22.389800000000001</v>
      </c>
      <c r="D103">
        <v>3.8948</v>
      </c>
      <c r="E103">
        <v>403</v>
      </c>
      <c r="F103" s="8" t="s">
        <v>21</v>
      </c>
      <c r="G103">
        <v>22.5</v>
      </c>
      <c r="H103">
        <v>62.5</v>
      </c>
      <c r="I103" s="8" t="s">
        <v>28</v>
      </c>
      <c r="J103">
        <v>38</v>
      </c>
      <c r="K103">
        <v>225</v>
      </c>
      <c r="L103">
        <v>3</v>
      </c>
      <c r="M103" s="8" t="s">
        <v>23</v>
      </c>
      <c r="N103">
        <v>81.400000000000006</v>
      </c>
      <c r="O103">
        <v>169</v>
      </c>
      <c r="P103">
        <v>0</v>
      </c>
      <c r="Q103">
        <v>7</v>
      </c>
      <c r="R103">
        <v>2024</v>
      </c>
      <c r="S103">
        <v>6</v>
      </c>
      <c r="T103" s="8" t="s">
        <v>92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5">
      <c r="A104" s="1">
        <v>45422.926608796297</v>
      </c>
      <c r="B104" s="8" t="s">
        <v>24</v>
      </c>
      <c r="C104">
        <v>86.336799999999997</v>
      </c>
      <c r="D104">
        <v>29.447800000000001</v>
      </c>
      <c r="E104">
        <v>448</v>
      </c>
      <c r="F104" s="8" t="s">
        <v>17</v>
      </c>
      <c r="G104">
        <v>23.4</v>
      </c>
      <c r="H104">
        <v>59.9</v>
      </c>
      <c r="I104" s="8" t="s">
        <v>18</v>
      </c>
      <c r="J104">
        <v>41</v>
      </c>
      <c r="K104">
        <v>120</v>
      </c>
      <c r="L104">
        <v>10</v>
      </c>
      <c r="M104" s="8" t="s">
        <v>23</v>
      </c>
      <c r="N104">
        <v>70.8</v>
      </c>
      <c r="O104">
        <v>150</v>
      </c>
      <c r="P104">
        <v>1</v>
      </c>
      <c r="Q104">
        <v>5</v>
      </c>
      <c r="R104">
        <v>2024</v>
      </c>
      <c r="S104">
        <v>5</v>
      </c>
      <c r="T104" s="8" t="s">
        <v>90</v>
      </c>
      <c r="U104">
        <v>1</v>
      </c>
      <c r="V104">
        <v>2</v>
      </c>
      <c r="W104">
        <v>1</v>
      </c>
      <c r="X104">
        <v>0</v>
      </c>
      <c r="Y104">
        <v>0</v>
      </c>
      <c r="Z104">
        <v>0</v>
      </c>
    </row>
    <row r="105" spans="1:26" x14ac:dyDescent="0.25">
      <c r="A105" s="1">
        <v>45649.7890162037</v>
      </c>
      <c r="B105" s="8" t="s">
        <v>34</v>
      </c>
      <c r="C105">
        <v>-14.6662</v>
      </c>
      <c r="D105">
        <v>-88.367400000000004</v>
      </c>
      <c r="E105">
        <v>168</v>
      </c>
      <c r="F105" s="8" t="s">
        <v>21</v>
      </c>
      <c r="G105">
        <v>22.4</v>
      </c>
      <c r="H105">
        <v>57.9</v>
      </c>
      <c r="I105" s="8" t="s">
        <v>22</v>
      </c>
      <c r="J105">
        <v>43</v>
      </c>
      <c r="K105">
        <v>377</v>
      </c>
      <c r="L105">
        <v>4</v>
      </c>
      <c r="M105" s="8" t="s">
        <v>31</v>
      </c>
      <c r="N105">
        <v>71.099999999999994</v>
      </c>
      <c r="O105">
        <v>140</v>
      </c>
      <c r="P105">
        <v>1</v>
      </c>
      <c r="Q105">
        <v>12</v>
      </c>
      <c r="R105">
        <v>2024</v>
      </c>
      <c r="S105">
        <v>1</v>
      </c>
      <c r="T105" s="8" t="s">
        <v>93</v>
      </c>
      <c r="U105">
        <v>0</v>
      </c>
      <c r="V105">
        <v>0</v>
      </c>
      <c r="W105">
        <v>2</v>
      </c>
      <c r="X105">
        <v>1</v>
      </c>
      <c r="Y105">
        <v>0</v>
      </c>
      <c r="Z105">
        <v>0</v>
      </c>
    </row>
    <row r="106" spans="1:26" x14ac:dyDescent="0.25">
      <c r="A106" s="1">
        <v>45328.352800925924</v>
      </c>
      <c r="B106" s="8" t="s">
        <v>16</v>
      </c>
      <c r="C106">
        <v>-71.905699999999996</v>
      </c>
      <c r="D106">
        <v>-41.431399999999996</v>
      </c>
      <c r="E106">
        <v>409</v>
      </c>
      <c r="F106" s="8" t="s">
        <v>26</v>
      </c>
      <c r="G106">
        <v>18</v>
      </c>
      <c r="H106">
        <v>53.5</v>
      </c>
      <c r="I106" s="8" t="s">
        <v>22</v>
      </c>
      <c r="J106">
        <v>47</v>
      </c>
      <c r="K106">
        <v>153</v>
      </c>
      <c r="L106">
        <v>9</v>
      </c>
      <c r="M106" s="8" t="s">
        <v>19</v>
      </c>
      <c r="N106">
        <v>74.099999999999994</v>
      </c>
      <c r="O106">
        <v>117</v>
      </c>
      <c r="P106">
        <v>1</v>
      </c>
      <c r="Q106">
        <v>2</v>
      </c>
      <c r="R106">
        <v>2024</v>
      </c>
      <c r="S106">
        <v>2</v>
      </c>
      <c r="T106" s="8" t="s">
        <v>93</v>
      </c>
      <c r="U106">
        <v>0</v>
      </c>
      <c r="V106">
        <v>1</v>
      </c>
      <c r="W106">
        <v>2</v>
      </c>
      <c r="X106">
        <v>1</v>
      </c>
      <c r="Y106">
        <v>0</v>
      </c>
      <c r="Z106">
        <v>1</v>
      </c>
    </row>
    <row r="107" spans="1:26" x14ac:dyDescent="0.25">
      <c r="A107" s="1">
        <v>45551.422824074078</v>
      </c>
      <c r="B107" s="8" t="s">
        <v>30</v>
      </c>
      <c r="C107">
        <v>54.888800000000003</v>
      </c>
      <c r="D107">
        <v>7.4287000000000001</v>
      </c>
      <c r="E107">
        <v>469</v>
      </c>
      <c r="F107" s="8" t="s">
        <v>21</v>
      </c>
      <c r="G107">
        <v>20.7</v>
      </c>
      <c r="H107">
        <v>70.400000000000006</v>
      </c>
      <c r="I107" s="8" t="s">
        <v>28</v>
      </c>
      <c r="J107">
        <v>31</v>
      </c>
      <c r="K107">
        <v>335</v>
      </c>
      <c r="L107">
        <v>7</v>
      </c>
      <c r="M107" s="8" t="s">
        <v>27</v>
      </c>
      <c r="N107">
        <v>86.1</v>
      </c>
      <c r="O107">
        <v>298</v>
      </c>
      <c r="P107">
        <v>0</v>
      </c>
      <c r="Q107">
        <v>9</v>
      </c>
      <c r="R107">
        <v>2024</v>
      </c>
      <c r="S107">
        <v>1</v>
      </c>
      <c r="T107" s="8" t="s">
        <v>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25">
      <c r="A108" s="1">
        <v>45317.539236111108</v>
      </c>
      <c r="B108" s="8" t="s">
        <v>34</v>
      </c>
      <c r="C108">
        <v>-89.791499999999999</v>
      </c>
      <c r="D108">
        <v>85.803600000000003</v>
      </c>
      <c r="E108">
        <v>305</v>
      </c>
      <c r="F108" s="8" t="s">
        <v>21</v>
      </c>
      <c r="G108">
        <v>20.5</v>
      </c>
      <c r="H108">
        <v>71.2</v>
      </c>
      <c r="I108" s="8" t="s">
        <v>18</v>
      </c>
      <c r="J108">
        <v>44</v>
      </c>
      <c r="K108">
        <v>302</v>
      </c>
      <c r="L108">
        <v>10</v>
      </c>
      <c r="M108" s="8" t="s">
        <v>23</v>
      </c>
      <c r="N108">
        <v>71.900000000000006</v>
      </c>
      <c r="O108">
        <v>141</v>
      </c>
      <c r="P108">
        <v>0</v>
      </c>
      <c r="Q108">
        <v>1</v>
      </c>
      <c r="R108">
        <v>2024</v>
      </c>
      <c r="S108">
        <v>5</v>
      </c>
      <c r="T108" s="8" t="s">
        <v>93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0</v>
      </c>
    </row>
    <row r="109" spans="1:26" x14ac:dyDescent="0.25">
      <c r="A109" s="1">
        <v>45625.273981481485</v>
      </c>
      <c r="B109" s="8" t="s">
        <v>34</v>
      </c>
      <c r="C109">
        <v>39.908799999999999</v>
      </c>
      <c r="D109">
        <v>71.959500000000006</v>
      </c>
      <c r="E109">
        <v>219</v>
      </c>
      <c r="F109" s="8" t="s">
        <v>17</v>
      </c>
      <c r="G109">
        <v>26.6</v>
      </c>
      <c r="H109">
        <v>79.8</v>
      </c>
      <c r="I109" s="8" t="s">
        <v>22</v>
      </c>
      <c r="J109">
        <v>46</v>
      </c>
      <c r="K109">
        <v>245</v>
      </c>
      <c r="L109">
        <v>1</v>
      </c>
      <c r="M109" s="8" t="s">
        <v>19</v>
      </c>
      <c r="N109">
        <v>70.5</v>
      </c>
      <c r="O109">
        <v>202</v>
      </c>
      <c r="P109">
        <v>1</v>
      </c>
      <c r="Q109">
        <v>11</v>
      </c>
      <c r="R109">
        <v>2024</v>
      </c>
      <c r="S109">
        <v>5</v>
      </c>
      <c r="T109" s="8" t="s">
        <v>91</v>
      </c>
      <c r="U109">
        <v>1</v>
      </c>
      <c r="V109">
        <v>2</v>
      </c>
      <c r="W109">
        <v>2</v>
      </c>
      <c r="X109">
        <v>1</v>
      </c>
      <c r="Y109">
        <v>1</v>
      </c>
      <c r="Z109">
        <v>1</v>
      </c>
    </row>
    <row r="110" spans="1:26" x14ac:dyDescent="0.25">
      <c r="A110" s="1">
        <v>45445.803344907406</v>
      </c>
      <c r="B110" s="8" t="s">
        <v>32</v>
      </c>
      <c r="C110">
        <v>30.7119</v>
      </c>
      <c r="D110">
        <v>111.5767</v>
      </c>
      <c r="E110">
        <v>167</v>
      </c>
      <c r="F110" s="8" t="s">
        <v>17</v>
      </c>
      <c r="G110">
        <v>23.8</v>
      </c>
      <c r="H110">
        <v>71.599999999999994</v>
      </c>
      <c r="I110" s="8" t="s">
        <v>28</v>
      </c>
      <c r="J110">
        <v>55</v>
      </c>
      <c r="K110">
        <v>416</v>
      </c>
      <c r="L110">
        <v>8</v>
      </c>
      <c r="M110" s="8" t="s">
        <v>27</v>
      </c>
      <c r="N110">
        <v>60.7</v>
      </c>
      <c r="O110">
        <v>263</v>
      </c>
      <c r="P110">
        <v>1</v>
      </c>
      <c r="Q110">
        <v>6</v>
      </c>
      <c r="R110">
        <v>2024</v>
      </c>
      <c r="S110">
        <v>0</v>
      </c>
      <c r="T110" s="8" t="s">
        <v>92</v>
      </c>
      <c r="U110">
        <v>0</v>
      </c>
      <c r="V110">
        <v>2</v>
      </c>
      <c r="W110">
        <v>0</v>
      </c>
      <c r="X110">
        <v>0</v>
      </c>
      <c r="Y110">
        <v>0</v>
      </c>
      <c r="Z110">
        <v>1</v>
      </c>
    </row>
    <row r="111" spans="1:26" x14ac:dyDescent="0.25">
      <c r="A111" s="1">
        <v>45330.421805555554</v>
      </c>
      <c r="B111" s="8" t="s">
        <v>29</v>
      </c>
      <c r="C111">
        <v>5.7076000000000002</v>
      </c>
      <c r="D111">
        <v>-79.925600000000003</v>
      </c>
      <c r="E111">
        <v>100</v>
      </c>
      <c r="F111" s="8" t="s">
        <v>17</v>
      </c>
      <c r="G111">
        <v>24.1</v>
      </c>
      <c r="H111">
        <v>50.9</v>
      </c>
      <c r="I111" s="8" t="s">
        <v>18</v>
      </c>
      <c r="J111">
        <v>39</v>
      </c>
      <c r="K111">
        <v>340</v>
      </c>
      <c r="L111">
        <v>4</v>
      </c>
      <c r="M111" s="8" t="s">
        <v>19</v>
      </c>
      <c r="N111">
        <v>96.9</v>
      </c>
      <c r="O111">
        <v>274</v>
      </c>
      <c r="P111">
        <v>1</v>
      </c>
      <c r="Q111">
        <v>2</v>
      </c>
      <c r="R111">
        <v>2024</v>
      </c>
      <c r="S111">
        <v>4</v>
      </c>
      <c r="T111" s="8" t="s">
        <v>93</v>
      </c>
      <c r="U111">
        <v>0</v>
      </c>
      <c r="V111">
        <v>2</v>
      </c>
      <c r="W111">
        <v>1</v>
      </c>
      <c r="X111">
        <v>0</v>
      </c>
      <c r="Y111">
        <v>0</v>
      </c>
      <c r="Z111">
        <v>0</v>
      </c>
    </row>
    <row r="112" spans="1:26" x14ac:dyDescent="0.25">
      <c r="A112" s="1">
        <v>45521.295312499999</v>
      </c>
      <c r="B112" s="8" t="s">
        <v>25</v>
      </c>
      <c r="C112">
        <v>69.050899999999999</v>
      </c>
      <c r="D112">
        <v>91.847999999999999</v>
      </c>
      <c r="E112">
        <v>321</v>
      </c>
      <c r="F112" s="8" t="s">
        <v>21</v>
      </c>
      <c r="G112">
        <v>25.4</v>
      </c>
      <c r="H112">
        <v>53.8</v>
      </c>
      <c r="I112" s="8" t="s">
        <v>28</v>
      </c>
      <c r="J112">
        <v>24</v>
      </c>
      <c r="K112">
        <v>340</v>
      </c>
      <c r="L112">
        <v>5</v>
      </c>
      <c r="M112" s="8" t="s">
        <v>27</v>
      </c>
      <c r="N112">
        <v>84.6</v>
      </c>
      <c r="O112">
        <v>223</v>
      </c>
      <c r="P112">
        <v>0</v>
      </c>
      <c r="Q112">
        <v>8</v>
      </c>
      <c r="R112">
        <v>2024</v>
      </c>
      <c r="S112">
        <v>6</v>
      </c>
      <c r="T112" s="8" t="s">
        <v>92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 s="1">
        <v>45318.173043981478</v>
      </c>
      <c r="B113" s="8" t="s">
        <v>16</v>
      </c>
      <c r="C113">
        <v>52.782800000000002</v>
      </c>
      <c r="D113">
        <v>176.06710000000001</v>
      </c>
      <c r="E113">
        <v>244</v>
      </c>
      <c r="F113" s="8" t="s">
        <v>26</v>
      </c>
      <c r="G113">
        <v>23.6</v>
      </c>
      <c r="H113">
        <v>64.900000000000006</v>
      </c>
      <c r="I113" s="8" t="s">
        <v>28</v>
      </c>
      <c r="J113">
        <v>24</v>
      </c>
      <c r="K113">
        <v>145</v>
      </c>
      <c r="L113">
        <v>4</v>
      </c>
      <c r="M113" s="8" t="s">
        <v>31</v>
      </c>
      <c r="N113">
        <v>67.599999999999994</v>
      </c>
      <c r="O113">
        <v>285</v>
      </c>
      <c r="P113">
        <v>0</v>
      </c>
      <c r="Q113">
        <v>1</v>
      </c>
      <c r="R113">
        <v>2024</v>
      </c>
      <c r="S113">
        <v>6</v>
      </c>
      <c r="T113" s="8" t="s">
        <v>93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</row>
    <row r="114" spans="1:26" x14ac:dyDescent="0.25">
      <c r="A114" s="1">
        <v>45639.038321759261</v>
      </c>
      <c r="B114" s="8" t="s">
        <v>25</v>
      </c>
      <c r="C114">
        <v>42.966999999999999</v>
      </c>
      <c r="D114">
        <v>146.13579999999999</v>
      </c>
      <c r="E114">
        <v>281</v>
      </c>
      <c r="F114" s="8" t="s">
        <v>26</v>
      </c>
      <c r="G114">
        <v>18.399999999999999</v>
      </c>
      <c r="H114">
        <v>74.599999999999994</v>
      </c>
      <c r="I114" s="8" t="s">
        <v>18</v>
      </c>
      <c r="J114">
        <v>41</v>
      </c>
      <c r="K114">
        <v>419</v>
      </c>
      <c r="L114">
        <v>6</v>
      </c>
      <c r="M114" s="8" t="s">
        <v>19</v>
      </c>
      <c r="N114">
        <v>69.099999999999994</v>
      </c>
      <c r="O114">
        <v>242</v>
      </c>
      <c r="P114">
        <v>0</v>
      </c>
      <c r="Q114">
        <v>12</v>
      </c>
      <c r="R114">
        <v>2024</v>
      </c>
      <c r="S114">
        <v>5</v>
      </c>
      <c r="T114" s="8" t="s">
        <v>93</v>
      </c>
      <c r="U114">
        <v>1</v>
      </c>
      <c r="V114">
        <v>1</v>
      </c>
      <c r="W114">
        <v>1</v>
      </c>
      <c r="X114">
        <v>0</v>
      </c>
      <c r="Y114">
        <v>0</v>
      </c>
      <c r="Z114">
        <v>0</v>
      </c>
    </row>
    <row r="115" spans="1:26" x14ac:dyDescent="0.25">
      <c r="A115" s="1">
        <v>45591.913437499999</v>
      </c>
      <c r="B115" s="8" t="s">
        <v>16</v>
      </c>
      <c r="C115">
        <v>-11.994300000000001</v>
      </c>
      <c r="D115">
        <v>-126.87430000000001</v>
      </c>
      <c r="E115">
        <v>301</v>
      </c>
      <c r="F115" s="8" t="s">
        <v>26</v>
      </c>
      <c r="G115">
        <v>18.3</v>
      </c>
      <c r="H115">
        <v>60</v>
      </c>
      <c r="I115" s="8" t="s">
        <v>18</v>
      </c>
      <c r="J115">
        <v>42</v>
      </c>
      <c r="K115">
        <v>243</v>
      </c>
      <c r="L115">
        <v>3</v>
      </c>
      <c r="M115" s="8" t="s">
        <v>31</v>
      </c>
      <c r="N115">
        <v>99</v>
      </c>
      <c r="O115">
        <v>273</v>
      </c>
      <c r="P115">
        <v>0</v>
      </c>
      <c r="Q115">
        <v>10</v>
      </c>
      <c r="R115">
        <v>2024</v>
      </c>
      <c r="S115">
        <v>6</v>
      </c>
      <c r="T115" s="8" t="s">
        <v>91</v>
      </c>
      <c r="U115">
        <v>1</v>
      </c>
      <c r="V115">
        <v>1</v>
      </c>
      <c r="W115">
        <v>1</v>
      </c>
      <c r="X115">
        <v>0</v>
      </c>
      <c r="Y115">
        <v>0</v>
      </c>
      <c r="Z115">
        <v>0</v>
      </c>
    </row>
    <row r="116" spans="1:26" x14ac:dyDescent="0.25">
      <c r="A116" s="1">
        <v>45370.238078703704</v>
      </c>
      <c r="B116" s="8" t="s">
        <v>32</v>
      </c>
      <c r="C116">
        <v>60.590299999999999</v>
      </c>
      <c r="D116">
        <v>-90.041499999999999</v>
      </c>
      <c r="E116">
        <v>437</v>
      </c>
      <c r="F116" s="8" t="s">
        <v>21</v>
      </c>
      <c r="G116">
        <v>25.5</v>
      </c>
      <c r="H116">
        <v>73.2</v>
      </c>
      <c r="I116" s="8" t="s">
        <v>28</v>
      </c>
      <c r="J116">
        <v>59</v>
      </c>
      <c r="K116">
        <v>310</v>
      </c>
      <c r="L116">
        <v>2</v>
      </c>
      <c r="M116" s="8" t="s">
        <v>19</v>
      </c>
      <c r="N116">
        <v>83.9</v>
      </c>
      <c r="O116">
        <v>228</v>
      </c>
      <c r="P116">
        <v>0</v>
      </c>
      <c r="Q116">
        <v>3</v>
      </c>
      <c r="R116">
        <v>2024</v>
      </c>
      <c r="S116">
        <v>2</v>
      </c>
      <c r="T116" s="8" t="s">
        <v>90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 x14ac:dyDescent="0.25">
      <c r="A117" s="1">
        <v>45588.594039351854</v>
      </c>
      <c r="B117" s="8" t="s">
        <v>16</v>
      </c>
      <c r="C117">
        <v>-23.298200000000001</v>
      </c>
      <c r="D117">
        <v>143.86340000000001</v>
      </c>
      <c r="E117">
        <v>253</v>
      </c>
      <c r="F117" s="8" t="s">
        <v>21</v>
      </c>
      <c r="G117">
        <v>22.8</v>
      </c>
      <c r="H117">
        <v>78.7</v>
      </c>
      <c r="I117" s="8" t="s">
        <v>28</v>
      </c>
      <c r="J117">
        <v>49</v>
      </c>
      <c r="K117">
        <v>180</v>
      </c>
      <c r="L117">
        <v>3</v>
      </c>
      <c r="M117" s="8" t="s">
        <v>23</v>
      </c>
      <c r="N117">
        <v>74</v>
      </c>
      <c r="O117">
        <v>296</v>
      </c>
      <c r="P117">
        <v>0</v>
      </c>
      <c r="Q117">
        <v>10</v>
      </c>
      <c r="R117">
        <v>2024</v>
      </c>
      <c r="S117">
        <v>3</v>
      </c>
      <c r="T117" s="8" t="s">
        <v>91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</row>
    <row r="118" spans="1:26" x14ac:dyDescent="0.25">
      <c r="A118" s="1">
        <v>45309.357233796298</v>
      </c>
      <c r="B118" s="8" t="s">
        <v>30</v>
      </c>
      <c r="C118">
        <v>-34.218899999999998</v>
      </c>
      <c r="D118">
        <v>-36.628799999999998</v>
      </c>
      <c r="E118">
        <v>491</v>
      </c>
      <c r="F118" s="8" t="s">
        <v>26</v>
      </c>
      <c r="G118">
        <v>25.5</v>
      </c>
      <c r="H118">
        <v>50.3</v>
      </c>
      <c r="I118" s="8" t="s">
        <v>22</v>
      </c>
      <c r="J118">
        <v>18</v>
      </c>
      <c r="K118">
        <v>111</v>
      </c>
      <c r="L118">
        <v>1</v>
      </c>
      <c r="M118" s="8" t="s">
        <v>23</v>
      </c>
      <c r="N118">
        <v>97.1</v>
      </c>
      <c r="O118">
        <v>100</v>
      </c>
      <c r="P118">
        <v>1</v>
      </c>
      <c r="Q118">
        <v>1</v>
      </c>
      <c r="R118">
        <v>2024</v>
      </c>
      <c r="S118">
        <v>4</v>
      </c>
      <c r="T118" s="8" t="s">
        <v>93</v>
      </c>
      <c r="U118">
        <v>0</v>
      </c>
      <c r="V118">
        <v>1</v>
      </c>
      <c r="W118">
        <v>2</v>
      </c>
      <c r="X118">
        <v>1</v>
      </c>
      <c r="Y118">
        <v>0</v>
      </c>
      <c r="Z118">
        <v>0</v>
      </c>
    </row>
    <row r="119" spans="1:26" x14ac:dyDescent="0.25">
      <c r="A119" s="1">
        <v>45611.487951388888</v>
      </c>
      <c r="B119" s="8" t="s">
        <v>33</v>
      </c>
      <c r="C119">
        <v>19.545000000000002</v>
      </c>
      <c r="D119">
        <v>73.096800000000002</v>
      </c>
      <c r="E119">
        <v>172</v>
      </c>
      <c r="F119" s="8" t="s">
        <v>17</v>
      </c>
      <c r="G119">
        <v>22.8</v>
      </c>
      <c r="H119">
        <v>60.4</v>
      </c>
      <c r="I119" s="8" t="s">
        <v>18</v>
      </c>
      <c r="J119">
        <v>38</v>
      </c>
      <c r="K119">
        <v>187</v>
      </c>
      <c r="L119">
        <v>9</v>
      </c>
      <c r="M119" s="8" t="s">
        <v>23</v>
      </c>
      <c r="N119">
        <v>83.3</v>
      </c>
      <c r="O119">
        <v>106</v>
      </c>
      <c r="P119">
        <v>1</v>
      </c>
      <c r="Q119">
        <v>11</v>
      </c>
      <c r="R119">
        <v>2024</v>
      </c>
      <c r="S119">
        <v>5</v>
      </c>
      <c r="T119" s="8" t="s">
        <v>91</v>
      </c>
      <c r="U119">
        <v>1</v>
      </c>
      <c r="V119">
        <v>2</v>
      </c>
      <c r="W119">
        <v>1</v>
      </c>
      <c r="X119">
        <v>0</v>
      </c>
      <c r="Y119">
        <v>0</v>
      </c>
      <c r="Z119">
        <v>0</v>
      </c>
    </row>
    <row r="120" spans="1:26" x14ac:dyDescent="0.25">
      <c r="A120" s="1">
        <v>45474.692974537036</v>
      </c>
      <c r="B120" s="8" t="s">
        <v>16</v>
      </c>
      <c r="C120">
        <v>33.335099999999997</v>
      </c>
      <c r="D120">
        <v>-103.926</v>
      </c>
      <c r="E120">
        <v>252</v>
      </c>
      <c r="F120" s="8" t="s">
        <v>17</v>
      </c>
      <c r="G120">
        <v>24.4</v>
      </c>
      <c r="H120">
        <v>72.3</v>
      </c>
      <c r="I120" s="8" t="s">
        <v>18</v>
      </c>
      <c r="J120">
        <v>54</v>
      </c>
      <c r="K120">
        <v>156</v>
      </c>
      <c r="L120">
        <v>6</v>
      </c>
      <c r="M120" s="8" t="s">
        <v>31</v>
      </c>
      <c r="N120">
        <v>86.8</v>
      </c>
      <c r="O120">
        <v>225</v>
      </c>
      <c r="P120">
        <v>1</v>
      </c>
      <c r="Q120">
        <v>7</v>
      </c>
      <c r="R120">
        <v>2024</v>
      </c>
      <c r="S120">
        <v>1</v>
      </c>
      <c r="T120" s="8" t="s">
        <v>92</v>
      </c>
      <c r="U120">
        <v>0</v>
      </c>
      <c r="V120">
        <v>2</v>
      </c>
      <c r="W120">
        <v>1</v>
      </c>
      <c r="X120">
        <v>0</v>
      </c>
      <c r="Y120">
        <v>0</v>
      </c>
      <c r="Z120">
        <v>1</v>
      </c>
    </row>
    <row r="121" spans="1:26" x14ac:dyDescent="0.25">
      <c r="A121" s="1">
        <v>45454.336215277777</v>
      </c>
      <c r="B121" s="8" t="s">
        <v>29</v>
      </c>
      <c r="C121">
        <v>-63.206400000000002</v>
      </c>
      <c r="D121">
        <v>30.081800000000001</v>
      </c>
      <c r="E121">
        <v>118</v>
      </c>
      <c r="F121" s="8" t="s">
        <v>17</v>
      </c>
      <c r="G121">
        <v>21.8</v>
      </c>
      <c r="H121">
        <v>52.1</v>
      </c>
      <c r="I121" s="8" t="s">
        <v>28</v>
      </c>
      <c r="J121">
        <v>19</v>
      </c>
      <c r="K121">
        <v>421</v>
      </c>
      <c r="L121">
        <v>8</v>
      </c>
      <c r="M121" s="8" t="s">
        <v>31</v>
      </c>
      <c r="N121">
        <v>99.1</v>
      </c>
      <c r="O121">
        <v>284</v>
      </c>
      <c r="P121">
        <v>1</v>
      </c>
      <c r="Q121">
        <v>6</v>
      </c>
      <c r="R121">
        <v>2024</v>
      </c>
      <c r="S121">
        <v>2</v>
      </c>
      <c r="T121" s="8" t="s">
        <v>92</v>
      </c>
      <c r="U121">
        <v>0</v>
      </c>
      <c r="V121">
        <v>2</v>
      </c>
      <c r="W121">
        <v>0</v>
      </c>
      <c r="X121">
        <v>0</v>
      </c>
      <c r="Y121">
        <v>0</v>
      </c>
      <c r="Z121">
        <v>0</v>
      </c>
    </row>
    <row r="122" spans="1:26" x14ac:dyDescent="0.25">
      <c r="A122" s="1">
        <v>45476.631064814814</v>
      </c>
      <c r="B122" s="8" t="s">
        <v>29</v>
      </c>
      <c r="C122">
        <v>83.285799999999995</v>
      </c>
      <c r="D122">
        <v>-66.106899999999996</v>
      </c>
      <c r="E122">
        <v>179</v>
      </c>
      <c r="F122" s="8" t="s">
        <v>17</v>
      </c>
      <c r="G122">
        <v>25</v>
      </c>
      <c r="H122">
        <v>71.099999999999994</v>
      </c>
      <c r="I122" s="8" t="s">
        <v>18</v>
      </c>
      <c r="J122">
        <v>60</v>
      </c>
      <c r="K122">
        <v>325</v>
      </c>
      <c r="L122">
        <v>1</v>
      </c>
      <c r="M122" s="8" t="s">
        <v>23</v>
      </c>
      <c r="N122">
        <v>66.8</v>
      </c>
      <c r="O122">
        <v>226</v>
      </c>
      <c r="P122">
        <v>1</v>
      </c>
      <c r="Q122">
        <v>7</v>
      </c>
      <c r="R122">
        <v>2024</v>
      </c>
      <c r="S122">
        <v>3</v>
      </c>
      <c r="T122" s="8" t="s">
        <v>92</v>
      </c>
      <c r="U122">
        <v>0</v>
      </c>
      <c r="V122">
        <v>2</v>
      </c>
      <c r="W122">
        <v>1</v>
      </c>
      <c r="X122">
        <v>0</v>
      </c>
      <c r="Y122">
        <v>0</v>
      </c>
      <c r="Z122">
        <v>1</v>
      </c>
    </row>
    <row r="123" spans="1:26" x14ac:dyDescent="0.25">
      <c r="A123" s="1">
        <v>45327.028819444444</v>
      </c>
      <c r="B123" s="8" t="s">
        <v>20</v>
      </c>
      <c r="C123">
        <v>-23.2424</v>
      </c>
      <c r="D123">
        <v>18.6206</v>
      </c>
      <c r="E123">
        <v>119</v>
      </c>
      <c r="F123" s="8" t="s">
        <v>26</v>
      </c>
      <c r="G123">
        <v>25.9</v>
      </c>
      <c r="H123">
        <v>77.7</v>
      </c>
      <c r="I123" s="8" t="s">
        <v>28</v>
      </c>
      <c r="J123">
        <v>38</v>
      </c>
      <c r="K123">
        <v>189</v>
      </c>
      <c r="L123">
        <v>7</v>
      </c>
      <c r="M123" s="8" t="s">
        <v>23</v>
      </c>
      <c r="N123">
        <v>79.3</v>
      </c>
      <c r="O123">
        <v>149</v>
      </c>
      <c r="P123">
        <v>0</v>
      </c>
      <c r="Q123">
        <v>2</v>
      </c>
      <c r="R123">
        <v>2024</v>
      </c>
      <c r="S123">
        <v>1</v>
      </c>
      <c r="T123" s="8" t="s">
        <v>93</v>
      </c>
      <c r="U123">
        <v>0</v>
      </c>
      <c r="V123">
        <v>1</v>
      </c>
      <c r="W123">
        <v>0</v>
      </c>
      <c r="X123">
        <v>0</v>
      </c>
      <c r="Y123">
        <v>1</v>
      </c>
      <c r="Z123">
        <v>0</v>
      </c>
    </row>
    <row r="124" spans="1:26" x14ac:dyDescent="0.25">
      <c r="A124" s="1">
        <v>45363.162569444445</v>
      </c>
      <c r="B124" s="8" t="s">
        <v>34</v>
      </c>
      <c r="C124">
        <v>-89.079300000000003</v>
      </c>
      <c r="D124">
        <v>130.33619999999999</v>
      </c>
      <c r="E124">
        <v>221</v>
      </c>
      <c r="F124" s="8" t="s">
        <v>17</v>
      </c>
      <c r="G124">
        <v>22.8</v>
      </c>
      <c r="H124">
        <v>76.099999999999994</v>
      </c>
      <c r="I124" s="8" t="s">
        <v>18</v>
      </c>
      <c r="J124">
        <v>35</v>
      </c>
      <c r="K124">
        <v>233</v>
      </c>
      <c r="L124">
        <v>4</v>
      </c>
      <c r="M124" s="8" t="s">
        <v>19</v>
      </c>
      <c r="N124">
        <v>61.5</v>
      </c>
      <c r="O124">
        <v>281</v>
      </c>
      <c r="P124">
        <v>1</v>
      </c>
      <c r="Q124">
        <v>3</v>
      </c>
      <c r="R124">
        <v>2024</v>
      </c>
      <c r="S124">
        <v>2</v>
      </c>
      <c r="T124" s="8" t="s">
        <v>90</v>
      </c>
      <c r="U124">
        <v>0</v>
      </c>
      <c r="V124">
        <v>2</v>
      </c>
      <c r="W124">
        <v>1</v>
      </c>
      <c r="X124">
        <v>0</v>
      </c>
      <c r="Y124">
        <v>1</v>
      </c>
      <c r="Z124">
        <v>0</v>
      </c>
    </row>
    <row r="125" spans="1:26" x14ac:dyDescent="0.25">
      <c r="A125" s="1">
        <v>45613.276689814818</v>
      </c>
      <c r="B125" s="8" t="s">
        <v>16</v>
      </c>
      <c r="C125">
        <v>-11.290800000000001</v>
      </c>
      <c r="D125">
        <v>-105.25149999999999</v>
      </c>
      <c r="E125">
        <v>261</v>
      </c>
      <c r="F125" s="8" t="s">
        <v>17</v>
      </c>
      <c r="G125">
        <v>24.5</v>
      </c>
      <c r="H125">
        <v>74.2</v>
      </c>
      <c r="I125" s="8" t="s">
        <v>18</v>
      </c>
      <c r="J125">
        <v>36</v>
      </c>
      <c r="K125">
        <v>201</v>
      </c>
      <c r="L125">
        <v>10</v>
      </c>
      <c r="M125" s="8" t="s">
        <v>31</v>
      </c>
      <c r="N125">
        <v>67</v>
      </c>
      <c r="O125">
        <v>226</v>
      </c>
      <c r="P125">
        <v>1</v>
      </c>
      <c r="Q125">
        <v>11</v>
      </c>
      <c r="R125">
        <v>2024</v>
      </c>
      <c r="S125">
        <v>0</v>
      </c>
      <c r="T125" s="8" t="s">
        <v>91</v>
      </c>
      <c r="U125">
        <v>0</v>
      </c>
      <c r="V125">
        <v>2</v>
      </c>
      <c r="W125">
        <v>1</v>
      </c>
      <c r="X125">
        <v>0</v>
      </c>
      <c r="Y125">
        <v>0</v>
      </c>
      <c r="Z125">
        <v>0</v>
      </c>
    </row>
    <row r="126" spans="1:26" x14ac:dyDescent="0.25">
      <c r="A126" s="1">
        <v>45503.432673611111</v>
      </c>
      <c r="B126" s="8" t="s">
        <v>34</v>
      </c>
      <c r="C126">
        <v>0.37730000000000002</v>
      </c>
      <c r="D126">
        <v>-13.6838</v>
      </c>
      <c r="E126">
        <v>226</v>
      </c>
      <c r="F126" s="8" t="s">
        <v>26</v>
      </c>
      <c r="G126">
        <v>25.4</v>
      </c>
      <c r="H126">
        <v>73.7</v>
      </c>
      <c r="I126" s="8" t="s">
        <v>18</v>
      </c>
      <c r="J126">
        <v>46</v>
      </c>
      <c r="K126">
        <v>138</v>
      </c>
      <c r="L126">
        <v>8</v>
      </c>
      <c r="M126" s="8" t="s">
        <v>27</v>
      </c>
      <c r="N126">
        <v>75.5</v>
      </c>
      <c r="O126">
        <v>298</v>
      </c>
      <c r="P126">
        <v>0</v>
      </c>
      <c r="Q126">
        <v>7</v>
      </c>
      <c r="R126">
        <v>2024</v>
      </c>
      <c r="S126">
        <v>2</v>
      </c>
      <c r="T126" s="8" t="s">
        <v>92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1</v>
      </c>
    </row>
    <row r="127" spans="1:26" x14ac:dyDescent="0.25">
      <c r="A127" s="1">
        <v>45633.674305555556</v>
      </c>
      <c r="B127" s="8" t="s">
        <v>24</v>
      </c>
      <c r="C127">
        <v>-7.77</v>
      </c>
      <c r="D127">
        <v>163.5958</v>
      </c>
      <c r="E127">
        <v>226</v>
      </c>
      <c r="F127" s="8" t="s">
        <v>21</v>
      </c>
      <c r="G127">
        <v>21.1</v>
      </c>
      <c r="H127">
        <v>56.1</v>
      </c>
      <c r="I127" s="8" t="s">
        <v>22</v>
      </c>
      <c r="J127">
        <v>50</v>
      </c>
      <c r="K127">
        <v>160</v>
      </c>
      <c r="L127">
        <v>5</v>
      </c>
      <c r="M127" s="8" t="s">
        <v>19</v>
      </c>
      <c r="N127">
        <v>77.3</v>
      </c>
      <c r="O127">
        <v>174</v>
      </c>
      <c r="P127">
        <v>1</v>
      </c>
      <c r="Q127">
        <v>12</v>
      </c>
      <c r="R127">
        <v>2024</v>
      </c>
      <c r="S127">
        <v>6</v>
      </c>
      <c r="T127" s="8" t="s">
        <v>93</v>
      </c>
      <c r="U127">
        <v>1</v>
      </c>
      <c r="V127">
        <v>0</v>
      </c>
      <c r="W127">
        <v>2</v>
      </c>
      <c r="X127">
        <v>1</v>
      </c>
      <c r="Y127">
        <v>0</v>
      </c>
      <c r="Z127">
        <v>1</v>
      </c>
    </row>
    <row r="128" spans="1:26" x14ac:dyDescent="0.25">
      <c r="A128" s="1">
        <v>45366.745925925927</v>
      </c>
      <c r="B128" s="8" t="s">
        <v>16</v>
      </c>
      <c r="C128">
        <v>-80.122200000000007</v>
      </c>
      <c r="D128">
        <v>-56.149700000000003</v>
      </c>
      <c r="E128">
        <v>415</v>
      </c>
      <c r="F128" s="8" t="s">
        <v>21</v>
      </c>
      <c r="G128">
        <v>25.3</v>
      </c>
      <c r="H128">
        <v>54.4</v>
      </c>
      <c r="I128" s="8" t="s">
        <v>22</v>
      </c>
      <c r="J128">
        <v>53</v>
      </c>
      <c r="K128">
        <v>345</v>
      </c>
      <c r="L128">
        <v>2</v>
      </c>
      <c r="M128" s="8" t="s">
        <v>31</v>
      </c>
      <c r="N128">
        <v>87.4</v>
      </c>
      <c r="O128">
        <v>181</v>
      </c>
      <c r="P128">
        <v>1</v>
      </c>
      <c r="Q128">
        <v>3</v>
      </c>
      <c r="R128">
        <v>2024</v>
      </c>
      <c r="S128">
        <v>5</v>
      </c>
      <c r="T128" s="8" t="s">
        <v>90</v>
      </c>
      <c r="U128">
        <v>1</v>
      </c>
      <c r="V128">
        <v>0</v>
      </c>
      <c r="W128">
        <v>2</v>
      </c>
      <c r="X128">
        <v>1</v>
      </c>
      <c r="Y128">
        <v>0</v>
      </c>
      <c r="Z128">
        <v>1</v>
      </c>
    </row>
    <row r="129" spans="1:26" x14ac:dyDescent="0.25">
      <c r="A129" s="1">
        <v>45580.284398148149</v>
      </c>
      <c r="B129" s="8" t="s">
        <v>33</v>
      </c>
      <c r="C129">
        <v>-84.804100000000005</v>
      </c>
      <c r="D129">
        <v>57.167999999999999</v>
      </c>
      <c r="E129">
        <v>422</v>
      </c>
      <c r="F129" s="8" t="s">
        <v>26</v>
      </c>
      <c r="G129">
        <v>29.7</v>
      </c>
      <c r="H129">
        <v>68.3</v>
      </c>
      <c r="I129" s="8" t="s">
        <v>22</v>
      </c>
      <c r="J129">
        <v>45</v>
      </c>
      <c r="K129">
        <v>246</v>
      </c>
      <c r="L129">
        <v>1</v>
      </c>
      <c r="M129" s="8" t="s">
        <v>23</v>
      </c>
      <c r="N129">
        <v>85.6</v>
      </c>
      <c r="O129">
        <v>136</v>
      </c>
      <c r="P129">
        <v>1</v>
      </c>
      <c r="Q129">
        <v>10</v>
      </c>
      <c r="R129">
        <v>2024</v>
      </c>
      <c r="S129">
        <v>2</v>
      </c>
      <c r="T129" s="8" t="s">
        <v>91</v>
      </c>
      <c r="U129">
        <v>0</v>
      </c>
      <c r="V129">
        <v>1</v>
      </c>
      <c r="W129">
        <v>2</v>
      </c>
      <c r="X129">
        <v>1</v>
      </c>
      <c r="Y129">
        <v>0</v>
      </c>
      <c r="Z129">
        <v>0</v>
      </c>
    </row>
    <row r="130" spans="1:26" x14ac:dyDescent="0.25">
      <c r="A130" s="1">
        <v>45531.286516203705</v>
      </c>
      <c r="B130" s="8" t="s">
        <v>32</v>
      </c>
      <c r="C130">
        <v>-13.147500000000001</v>
      </c>
      <c r="D130">
        <v>-1.0702</v>
      </c>
      <c r="E130">
        <v>413</v>
      </c>
      <c r="F130" s="8" t="s">
        <v>17</v>
      </c>
      <c r="G130">
        <v>23.4</v>
      </c>
      <c r="H130">
        <v>67.099999999999994</v>
      </c>
      <c r="I130" s="8" t="s">
        <v>22</v>
      </c>
      <c r="J130">
        <v>32</v>
      </c>
      <c r="K130">
        <v>325</v>
      </c>
      <c r="L130">
        <v>3</v>
      </c>
      <c r="M130" s="8" t="s">
        <v>31</v>
      </c>
      <c r="N130">
        <v>93.3</v>
      </c>
      <c r="O130">
        <v>109</v>
      </c>
      <c r="P130">
        <v>1</v>
      </c>
      <c r="Q130">
        <v>8</v>
      </c>
      <c r="R130">
        <v>2024</v>
      </c>
      <c r="S130">
        <v>2</v>
      </c>
      <c r="T130" s="8" t="s">
        <v>92</v>
      </c>
      <c r="U130">
        <v>0</v>
      </c>
      <c r="V130">
        <v>2</v>
      </c>
      <c r="W130">
        <v>2</v>
      </c>
      <c r="X130">
        <v>1</v>
      </c>
      <c r="Y130">
        <v>0</v>
      </c>
      <c r="Z130">
        <v>0</v>
      </c>
    </row>
    <row r="131" spans="1:26" x14ac:dyDescent="0.25">
      <c r="A131" s="1">
        <v>45506.084317129629</v>
      </c>
      <c r="B131" s="8" t="s">
        <v>35</v>
      </c>
      <c r="C131">
        <v>-87.554699999999997</v>
      </c>
      <c r="D131">
        <v>113.4629</v>
      </c>
      <c r="E131">
        <v>269</v>
      </c>
      <c r="F131" s="8" t="s">
        <v>21</v>
      </c>
      <c r="G131">
        <v>25.2</v>
      </c>
      <c r="H131">
        <v>57.7</v>
      </c>
      <c r="I131" s="8" t="s">
        <v>18</v>
      </c>
      <c r="J131">
        <v>20</v>
      </c>
      <c r="K131">
        <v>247</v>
      </c>
      <c r="L131">
        <v>2</v>
      </c>
      <c r="M131" s="8" t="s">
        <v>23</v>
      </c>
      <c r="N131">
        <v>60.9</v>
      </c>
      <c r="O131">
        <v>177</v>
      </c>
      <c r="P131">
        <v>0</v>
      </c>
      <c r="Q131">
        <v>8</v>
      </c>
      <c r="R131">
        <v>2024</v>
      </c>
      <c r="S131">
        <v>5</v>
      </c>
      <c r="T131" s="8" t="s">
        <v>92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</row>
    <row r="132" spans="1:26" x14ac:dyDescent="0.25">
      <c r="A132" s="1">
        <v>45623.783958333333</v>
      </c>
      <c r="B132" s="8" t="s">
        <v>29</v>
      </c>
      <c r="C132">
        <v>72.906599999999997</v>
      </c>
      <c r="D132">
        <v>36.1965</v>
      </c>
      <c r="E132">
        <v>489</v>
      </c>
      <c r="F132" s="8" t="s">
        <v>26</v>
      </c>
      <c r="G132">
        <v>25.7</v>
      </c>
      <c r="H132">
        <v>50.1</v>
      </c>
      <c r="I132" s="8" t="s">
        <v>22</v>
      </c>
      <c r="J132">
        <v>51</v>
      </c>
      <c r="K132">
        <v>204</v>
      </c>
      <c r="L132">
        <v>1</v>
      </c>
      <c r="M132" s="8" t="s">
        <v>23</v>
      </c>
      <c r="N132">
        <v>65.099999999999994</v>
      </c>
      <c r="O132">
        <v>184</v>
      </c>
      <c r="P132">
        <v>1</v>
      </c>
      <c r="Q132">
        <v>11</v>
      </c>
      <c r="R132">
        <v>2024</v>
      </c>
      <c r="S132">
        <v>3</v>
      </c>
      <c r="T132" s="8" t="s">
        <v>91</v>
      </c>
      <c r="U132">
        <v>0</v>
      </c>
      <c r="V132">
        <v>1</v>
      </c>
      <c r="W132">
        <v>2</v>
      </c>
      <c r="X132">
        <v>1</v>
      </c>
      <c r="Y132">
        <v>0</v>
      </c>
      <c r="Z132">
        <v>1</v>
      </c>
    </row>
    <row r="133" spans="1:26" x14ac:dyDescent="0.25">
      <c r="A133" s="1">
        <v>45629.226666666669</v>
      </c>
      <c r="B133" s="8" t="s">
        <v>20</v>
      </c>
      <c r="C133">
        <v>16.1951</v>
      </c>
      <c r="D133">
        <v>-119.4492</v>
      </c>
      <c r="E133">
        <v>426</v>
      </c>
      <c r="F133" s="8" t="s">
        <v>21</v>
      </c>
      <c r="G133">
        <v>28.8</v>
      </c>
      <c r="H133">
        <v>56.2</v>
      </c>
      <c r="I133" s="8" t="s">
        <v>28</v>
      </c>
      <c r="J133">
        <v>30</v>
      </c>
      <c r="K133">
        <v>145</v>
      </c>
      <c r="L133">
        <v>3</v>
      </c>
      <c r="M133" s="8" t="s">
        <v>27</v>
      </c>
      <c r="N133">
        <v>81.2</v>
      </c>
      <c r="O133">
        <v>220</v>
      </c>
      <c r="P133">
        <v>0</v>
      </c>
      <c r="Q133">
        <v>12</v>
      </c>
      <c r="R133">
        <v>2024</v>
      </c>
      <c r="S133">
        <v>2</v>
      </c>
      <c r="T133" s="8" t="s">
        <v>93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25">
      <c r="A134" s="1">
        <v>45327.138692129629</v>
      </c>
      <c r="B134" s="8" t="s">
        <v>34</v>
      </c>
      <c r="C134">
        <v>28.3461</v>
      </c>
      <c r="D134">
        <v>-1.5547</v>
      </c>
      <c r="E134">
        <v>457</v>
      </c>
      <c r="F134" s="8" t="s">
        <v>26</v>
      </c>
      <c r="G134">
        <v>27.9</v>
      </c>
      <c r="H134">
        <v>78.599999999999994</v>
      </c>
      <c r="I134" s="8" t="s">
        <v>22</v>
      </c>
      <c r="J134">
        <v>18</v>
      </c>
      <c r="K134">
        <v>461</v>
      </c>
      <c r="L134">
        <v>6</v>
      </c>
      <c r="M134" s="8" t="s">
        <v>23</v>
      </c>
      <c r="N134">
        <v>69.099999999999994</v>
      </c>
      <c r="O134">
        <v>137</v>
      </c>
      <c r="P134">
        <v>1</v>
      </c>
      <c r="Q134">
        <v>2</v>
      </c>
      <c r="R134">
        <v>2024</v>
      </c>
      <c r="S134">
        <v>1</v>
      </c>
      <c r="T134" s="8" t="s">
        <v>93</v>
      </c>
      <c r="U134">
        <v>0</v>
      </c>
      <c r="V134">
        <v>1</v>
      </c>
      <c r="W134">
        <v>2</v>
      </c>
      <c r="X134">
        <v>1</v>
      </c>
      <c r="Y134">
        <v>1</v>
      </c>
      <c r="Z134">
        <v>0</v>
      </c>
    </row>
    <row r="135" spans="1:26" x14ac:dyDescent="0.25">
      <c r="A135" s="1">
        <v>45645.957048611112</v>
      </c>
      <c r="B135" s="8" t="s">
        <v>35</v>
      </c>
      <c r="C135">
        <v>-35.566299999999998</v>
      </c>
      <c r="D135">
        <v>47.402799999999999</v>
      </c>
      <c r="E135">
        <v>270</v>
      </c>
      <c r="F135" s="8" t="s">
        <v>26</v>
      </c>
      <c r="G135">
        <v>21.7</v>
      </c>
      <c r="H135">
        <v>53.6</v>
      </c>
      <c r="I135" s="8" t="s">
        <v>28</v>
      </c>
      <c r="J135">
        <v>15</v>
      </c>
      <c r="K135">
        <v>499</v>
      </c>
      <c r="L135">
        <v>8</v>
      </c>
      <c r="M135" s="8" t="s">
        <v>31</v>
      </c>
      <c r="N135">
        <v>94.9</v>
      </c>
      <c r="O135">
        <v>111</v>
      </c>
      <c r="P135">
        <v>0</v>
      </c>
      <c r="Q135">
        <v>12</v>
      </c>
      <c r="R135">
        <v>2024</v>
      </c>
      <c r="S135">
        <v>4</v>
      </c>
      <c r="T135" s="8" t="s">
        <v>93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</row>
    <row r="136" spans="1:26" x14ac:dyDescent="0.25">
      <c r="A136" s="1">
        <v>45619.364016203705</v>
      </c>
      <c r="B136" s="8" t="s">
        <v>16</v>
      </c>
      <c r="C136">
        <v>-33.246000000000002</v>
      </c>
      <c r="D136">
        <v>106.3248</v>
      </c>
      <c r="E136">
        <v>267</v>
      </c>
      <c r="F136" s="8" t="s">
        <v>21</v>
      </c>
      <c r="G136">
        <v>29.8</v>
      </c>
      <c r="H136">
        <v>79.8</v>
      </c>
      <c r="I136" s="8" t="s">
        <v>22</v>
      </c>
      <c r="J136">
        <v>55</v>
      </c>
      <c r="K136">
        <v>282</v>
      </c>
      <c r="L136">
        <v>5</v>
      </c>
      <c r="M136" s="8" t="s">
        <v>19</v>
      </c>
      <c r="N136">
        <v>90.5</v>
      </c>
      <c r="O136">
        <v>173</v>
      </c>
      <c r="P136">
        <v>1</v>
      </c>
      <c r="Q136">
        <v>11</v>
      </c>
      <c r="R136">
        <v>2024</v>
      </c>
      <c r="S136">
        <v>6</v>
      </c>
      <c r="T136" s="8" t="s">
        <v>91</v>
      </c>
      <c r="U136">
        <v>1</v>
      </c>
      <c r="V136">
        <v>0</v>
      </c>
      <c r="W136">
        <v>2</v>
      </c>
      <c r="X136">
        <v>1</v>
      </c>
      <c r="Y136">
        <v>1</v>
      </c>
      <c r="Z136">
        <v>1</v>
      </c>
    </row>
    <row r="137" spans="1:26" x14ac:dyDescent="0.25">
      <c r="A137" s="1">
        <v>45412.617569444446</v>
      </c>
      <c r="B137" s="8" t="s">
        <v>34</v>
      </c>
      <c r="C137">
        <v>10.2059</v>
      </c>
      <c r="D137">
        <v>98.617999999999995</v>
      </c>
      <c r="E137">
        <v>381</v>
      </c>
      <c r="F137" s="8" t="s">
        <v>26</v>
      </c>
      <c r="G137">
        <v>24.4</v>
      </c>
      <c r="H137">
        <v>50.1</v>
      </c>
      <c r="I137" s="8" t="s">
        <v>22</v>
      </c>
      <c r="J137">
        <v>54</v>
      </c>
      <c r="K137">
        <v>243</v>
      </c>
      <c r="L137">
        <v>6</v>
      </c>
      <c r="M137" s="8" t="s">
        <v>19</v>
      </c>
      <c r="N137">
        <v>61.5</v>
      </c>
      <c r="O137">
        <v>278</v>
      </c>
      <c r="P137">
        <v>1</v>
      </c>
      <c r="Q137">
        <v>4</v>
      </c>
      <c r="R137">
        <v>2024</v>
      </c>
      <c r="S137">
        <v>2</v>
      </c>
      <c r="T137" s="8" t="s">
        <v>90</v>
      </c>
      <c r="U137">
        <v>0</v>
      </c>
      <c r="V137">
        <v>1</v>
      </c>
      <c r="W137">
        <v>2</v>
      </c>
      <c r="X137">
        <v>1</v>
      </c>
      <c r="Y137">
        <v>0</v>
      </c>
      <c r="Z137">
        <v>1</v>
      </c>
    </row>
    <row r="138" spans="1:26" x14ac:dyDescent="0.25">
      <c r="A138" s="1">
        <v>45450.28193287037</v>
      </c>
      <c r="B138" s="8" t="s">
        <v>33</v>
      </c>
      <c r="C138">
        <v>-6.2310999999999996</v>
      </c>
      <c r="D138">
        <v>173.62639999999999</v>
      </c>
      <c r="E138">
        <v>402</v>
      </c>
      <c r="F138" s="8" t="s">
        <v>26</v>
      </c>
      <c r="G138">
        <v>27</v>
      </c>
      <c r="H138">
        <v>74.2</v>
      </c>
      <c r="I138" s="8" t="s">
        <v>22</v>
      </c>
      <c r="J138">
        <v>17</v>
      </c>
      <c r="K138">
        <v>155</v>
      </c>
      <c r="L138">
        <v>10</v>
      </c>
      <c r="M138" s="8" t="s">
        <v>27</v>
      </c>
      <c r="N138">
        <v>73.400000000000006</v>
      </c>
      <c r="O138">
        <v>281</v>
      </c>
      <c r="P138">
        <v>1</v>
      </c>
      <c r="Q138">
        <v>6</v>
      </c>
      <c r="R138">
        <v>2024</v>
      </c>
      <c r="S138">
        <v>5</v>
      </c>
      <c r="T138" s="8" t="s">
        <v>92</v>
      </c>
      <c r="U138">
        <v>1</v>
      </c>
      <c r="V138">
        <v>1</v>
      </c>
      <c r="W138">
        <v>2</v>
      </c>
      <c r="X138">
        <v>1</v>
      </c>
      <c r="Y138">
        <v>0</v>
      </c>
      <c r="Z138">
        <v>0</v>
      </c>
    </row>
    <row r="139" spans="1:26" x14ac:dyDescent="0.25">
      <c r="A139" s="1">
        <v>45620.201053240744</v>
      </c>
      <c r="B139" s="8" t="s">
        <v>29</v>
      </c>
      <c r="C139">
        <v>-78.109399999999994</v>
      </c>
      <c r="D139">
        <v>-52.543500000000002</v>
      </c>
      <c r="E139">
        <v>331</v>
      </c>
      <c r="F139" s="8" t="s">
        <v>26</v>
      </c>
      <c r="G139">
        <v>20.399999999999999</v>
      </c>
      <c r="H139">
        <v>66.099999999999994</v>
      </c>
      <c r="I139" s="8" t="s">
        <v>22</v>
      </c>
      <c r="J139">
        <v>25</v>
      </c>
      <c r="K139">
        <v>261</v>
      </c>
      <c r="L139">
        <v>6</v>
      </c>
      <c r="M139" s="8" t="s">
        <v>31</v>
      </c>
      <c r="N139">
        <v>77.7</v>
      </c>
      <c r="O139">
        <v>264</v>
      </c>
      <c r="P139">
        <v>1</v>
      </c>
      <c r="Q139">
        <v>11</v>
      </c>
      <c r="R139">
        <v>2024</v>
      </c>
      <c r="S139">
        <v>0</v>
      </c>
      <c r="T139" s="8" t="s">
        <v>91</v>
      </c>
      <c r="U139">
        <v>0</v>
      </c>
      <c r="V139">
        <v>1</v>
      </c>
      <c r="W139">
        <v>2</v>
      </c>
      <c r="X139">
        <v>1</v>
      </c>
      <c r="Y139">
        <v>0</v>
      </c>
      <c r="Z139">
        <v>0</v>
      </c>
    </row>
    <row r="140" spans="1:26" x14ac:dyDescent="0.25">
      <c r="A140" s="1">
        <v>45502.039004629631</v>
      </c>
      <c r="B140" s="8" t="s">
        <v>34</v>
      </c>
      <c r="C140">
        <v>-70.364500000000007</v>
      </c>
      <c r="D140">
        <v>-128.8622</v>
      </c>
      <c r="E140">
        <v>167</v>
      </c>
      <c r="F140" s="8" t="s">
        <v>26</v>
      </c>
      <c r="G140">
        <v>25.6</v>
      </c>
      <c r="H140">
        <v>62.5</v>
      </c>
      <c r="I140" s="8" t="s">
        <v>18</v>
      </c>
      <c r="J140">
        <v>40</v>
      </c>
      <c r="K140">
        <v>246</v>
      </c>
      <c r="L140">
        <v>9</v>
      </c>
      <c r="M140" s="8" t="s">
        <v>27</v>
      </c>
      <c r="N140">
        <v>63.8</v>
      </c>
      <c r="O140">
        <v>126</v>
      </c>
      <c r="P140">
        <v>0</v>
      </c>
      <c r="Q140">
        <v>7</v>
      </c>
      <c r="R140">
        <v>2024</v>
      </c>
      <c r="S140">
        <v>1</v>
      </c>
      <c r="T140" s="8" t="s">
        <v>92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</row>
    <row r="141" spans="1:26" x14ac:dyDescent="0.25">
      <c r="A141" s="1">
        <v>45444.833518518521</v>
      </c>
      <c r="B141" s="8" t="s">
        <v>29</v>
      </c>
      <c r="C141">
        <v>18.118300000000001</v>
      </c>
      <c r="D141">
        <v>116.4939</v>
      </c>
      <c r="E141">
        <v>187</v>
      </c>
      <c r="F141" s="8" t="s">
        <v>17</v>
      </c>
      <c r="G141">
        <v>23.3</v>
      </c>
      <c r="H141">
        <v>71.7</v>
      </c>
      <c r="I141" s="8" t="s">
        <v>22</v>
      </c>
      <c r="J141">
        <v>10</v>
      </c>
      <c r="K141">
        <v>209</v>
      </c>
      <c r="L141">
        <v>10</v>
      </c>
      <c r="M141" s="8" t="s">
        <v>27</v>
      </c>
      <c r="N141">
        <v>97.2</v>
      </c>
      <c r="O141">
        <v>151</v>
      </c>
      <c r="P141">
        <v>1</v>
      </c>
      <c r="Q141">
        <v>6</v>
      </c>
      <c r="R141">
        <v>2024</v>
      </c>
      <c r="S141">
        <v>6</v>
      </c>
      <c r="T141" s="8" t="s">
        <v>92</v>
      </c>
      <c r="U141">
        <v>1</v>
      </c>
      <c r="V141">
        <v>2</v>
      </c>
      <c r="W141">
        <v>2</v>
      </c>
      <c r="X141">
        <v>1</v>
      </c>
      <c r="Y141">
        <v>0</v>
      </c>
      <c r="Z141">
        <v>0</v>
      </c>
    </row>
    <row r="142" spans="1:26" x14ac:dyDescent="0.25">
      <c r="A142" s="1">
        <v>45491.513425925928</v>
      </c>
      <c r="B142" s="8" t="s">
        <v>24</v>
      </c>
      <c r="C142">
        <v>20.296900000000001</v>
      </c>
      <c r="D142">
        <v>124.1885</v>
      </c>
      <c r="E142">
        <v>298</v>
      </c>
      <c r="F142" s="8" t="s">
        <v>21</v>
      </c>
      <c r="G142">
        <v>18.600000000000001</v>
      </c>
      <c r="H142">
        <v>74.400000000000006</v>
      </c>
      <c r="I142" s="8" t="s">
        <v>18</v>
      </c>
      <c r="J142">
        <v>41</v>
      </c>
      <c r="K142">
        <v>248</v>
      </c>
      <c r="L142">
        <v>1</v>
      </c>
      <c r="M142" s="8" t="s">
        <v>19</v>
      </c>
      <c r="N142">
        <v>86.3</v>
      </c>
      <c r="O142">
        <v>283</v>
      </c>
      <c r="P142">
        <v>0</v>
      </c>
      <c r="Q142">
        <v>7</v>
      </c>
      <c r="R142">
        <v>2024</v>
      </c>
      <c r="S142">
        <v>4</v>
      </c>
      <c r="T142" s="8" t="s">
        <v>92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</row>
    <row r="143" spans="1:26" x14ac:dyDescent="0.25">
      <c r="A143" s="1">
        <v>45642.492060185185</v>
      </c>
      <c r="B143" s="8" t="s">
        <v>20</v>
      </c>
      <c r="C143">
        <v>-27.738700000000001</v>
      </c>
      <c r="D143">
        <v>19.6189</v>
      </c>
      <c r="E143">
        <v>331</v>
      </c>
      <c r="F143" s="8" t="s">
        <v>17</v>
      </c>
      <c r="G143">
        <v>21.4</v>
      </c>
      <c r="H143">
        <v>62.9</v>
      </c>
      <c r="I143" s="8" t="s">
        <v>18</v>
      </c>
      <c r="J143">
        <v>46</v>
      </c>
      <c r="K143">
        <v>235</v>
      </c>
      <c r="L143">
        <v>8</v>
      </c>
      <c r="M143" s="8" t="s">
        <v>31</v>
      </c>
      <c r="N143">
        <v>62.6</v>
      </c>
      <c r="O143">
        <v>298</v>
      </c>
      <c r="P143">
        <v>1</v>
      </c>
      <c r="Q143">
        <v>12</v>
      </c>
      <c r="R143">
        <v>2024</v>
      </c>
      <c r="S143">
        <v>1</v>
      </c>
      <c r="T143" s="8" t="s">
        <v>93</v>
      </c>
      <c r="U143">
        <v>0</v>
      </c>
      <c r="V143">
        <v>2</v>
      </c>
      <c r="W143">
        <v>1</v>
      </c>
      <c r="X143">
        <v>0</v>
      </c>
      <c r="Y143">
        <v>0</v>
      </c>
      <c r="Z143">
        <v>1</v>
      </c>
    </row>
    <row r="144" spans="1:26" x14ac:dyDescent="0.25">
      <c r="A144" s="1">
        <v>45397.94258101852</v>
      </c>
      <c r="B144" s="8" t="s">
        <v>30</v>
      </c>
      <c r="C144">
        <v>-31.1328</v>
      </c>
      <c r="D144">
        <v>175.84530000000001</v>
      </c>
      <c r="E144">
        <v>180</v>
      </c>
      <c r="F144" s="8" t="s">
        <v>26</v>
      </c>
      <c r="G144">
        <v>27.2</v>
      </c>
      <c r="H144">
        <v>52.9</v>
      </c>
      <c r="I144" s="8" t="s">
        <v>28</v>
      </c>
      <c r="J144">
        <v>29</v>
      </c>
      <c r="K144">
        <v>390</v>
      </c>
      <c r="L144">
        <v>8</v>
      </c>
      <c r="M144" s="8" t="s">
        <v>31</v>
      </c>
      <c r="N144">
        <v>68.400000000000006</v>
      </c>
      <c r="O144">
        <v>110</v>
      </c>
      <c r="P144">
        <v>0</v>
      </c>
      <c r="Q144">
        <v>4</v>
      </c>
      <c r="R144">
        <v>2024</v>
      </c>
      <c r="S144">
        <v>1</v>
      </c>
      <c r="T144" s="8" t="s">
        <v>90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</row>
    <row r="145" spans="1:26" x14ac:dyDescent="0.25">
      <c r="A145" s="1">
        <v>45387.437002314815</v>
      </c>
      <c r="B145" s="8" t="s">
        <v>24</v>
      </c>
      <c r="C145">
        <v>24.8353</v>
      </c>
      <c r="D145">
        <v>-83.717299999999994</v>
      </c>
      <c r="E145">
        <v>282</v>
      </c>
      <c r="F145" s="8" t="s">
        <v>21</v>
      </c>
      <c r="G145">
        <v>19.399999999999999</v>
      </c>
      <c r="H145">
        <v>71.900000000000006</v>
      </c>
      <c r="I145" s="8" t="s">
        <v>28</v>
      </c>
      <c r="J145">
        <v>43</v>
      </c>
      <c r="K145">
        <v>464</v>
      </c>
      <c r="L145">
        <v>10</v>
      </c>
      <c r="M145" s="8" t="s">
        <v>27</v>
      </c>
      <c r="N145">
        <v>90</v>
      </c>
      <c r="O145">
        <v>107</v>
      </c>
      <c r="P145">
        <v>0</v>
      </c>
      <c r="Q145">
        <v>4</v>
      </c>
      <c r="R145">
        <v>2024</v>
      </c>
      <c r="S145">
        <v>5</v>
      </c>
      <c r="T145" s="8" t="s">
        <v>90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5">
      <c r="A146" s="1">
        <v>45646.518275462964</v>
      </c>
      <c r="B146" s="8" t="s">
        <v>29</v>
      </c>
      <c r="C146">
        <v>-32.723999999999997</v>
      </c>
      <c r="D146">
        <v>82.957700000000003</v>
      </c>
      <c r="E146">
        <v>363</v>
      </c>
      <c r="F146" s="8" t="s">
        <v>17</v>
      </c>
      <c r="G146">
        <v>27</v>
      </c>
      <c r="H146">
        <v>70.900000000000006</v>
      </c>
      <c r="I146" s="8" t="s">
        <v>18</v>
      </c>
      <c r="J146">
        <v>52</v>
      </c>
      <c r="K146">
        <v>482</v>
      </c>
      <c r="L146">
        <v>6</v>
      </c>
      <c r="M146" s="8" t="s">
        <v>23</v>
      </c>
      <c r="N146">
        <v>62.9</v>
      </c>
      <c r="O146">
        <v>248</v>
      </c>
      <c r="P146">
        <v>1</v>
      </c>
      <c r="Q146">
        <v>12</v>
      </c>
      <c r="R146">
        <v>2024</v>
      </c>
      <c r="S146">
        <v>5</v>
      </c>
      <c r="T146" s="8" t="s">
        <v>93</v>
      </c>
      <c r="U146">
        <v>1</v>
      </c>
      <c r="V146">
        <v>2</v>
      </c>
      <c r="W146">
        <v>1</v>
      </c>
      <c r="X146">
        <v>0</v>
      </c>
      <c r="Y146">
        <v>0</v>
      </c>
      <c r="Z146">
        <v>1</v>
      </c>
    </row>
    <row r="147" spans="1:26" x14ac:dyDescent="0.25">
      <c r="A147" s="1">
        <v>45475.130173611113</v>
      </c>
      <c r="B147" s="8" t="s">
        <v>33</v>
      </c>
      <c r="C147">
        <v>72.122</v>
      </c>
      <c r="D147">
        <v>89.972800000000007</v>
      </c>
      <c r="E147">
        <v>212</v>
      </c>
      <c r="F147" s="8" t="s">
        <v>26</v>
      </c>
      <c r="G147">
        <v>25.9</v>
      </c>
      <c r="H147">
        <v>68</v>
      </c>
      <c r="I147" s="8" t="s">
        <v>22</v>
      </c>
      <c r="J147">
        <v>32</v>
      </c>
      <c r="K147">
        <v>312</v>
      </c>
      <c r="L147">
        <v>6</v>
      </c>
      <c r="M147" s="8" t="s">
        <v>31</v>
      </c>
      <c r="N147">
        <v>87.6</v>
      </c>
      <c r="O147">
        <v>296</v>
      </c>
      <c r="P147">
        <v>1</v>
      </c>
      <c r="Q147">
        <v>7</v>
      </c>
      <c r="R147">
        <v>2024</v>
      </c>
      <c r="S147">
        <v>2</v>
      </c>
      <c r="T147" s="8" t="s">
        <v>92</v>
      </c>
      <c r="U147">
        <v>0</v>
      </c>
      <c r="V147">
        <v>1</v>
      </c>
      <c r="W147">
        <v>2</v>
      </c>
      <c r="X147">
        <v>1</v>
      </c>
      <c r="Y147">
        <v>0</v>
      </c>
      <c r="Z147">
        <v>0</v>
      </c>
    </row>
    <row r="148" spans="1:26" x14ac:dyDescent="0.25">
      <c r="A148" s="1">
        <v>45319.196793981479</v>
      </c>
      <c r="B148" s="8" t="s">
        <v>35</v>
      </c>
      <c r="C148">
        <v>-7.6360000000000001</v>
      </c>
      <c r="D148">
        <v>51.061500000000002</v>
      </c>
      <c r="E148">
        <v>317</v>
      </c>
      <c r="F148" s="8" t="s">
        <v>21</v>
      </c>
      <c r="G148">
        <v>23.9</v>
      </c>
      <c r="H148">
        <v>69.5</v>
      </c>
      <c r="I148" s="8" t="s">
        <v>28</v>
      </c>
      <c r="J148">
        <v>59</v>
      </c>
      <c r="K148">
        <v>447</v>
      </c>
      <c r="L148">
        <v>1</v>
      </c>
      <c r="M148" s="8" t="s">
        <v>23</v>
      </c>
      <c r="N148">
        <v>97.1</v>
      </c>
      <c r="O148">
        <v>294</v>
      </c>
      <c r="P148">
        <v>0</v>
      </c>
      <c r="Q148">
        <v>1</v>
      </c>
      <c r="R148">
        <v>2024</v>
      </c>
      <c r="S148">
        <v>0</v>
      </c>
      <c r="T148" s="8" t="s">
        <v>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 x14ac:dyDescent="0.25">
      <c r="A149" s="1">
        <v>45305.860578703701</v>
      </c>
      <c r="B149" s="8" t="s">
        <v>30</v>
      </c>
      <c r="C149">
        <v>-24.011800000000001</v>
      </c>
      <c r="D149">
        <v>111.4726</v>
      </c>
      <c r="E149">
        <v>240</v>
      </c>
      <c r="F149" s="8" t="s">
        <v>26</v>
      </c>
      <c r="G149">
        <v>18.8</v>
      </c>
      <c r="H149">
        <v>63.9</v>
      </c>
      <c r="I149" s="8" t="s">
        <v>18</v>
      </c>
      <c r="J149">
        <v>23</v>
      </c>
      <c r="K149">
        <v>462</v>
      </c>
      <c r="L149">
        <v>1</v>
      </c>
      <c r="M149" s="8" t="s">
        <v>19</v>
      </c>
      <c r="N149">
        <v>61.2</v>
      </c>
      <c r="O149">
        <v>276</v>
      </c>
      <c r="P149">
        <v>0</v>
      </c>
      <c r="Q149">
        <v>1</v>
      </c>
      <c r="R149">
        <v>2024</v>
      </c>
      <c r="S149">
        <v>0</v>
      </c>
      <c r="T149" s="8" t="s">
        <v>93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</row>
    <row r="150" spans="1:26" x14ac:dyDescent="0.25">
      <c r="A150" s="1">
        <v>45510.482685185183</v>
      </c>
      <c r="B150" s="8" t="s">
        <v>24</v>
      </c>
      <c r="C150">
        <v>77.004199999999997</v>
      </c>
      <c r="D150">
        <v>-12.2919</v>
      </c>
      <c r="E150">
        <v>427</v>
      </c>
      <c r="F150" s="8" t="s">
        <v>17</v>
      </c>
      <c r="G150">
        <v>20.3</v>
      </c>
      <c r="H150">
        <v>57.3</v>
      </c>
      <c r="I150" s="8" t="s">
        <v>22</v>
      </c>
      <c r="J150">
        <v>18</v>
      </c>
      <c r="K150">
        <v>341</v>
      </c>
      <c r="L150">
        <v>3</v>
      </c>
      <c r="M150" s="8" t="s">
        <v>23</v>
      </c>
      <c r="N150">
        <v>85.7</v>
      </c>
      <c r="O150">
        <v>189</v>
      </c>
      <c r="P150">
        <v>1</v>
      </c>
      <c r="Q150">
        <v>8</v>
      </c>
      <c r="R150">
        <v>2024</v>
      </c>
      <c r="S150">
        <v>2</v>
      </c>
      <c r="T150" s="8" t="s">
        <v>92</v>
      </c>
      <c r="U150">
        <v>0</v>
      </c>
      <c r="V150">
        <v>2</v>
      </c>
      <c r="W150">
        <v>2</v>
      </c>
      <c r="X150">
        <v>1</v>
      </c>
      <c r="Y150">
        <v>0</v>
      </c>
      <c r="Z150">
        <v>0</v>
      </c>
    </row>
    <row r="151" spans="1:26" x14ac:dyDescent="0.25">
      <c r="A151" s="1">
        <v>45634.048877314817</v>
      </c>
      <c r="B151" s="8" t="s">
        <v>24</v>
      </c>
      <c r="C151">
        <v>-38.686700000000002</v>
      </c>
      <c r="D151">
        <v>-19.9939</v>
      </c>
      <c r="E151">
        <v>144</v>
      </c>
      <c r="F151" s="8" t="s">
        <v>17</v>
      </c>
      <c r="G151">
        <v>18.2</v>
      </c>
      <c r="H151">
        <v>53.1</v>
      </c>
      <c r="I151" s="8" t="s">
        <v>28</v>
      </c>
      <c r="J151">
        <v>16</v>
      </c>
      <c r="K151">
        <v>106</v>
      </c>
      <c r="L151">
        <v>5</v>
      </c>
      <c r="M151" s="8" t="s">
        <v>23</v>
      </c>
      <c r="N151">
        <v>69.400000000000006</v>
      </c>
      <c r="O151">
        <v>214</v>
      </c>
      <c r="P151">
        <v>1</v>
      </c>
      <c r="Q151">
        <v>12</v>
      </c>
      <c r="R151">
        <v>2024</v>
      </c>
      <c r="S151">
        <v>0</v>
      </c>
      <c r="T151" s="8" t="s">
        <v>93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</row>
    <row r="152" spans="1:26" x14ac:dyDescent="0.25">
      <c r="A152" s="1">
        <v>45349.077766203707</v>
      </c>
      <c r="B152" s="8" t="s">
        <v>32</v>
      </c>
      <c r="C152">
        <v>41.375</v>
      </c>
      <c r="D152">
        <v>77.294899999999998</v>
      </c>
      <c r="E152">
        <v>280</v>
      </c>
      <c r="F152" s="8" t="s">
        <v>21</v>
      </c>
      <c r="G152">
        <v>25.5</v>
      </c>
      <c r="H152">
        <v>74.2</v>
      </c>
      <c r="I152" s="8" t="s">
        <v>28</v>
      </c>
      <c r="J152">
        <v>46</v>
      </c>
      <c r="K152">
        <v>447</v>
      </c>
      <c r="L152">
        <v>2</v>
      </c>
      <c r="M152" s="8" t="s">
        <v>27</v>
      </c>
      <c r="N152">
        <v>65.3</v>
      </c>
      <c r="O152">
        <v>236</v>
      </c>
      <c r="P152">
        <v>0</v>
      </c>
      <c r="Q152">
        <v>2</v>
      </c>
      <c r="R152">
        <v>2024</v>
      </c>
      <c r="S152">
        <v>2</v>
      </c>
      <c r="T152" s="8" t="s">
        <v>93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 x14ac:dyDescent="0.25">
      <c r="A153" s="1">
        <v>45336.894803240742</v>
      </c>
      <c r="B153" s="8" t="s">
        <v>30</v>
      </c>
      <c r="C153">
        <v>-68.465100000000007</v>
      </c>
      <c r="D153">
        <v>179.44329999999999</v>
      </c>
      <c r="E153">
        <v>182</v>
      </c>
      <c r="F153" s="8" t="s">
        <v>17</v>
      </c>
      <c r="G153">
        <v>20.3</v>
      </c>
      <c r="H153">
        <v>59.8</v>
      </c>
      <c r="I153" s="8" t="s">
        <v>18</v>
      </c>
      <c r="J153">
        <v>30</v>
      </c>
      <c r="K153">
        <v>288</v>
      </c>
      <c r="L153">
        <v>7</v>
      </c>
      <c r="M153" s="8" t="s">
        <v>19</v>
      </c>
      <c r="N153">
        <v>83.3</v>
      </c>
      <c r="O153">
        <v>107</v>
      </c>
      <c r="P153">
        <v>1</v>
      </c>
      <c r="Q153">
        <v>2</v>
      </c>
      <c r="R153">
        <v>2024</v>
      </c>
      <c r="S153">
        <v>3</v>
      </c>
      <c r="T153" s="8" t="s">
        <v>93</v>
      </c>
      <c r="U153">
        <v>0</v>
      </c>
      <c r="V153">
        <v>2</v>
      </c>
      <c r="W153">
        <v>1</v>
      </c>
      <c r="X153">
        <v>0</v>
      </c>
      <c r="Y153">
        <v>0</v>
      </c>
      <c r="Z153">
        <v>0</v>
      </c>
    </row>
    <row r="154" spans="1:26" x14ac:dyDescent="0.25">
      <c r="A154" s="1">
        <v>45372.491956018515</v>
      </c>
      <c r="B154" s="8" t="s">
        <v>33</v>
      </c>
      <c r="C154">
        <v>-13.0063</v>
      </c>
      <c r="D154">
        <v>0.53449999999999998</v>
      </c>
      <c r="E154">
        <v>439</v>
      </c>
      <c r="F154" s="8" t="s">
        <v>17</v>
      </c>
      <c r="G154">
        <v>21.5</v>
      </c>
      <c r="H154">
        <v>72.8</v>
      </c>
      <c r="I154" s="8" t="s">
        <v>22</v>
      </c>
      <c r="J154">
        <v>30</v>
      </c>
      <c r="K154">
        <v>101</v>
      </c>
      <c r="L154">
        <v>10</v>
      </c>
      <c r="M154" s="8" t="s">
        <v>31</v>
      </c>
      <c r="N154">
        <v>90.4</v>
      </c>
      <c r="O154">
        <v>114</v>
      </c>
      <c r="P154">
        <v>1</v>
      </c>
      <c r="Q154">
        <v>3</v>
      </c>
      <c r="R154">
        <v>2024</v>
      </c>
      <c r="S154">
        <v>4</v>
      </c>
      <c r="T154" s="8" t="s">
        <v>90</v>
      </c>
      <c r="U154">
        <v>0</v>
      </c>
      <c r="V154">
        <v>2</v>
      </c>
      <c r="W154">
        <v>2</v>
      </c>
      <c r="X154">
        <v>1</v>
      </c>
      <c r="Y154">
        <v>0</v>
      </c>
      <c r="Z154">
        <v>0</v>
      </c>
    </row>
    <row r="155" spans="1:26" x14ac:dyDescent="0.25">
      <c r="A155" s="1">
        <v>45581.955706018518</v>
      </c>
      <c r="B155" s="8" t="s">
        <v>30</v>
      </c>
      <c r="C155">
        <v>41.306600000000003</v>
      </c>
      <c r="D155">
        <v>161.14619999999999</v>
      </c>
      <c r="E155">
        <v>174</v>
      </c>
      <c r="F155" s="8" t="s">
        <v>17</v>
      </c>
      <c r="G155">
        <v>27.2</v>
      </c>
      <c r="H155">
        <v>77.900000000000006</v>
      </c>
      <c r="I155" s="8" t="s">
        <v>22</v>
      </c>
      <c r="J155">
        <v>39</v>
      </c>
      <c r="K155">
        <v>173</v>
      </c>
      <c r="L155">
        <v>5</v>
      </c>
      <c r="M155" s="8" t="s">
        <v>31</v>
      </c>
      <c r="N155">
        <v>91.1</v>
      </c>
      <c r="O155">
        <v>262</v>
      </c>
      <c r="P155">
        <v>1</v>
      </c>
      <c r="Q155">
        <v>10</v>
      </c>
      <c r="R155">
        <v>2024</v>
      </c>
      <c r="S155">
        <v>3</v>
      </c>
      <c r="T155" s="8" t="s">
        <v>91</v>
      </c>
      <c r="U155">
        <v>0</v>
      </c>
      <c r="V155">
        <v>2</v>
      </c>
      <c r="W155">
        <v>2</v>
      </c>
      <c r="X155">
        <v>1</v>
      </c>
      <c r="Y155">
        <v>1</v>
      </c>
      <c r="Z155">
        <v>0</v>
      </c>
    </row>
    <row r="156" spans="1:26" x14ac:dyDescent="0.25">
      <c r="A156" s="1">
        <v>45343.972696759258</v>
      </c>
      <c r="B156" s="8" t="s">
        <v>20</v>
      </c>
      <c r="C156">
        <v>-23.101099999999999</v>
      </c>
      <c r="D156">
        <v>-54.517600000000002</v>
      </c>
      <c r="E156">
        <v>186</v>
      </c>
      <c r="F156" s="8" t="s">
        <v>17</v>
      </c>
      <c r="G156">
        <v>24</v>
      </c>
      <c r="H156">
        <v>67.3</v>
      </c>
      <c r="I156" s="8" t="s">
        <v>18</v>
      </c>
      <c r="J156">
        <v>44</v>
      </c>
      <c r="K156">
        <v>352</v>
      </c>
      <c r="L156">
        <v>9</v>
      </c>
      <c r="M156" s="8" t="s">
        <v>19</v>
      </c>
      <c r="N156">
        <v>85.7</v>
      </c>
      <c r="O156">
        <v>262</v>
      </c>
      <c r="P156">
        <v>1</v>
      </c>
      <c r="Q156">
        <v>2</v>
      </c>
      <c r="R156">
        <v>2024</v>
      </c>
      <c r="S156">
        <v>3</v>
      </c>
      <c r="T156" s="8" t="s">
        <v>93</v>
      </c>
      <c r="U156">
        <v>0</v>
      </c>
      <c r="V156">
        <v>2</v>
      </c>
      <c r="W156">
        <v>1</v>
      </c>
      <c r="X156">
        <v>0</v>
      </c>
      <c r="Y156">
        <v>0</v>
      </c>
      <c r="Z156">
        <v>0</v>
      </c>
    </row>
    <row r="157" spans="1:26" x14ac:dyDescent="0.25">
      <c r="A157" s="1">
        <v>45559.928587962961</v>
      </c>
      <c r="B157" s="8" t="s">
        <v>24</v>
      </c>
      <c r="C157">
        <v>-17.608799999999999</v>
      </c>
      <c r="D157">
        <v>-41.430399999999999</v>
      </c>
      <c r="E157">
        <v>109</v>
      </c>
      <c r="F157" s="8" t="s">
        <v>26</v>
      </c>
      <c r="G157">
        <v>26.9</v>
      </c>
      <c r="H157">
        <v>75.3</v>
      </c>
      <c r="I157" s="8" t="s">
        <v>18</v>
      </c>
      <c r="J157">
        <v>26</v>
      </c>
      <c r="K157">
        <v>314</v>
      </c>
      <c r="L157">
        <v>7</v>
      </c>
      <c r="M157" s="8" t="s">
        <v>19</v>
      </c>
      <c r="N157">
        <v>93.3</v>
      </c>
      <c r="O157">
        <v>176</v>
      </c>
      <c r="P157">
        <v>0</v>
      </c>
      <c r="Q157">
        <v>9</v>
      </c>
      <c r="R157">
        <v>2024</v>
      </c>
      <c r="S157">
        <v>2</v>
      </c>
      <c r="T157" s="8" t="s">
        <v>91</v>
      </c>
      <c r="U157">
        <v>0</v>
      </c>
      <c r="V157">
        <v>1</v>
      </c>
      <c r="W157">
        <v>1</v>
      </c>
      <c r="X157">
        <v>0</v>
      </c>
      <c r="Y157">
        <v>1</v>
      </c>
      <c r="Z157">
        <v>0</v>
      </c>
    </row>
    <row r="158" spans="1:26" x14ac:dyDescent="0.25">
      <c r="A158" s="1">
        <v>45381.432060185187</v>
      </c>
      <c r="B158" s="8" t="s">
        <v>29</v>
      </c>
      <c r="C158">
        <v>-72.449200000000005</v>
      </c>
      <c r="D158">
        <v>131.85239999999999</v>
      </c>
      <c r="E158">
        <v>483</v>
      </c>
      <c r="F158" s="8" t="s">
        <v>21</v>
      </c>
      <c r="G158">
        <v>21.9</v>
      </c>
      <c r="H158">
        <v>71.900000000000006</v>
      </c>
      <c r="I158" s="8" t="s">
        <v>18</v>
      </c>
      <c r="J158">
        <v>59</v>
      </c>
      <c r="K158">
        <v>226</v>
      </c>
      <c r="L158">
        <v>10</v>
      </c>
      <c r="M158" s="8" t="s">
        <v>31</v>
      </c>
      <c r="N158">
        <v>69.2</v>
      </c>
      <c r="O158">
        <v>152</v>
      </c>
      <c r="P158">
        <v>0</v>
      </c>
      <c r="Q158">
        <v>3</v>
      </c>
      <c r="R158">
        <v>2024</v>
      </c>
      <c r="S158">
        <v>6</v>
      </c>
      <c r="T158" s="8" t="s">
        <v>90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</row>
    <row r="159" spans="1:26" x14ac:dyDescent="0.25">
      <c r="A159" s="1">
        <v>45641.317395833335</v>
      </c>
      <c r="B159" s="8" t="s">
        <v>30</v>
      </c>
      <c r="C159">
        <v>27.360099999999999</v>
      </c>
      <c r="D159">
        <v>-105.0457</v>
      </c>
      <c r="E159">
        <v>100</v>
      </c>
      <c r="F159" s="8" t="s">
        <v>17</v>
      </c>
      <c r="G159">
        <v>27.5</v>
      </c>
      <c r="H159">
        <v>68.599999999999994</v>
      </c>
      <c r="I159" s="8" t="s">
        <v>28</v>
      </c>
      <c r="J159">
        <v>49</v>
      </c>
      <c r="K159">
        <v>464</v>
      </c>
      <c r="L159">
        <v>3</v>
      </c>
      <c r="M159" s="8" t="s">
        <v>19</v>
      </c>
      <c r="N159">
        <v>61.7</v>
      </c>
      <c r="O159">
        <v>149</v>
      </c>
      <c r="P159">
        <v>1</v>
      </c>
      <c r="Q159">
        <v>12</v>
      </c>
      <c r="R159">
        <v>2024</v>
      </c>
      <c r="S159">
        <v>0</v>
      </c>
      <c r="T159" s="8" t="s">
        <v>93</v>
      </c>
      <c r="U159">
        <v>0</v>
      </c>
      <c r="V159">
        <v>2</v>
      </c>
      <c r="W159">
        <v>0</v>
      </c>
      <c r="X159">
        <v>0</v>
      </c>
      <c r="Y159">
        <v>0</v>
      </c>
      <c r="Z159">
        <v>1</v>
      </c>
    </row>
    <row r="160" spans="1:26" x14ac:dyDescent="0.25">
      <c r="A160" s="1">
        <v>45377.936990740738</v>
      </c>
      <c r="B160" s="8" t="s">
        <v>35</v>
      </c>
      <c r="C160">
        <v>-86.5291</v>
      </c>
      <c r="D160">
        <v>-36.578899999999997</v>
      </c>
      <c r="E160">
        <v>128</v>
      </c>
      <c r="F160" s="8" t="s">
        <v>26</v>
      </c>
      <c r="G160">
        <v>28.9</v>
      </c>
      <c r="H160">
        <v>63.7</v>
      </c>
      <c r="I160" s="8" t="s">
        <v>28</v>
      </c>
      <c r="J160">
        <v>56</v>
      </c>
      <c r="K160">
        <v>140</v>
      </c>
      <c r="L160">
        <v>1</v>
      </c>
      <c r="M160" s="8" t="s">
        <v>23</v>
      </c>
      <c r="N160">
        <v>72.8</v>
      </c>
      <c r="O160">
        <v>127</v>
      </c>
      <c r="P160">
        <v>0</v>
      </c>
      <c r="Q160">
        <v>3</v>
      </c>
      <c r="R160">
        <v>2024</v>
      </c>
      <c r="S160">
        <v>2</v>
      </c>
      <c r="T160" s="8" t="s">
        <v>90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1</v>
      </c>
    </row>
    <row r="161" spans="1:26" x14ac:dyDescent="0.25">
      <c r="A161" s="1">
        <v>45421.784409722219</v>
      </c>
      <c r="B161" s="8" t="s">
        <v>24</v>
      </c>
      <c r="C161">
        <v>10.207800000000001</v>
      </c>
      <c r="D161">
        <v>36.856999999999999</v>
      </c>
      <c r="E161">
        <v>100</v>
      </c>
      <c r="F161" s="8" t="s">
        <v>21</v>
      </c>
      <c r="G161">
        <v>21.9</v>
      </c>
      <c r="H161">
        <v>72.099999999999994</v>
      </c>
      <c r="I161" s="8" t="s">
        <v>18</v>
      </c>
      <c r="J161">
        <v>22</v>
      </c>
      <c r="K161">
        <v>413</v>
      </c>
      <c r="L161">
        <v>1</v>
      </c>
      <c r="M161" s="8" t="s">
        <v>23</v>
      </c>
      <c r="N161">
        <v>67.5</v>
      </c>
      <c r="O161">
        <v>145</v>
      </c>
      <c r="P161">
        <v>0</v>
      </c>
      <c r="Q161">
        <v>5</v>
      </c>
      <c r="R161">
        <v>2024</v>
      </c>
      <c r="S161">
        <v>4</v>
      </c>
      <c r="T161" s="8" t="s">
        <v>90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</row>
    <row r="162" spans="1:26" x14ac:dyDescent="0.25">
      <c r="A162" s="1">
        <v>45615.414594907408</v>
      </c>
      <c r="B162" s="8" t="s">
        <v>20</v>
      </c>
      <c r="C162">
        <v>-42.675899999999999</v>
      </c>
      <c r="D162">
        <v>-7.9817999999999998</v>
      </c>
      <c r="E162">
        <v>468</v>
      </c>
      <c r="F162" s="8" t="s">
        <v>17</v>
      </c>
      <c r="G162">
        <v>28.6</v>
      </c>
      <c r="H162">
        <v>65.099999999999994</v>
      </c>
      <c r="I162" s="8" t="s">
        <v>22</v>
      </c>
      <c r="J162">
        <v>45</v>
      </c>
      <c r="K162">
        <v>419</v>
      </c>
      <c r="L162">
        <v>8</v>
      </c>
      <c r="M162" s="8" t="s">
        <v>19</v>
      </c>
      <c r="N162">
        <v>76.099999999999994</v>
      </c>
      <c r="O162">
        <v>119</v>
      </c>
      <c r="P162">
        <v>1</v>
      </c>
      <c r="Q162">
        <v>11</v>
      </c>
      <c r="R162">
        <v>2024</v>
      </c>
      <c r="S162">
        <v>2</v>
      </c>
      <c r="T162" s="8" t="s">
        <v>91</v>
      </c>
      <c r="U162">
        <v>0</v>
      </c>
      <c r="V162">
        <v>2</v>
      </c>
      <c r="W162">
        <v>2</v>
      </c>
      <c r="X162">
        <v>1</v>
      </c>
      <c r="Y162">
        <v>0</v>
      </c>
      <c r="Z162">
        <v>0</v>
      </c>
    </row>
    <row r="163" spans="1:26" x14ac:dyDescent="0.25">
      <c r="A163" s="1">
        <v>45622.714687500003</v>
      </c>
      <c r="B163" s="8" t="s">
        <v>32</v>
      </c>
      <c r="C163">
        <v>36.249400000000001</v>
      </c>
      <c r="D163">
        <v>143.1951</v>
      </c>
      <c r="E163">
        <v>243</v>
      </c>
      <c r="F163" s="8" t="s">
        <v>21</v>
      </c>
      <c r="G163">
        <v>27.7</v>
      </c>
      <c r="H163">
        <v>74.8</v>
      </c>
      <c r="I163" s="8" t="s">
        <v>18</v>
      </c>
      <c r="J163">
        <v>28</v>
      </c>
      <c r="K163">
        <v>311</v>
      </c>
      <c r="L163">
        <v>9</v>
      </c>
      <c r="M163" s="8" t="s">
        <v>19</v>
      </c>
      <c r="N163">
        <v>97.5</v>
      </c>
      <c r="O163">
        <v>272</v>
      </c>
      <c r="P163">
        <v>0</v>
      </c>
      <c r="Q163">
        <v>11</v>
      </c>
      <c r="R163">
        <v>2024</v>
      </c>
      <c r="S163">
        <v>2</v>
      </c>
      <c r="T163" s="8" t="s">
        <v>91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</row>
    <row r="164" spans="1:26" x14ac:dyDescent="0.25">
      <c r="A164" s="1">
        <v>45402.412708333337</v>
      </c>
      <c r="B164" s="8" t="s">
        <v>30</v>
      </c>
      <c r="C164">
        <v>28.996400000000001</v>
      </c>
      <c r="D164">
        <v>151.6114</v>
      </c>
      <c r="E164">
        <v>134</v>
      </c>
      <c r="F164" s="8" t="s">
        <v>17</v>
      </c>
      <c r="G164">
        <v>29.2</v>
      </c>
      <c r="H164">
        <v>55.5</v>
      </c>
      <c r="I164" s="8" t="s">
        <v>18</v>
      </c>
      <c r="J164">
        <v>34</v>
      </c>
      <c r="K164">
        <v>189</v>
      </c>
      <c r="L164">
        <v>1</v>
      </c>
      <c r="M164" s="8" t="s">
        <v>23</v>
      </c>
      <c r="N164">
        <v>87.8</v>
      </c>
      <c r="O164">
        <v>270</v>
      </c>
      <c r="P164">
        <v>1</v>
      </c>
      <c r="Q164">
        <v>4</v>
      </c>
      <c r="R164">
        <v>2024</v>
      </c>
      <c r="S164">
        <v>6</v>
      </c>
      <c r="T164" s="8" t="s">
        <v>90</v>
      </c>
      <c r="U164">
        <v>1</v>
      </c>
      <c r="V164">
        <v>2</v>
      </c>
      <c r="W164">
        <v>1</v>
      </c>
      <c r="X164">
        <v>0</v>
      </c>
      <c r="Y164">
        <v>0</v>
      </c>
      <c r="Z164">
        <v>0</v>
      </c>
    </row>
    <row r="165" spans="1:26" x14ac:dyDescent="0.25">
      <c r="A165" s="1">
        <v>45448.805046296293</v>
      </c>
      <c r="B165" s="8" t="s">
        <v>33</v>
      </c>
      <c r="C165">
        <v>-22.1005</v>
      </c>
      <c r="D165">
        <v>-38.844900000000003</v>
      </c>
      <c r="E165">
        <v>484</v>
      </c>
      <c r="F165" s="8" t="s">
        <v>26</v>
      </c>
      <c r="G165">
        <v>29.1</v>
      </c>
      <c r="H165">
        <v>54.7</v>
      </c>
      <c r="I165" s="8" t="s">
        <v>18</v>
      </c>
      <c r="J165">
        <v>48</v>
      </c>
      <c r="K165">
        <v>320</v>
      </c>
      <c r="L165">
        <v>7</v>
      </c>
      <c r="M165" s="8" t="s">
        <v>23</v>
      </c>
      <c r="N165">
        <v>84.6</v>
      </c>
      <c r="O165">
        <v>118</v>
      </c>
      <c r="P165">
        <v>0</v>
      </c>
      <c r="Q165">
        <v>6</v>
      </c>
      <c r="R165">
        <v>2024</v>
      </c>
      <c r="S165">
        <v>3</v>
      </c>
      <c r="T165" s="8" t="s">
        <v>92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1</v>
      </c>
    </row>
    <row r="166" spans="1:26" x14ac:dyDescent="0.25">
      <c r="A166" s="1">
        <v>45481.185173611113</v>
      </c>
      <c r="B166" s="8" t="s">
        <v>20</v>
      </c>
      <c r="C166">
        <v>47.280299999999997</v>
      </c>
      <c r="D166">
        <v>32.135599999999997</v>
      </c>
      <c r="E166">
        <v>300</v>
      </c>
      <c r="F166" s="8" t="s">
        <v>26</v>
      </c>
      <c r="G166">
        <v>22.4</v>
      </c>
      <c r="H166">
        <v>54.3</v>
      </c>
      <c r="I166" s="8" t="s">
        <v>22</v>
      </c>
      <c r="J166">
        <v>23</v>
      </c>
      <c r="K166">
        <v>323</v>
      </c>
      <c r="L166">
        <v>5</v>
      </c>
      <c r="M166" s="8" t="s">
        <v>23</v>
      </c>
      <c r="N166">
        <v>65.5</v>
      </c>
      <c r="O166">
        <v>230</v>
      </c>
      <c r="P166">
        <v>1</v>
      </c>
      <c r="Q166">
        <v>7</v>
      </c>
      <c r="R166">
        <v>2024</v>
      </c>
      <c r="S166">
        <v>1</v>
      </c>
      <c r="T166" s="8" t="s">
        <v>92</v>
      </c>
      <c r="U166">
        <v>0</v>
      </c>
      <c r="V166">
        <v>1</v>
      </c>
      <c r="W166">
        <v>2</v>
      </c>
      <c r="X166">
        <v>1</v>
      </c>
      <c r="Y166">
        <v>0</v>
      </c>
      <c r="Z166">
        <v>0</v>
      </c>
    </row>
    <row r="167" spans="1:26" x14ac:dyDescent="0.25">
      <c r="A167" s="1">
        <v>45383.164363425924</v>
      </c>
      <c r="B167" s="8" t="s">
        <v>24</v>
      </c>
      <c r="C167">
        <v>-25.469200000000001</v>
      </c>
      <c r="D167">
        <v>-70.760300000000001</v>
      </c>
      <c r="E167">
        <v>396</v>
      </c>
      <c r="F167" s="8" t="s">
        <v>26</v>
      </c>
      <c r="G167">
        <v>21.9</v>
      </c>
      <c r="H167">
        <v>67.400000000000006</v>
      </c>
      <c r="I167" s="8" t="s">
        <v>18</v>
      </c>
      <c r="J167">
        <v>24</v>
      </c>
      <c r="K167">
        <v>238</v>
      </c>
      <c r="L167">
        <v>3</v>
      </c>
      <c r="M167" s="8" t="s">
        <v>23</v>
      </c>
      <c r="N167">
        <v>60.4</v>
      </c>
      <c r="O167">
        <v>117</v>
      </c>
      <c r="P167">
        <v>0</v>
      </c>
      <c r="Q167">
        <v>4</v>
      </c>
      <c r="R167">
        <v>2024</v>
      </c>
      <c r="S167">
        <v>1</v>
      </c>
      <c r="T167" s="8" t="s">
        <v>90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0</v>
      </c>
    </row>
    <row r="168" spans="1:26" x14ac:dyDescent="0.25">
      <c r="A168" s="1">
        <v>45333.203449074077</v>
      </c>
      <c r="B168" s="8" t="s">
        <v>29</v>
      </c>
      <c r="C168">
        <v>20.145099999999999</v>
      </c>
      <c r="D168">
        <v>158.74019999999999</v>
      </c>
      <c r="E168">
        <v>135</v>
      </c>
      <c r="F168" s="8" t="s">
        <v>26</v>
      </c>
      <c r="G168">
        <v>26.8</v>
      </c>
      <c r="H168">
        <v>79.099999999999994</v>
      </c>
      <c r="I168" s="8" t="s">
        <v>18</v>
      </c>
      <c r="J168">
        <v>57</v>
      </c>
      <c r="K168">
        <v>173</v>
      </c>
      <c r="L168">
        <v>7</v>
      </c>
      <c r="M168" s="8" t="s">
        <v>31</v>
      </c>
      <c r="N168">
        <v>81.3</v>
      </c>
      <c r="O168">
        <v>115</v>
      </c>
      <c r="P168">
        <v>0</v>
      </c>
      <c r="Q168">
        <v>2</v>
      </c>
      <c r="R168">
        <v>2024</v>
      </c>
      <c r="S168">
        <v>0</v>
      </c>
      <c r="T168" s="8" t="s">
        <v>93</v>
      </c>
      <c r="U168">
        <v>0</v>
      </c>
      <c r="V168">
        <v>1</v>
      </c>
      <c r="W168">
        <v>1</v>
      </c>
      <c r="X168">
        <v>0</v>
      </c>
      <c r="Y168">
        <v>1</v>
      </c>
      <c r="Z168">
        <v>1</v>
      </c>
    </row>
    <row r="169" spans="1:26" x14ac:dyDescent="0.25">
      <c r="A169" s="1">
        <v>45527.004074074073</v>
      </c>
      <c r="B169" s="8" t="s">
        <v>32</v>
      </c>
      <c r="C169">
        <v>-29.272600000000001</v>
      </c>
      <c r="D169">
        <v>149.63290000000001</v>
      </c>
      <c r="E169">
        <v>236</v>
      </c>
      <c r="F169" s="8" t="s">
        <v>26</v>
      </c>
      <c r="G169">
        <v>21.9</v>
      </c>
      <c r="H169">
        <v>51.9</v>
      </c>
      <c r="I169" s="8" t="s">
        <v>18</v>
      </c>
      <c r="J169">
        <v>21</v>
      </c>
      <c r="K169">
        <v>233</v>
      </c>
      <c r="L169">
        <v>6</v>
      </c>
      <c r="M169" s="8" t="s">
        <v>31</v>
      </c>
      <c r="N169">
        <v>72</v>
      </c>
      <c r="O169">
        <v>115</v>
      </c>
      <c r="P169">
        <v>0</v>
      </c>
      <c r="Q169">
        <v>8</v>
      </c>
      <c r="R169">
        <v>2024</v>
      </c>
      <c r="S169">
        <v>5</v>
      </c>
      <c r="T169" s="8" t="s">
        <v>92</v>
      </c>
      <c r="U169">
        <v>1</v>
      </c>
      <c r="V169">
        <v>1</v>
      </c>
      <c r="W169">
        <v>1</v>
      </c>
      <c r="X169">
        <v>0</v>
      </c>
      <c r="Y169">
        <v>0</v>
      </c>
      <c r="Z169">
        <v>0</v>
      </c>
    </row>
    <row r="170" spans="1:26" x14ac:dyDescent="0.25">
      <c r="A170" s="1">
        <v>45600.020370370374</v>
      </c>
      <c r="B170" s="8" t="s">
        <v>35</v>
      </c>
      <c r="C170">
        <v>-82.394199999999998</v>
      </c>
      <c r="D170">
        <v>179.9237</v>
      </c>
      <c r="E170">
        <v>294</v>
      </c>
      <c r="F170" s="8" t="s">
        <v>26</v>
      </c>
      <c r="G170">
        <v>27.6</v>
      </c>
      <c r="H170">
        <v>79.7</v>
      </c>
      <c r="I170" s="8" t="s">
        <v>22</v>
      </c>
      <c r="J170">
        <v>24</v>
      </c>
      <c r="K170">
        <v>181</v>
      </c>
      <c r="L170">
        <v>5</v>
      </c>
      <c r="M170" s="8" t="s">
        <v>23</v>
      </c>
      <c r="N170">
        <v>88.2</v>
      </c>
      <c r="O170">
        <v>191</v>
      </c>
      <c r="P170">
        <v>1</v>
      </c>
      <c r="Q170">
        <v>11</v>
      </c>
      <c r="R170">
        <v>2024</v>
      </c>
      <c r="S170">
        <v>1</v>
      </c>
      <c r="T170" s="8" t="s">
        <v>91</v>
      </c>
      <c r="U170">
        <v>0</v>
      </c>
      <c r="V170">
        <v>1</v>
      </c>
      <c r="W170">
        <v>2</v>
      </c>
      <c r="X170">
        <v>1</v>
      </c>
      <c r="Y170">
        <v>1</v>
      </c>
      <c r="Z170">
        <v>0</v>
      </c>
    </row>
    <row r="171" spans="1:26" x14ac:dyDescent="0.25">
      <c r="A171" s="1">
        <v>45416.808680555558</v>
      </c>
      <c r="B171" s="8" t="s">
        <v>29</v>
      </c>
      <c r="C171">
        <v>37.3932</v>
      </c>
      <c r="D171">
        <v>53.447000000000003</v>
      </c>
      <c r="E171">
        <v>209</v>
      </c>
      <c r="F171" s="8" t="s">
        <v>17</v>
      </c>
      <c r="G171">
        <v>29.4</v>
      </c>
      <c r="H171">
        <v>57.8</v>
      </c>
      <c r="I171" s="8" t="s">
        <v>18</v>
      </c>
      <c r="J171">
        <v>34</v>
      </c>
      <c r="K171">
        <v>319</v>
      </c>
      <c r="L171">
        <v>4</v>
      </c>
      <c r="M171" s="8" t="s">
        <v>31</v>
      </c>
      <c r="N171">
        <v>85</v>
      </c>
      <c r="O171">
        <v>208</v>
      </c>
      <c r="P171">
        <v>1</v>
      </c>
      <c r="Q171">
        <v>5</v>
      </c>
      <c r="R171">
        <v>2024</v>
      </c>
      <c r="S171">
        <v>6</v>
      </c>
      <c r="T171" s="8" t="s">
        <v>90</v>
      </c>
      <c r="U171">
        <v>1</v>
      </c>
      <c r="V171">
        <v>2</v>
      </c>
      <c r="W171">
        <v>1</v>
      </c>
      <c r="X171">
        <v>0</v>
      </c>
      <c r="Y171">
        <v>0</v>
      </c>
      <c r="Z171">
        <v>0</v>
      </c>
    </row>
    <row r="172" spans="1:26" x14ac:dyDescent="0.25">
      <c r="A172" s="1">
        <v>45609.18</v>
      </c>
      <c r="B172" s="8" t="s">
        <v>29</v>
      </c>
      <c r="C172">
        <v>-3.4094000000000002</v>
      </c>
      <c r="D172">
        <v>-85.877399999999994</v>
      </c>
      <c r="E172">
        <v>378</v>
      </c>
      <c r="F172" s="8" t="s">
        <v>17</v>
      </c>
      <c r="G172">
        <v>28.2</v>
      </c>
      <c r="H172">
        <v>70.2</v>
      </c>
      <c r="I172" s="8" t="s">
        <v>28</v>
      </c>
      <c r="J172">
        <v>60</v>
      </c>
      <c r="K172">
        <v>490</v>
      </c>
      <c r="L172">
        <v>9</v>
      </c>
      <c r="M172" s="8" t="s">
        <v>27</v>
      </c>
      <c r="N172">
        <v>66.8</v>
      </c>
      <c r="O172">
        <v>166</v>
      </c>
      <c r="P172">
        <v>1</v>
      </c>
      <c r="Q172">
        <v>11</v>
      </c>
      <c r="R172">
        <v>2024</v>
      </c>
      <c r="S172">
        <v>3</v>
      </c>
      <c r="T172" s="8" t="s">
        <v>91</v>
      </c>
      <c r="U172">
        <v>0</v>
      </c>
      <c r="V172">
        <v>2</v>
      </c>
      <c r="W172">
        <v>0</v>
      </c>
      <c r="X172">
        <v>0</v>
      </c>
      <c r="Y172">
        <v>0</v>
      </c>
      <c r="Z172">
        <v>1</v>
      </c>
    </row>
    <row r="173" spans="1:26" x14ac:dyDescent="0.25">
      <c r="A173" s="1">
        <v>45335.803680555553</v>
      </c>
      <c r="B173" s="8" t="s">
        <v>35</v>
      </c>
      <c r="C173">
        <v>-60.278199999999998</v>
      </c>
      <c r="D173">
        <v>-7.5464000000000002</v>
      </c>
      <c r="E173">
        <v>355</v>
      </c>
      <c r="F173" s="8" t="s">
        <v>17</v>
      </c>
      <c r="G173">
        <v>22.5</v>
      </c>
      <c r="H173">
        <v>74</v>
      </c>
      <c r="I173" s="8" t="s">
        <v>28</v>
      </c>
      <c r="J173">
        <v>20</v>
      </c>
      <c r="K173">
        <v>321</v>
      </c>
      <c r="L173">
        <v>3</v>
      </c>
      <c r="M173" s="8" t="s">
        <v>23</v>
      </c>
      <c r="N173">
        <v>90.6</v>
      </c>
      <c r="O173">
        <v>252</v>
      </c>
      <c r="P173">
        <v>1</v>
      </c>
      <c r="Q173">
        <v>2</v>
      </c>
      <c r="R173">
        <v>2024</v>
      </c>
      <c r="S173">
        <v>2</v>
      </c>
      <c r="T173" s="8" t="s">
        <v>93</v>
      </c>
      <c r="U173">
        <v>0</v>
      </c>
      <c r="V173">
        <v>2</v>
      </c>
      <c r="W173">
        <v>0</v>
      </c>
      <c r="X173">
        <v>0</v>
      </c>
      <c r="Y173">
        <v>0</v>
      </c>
      <c r="Z173">
        <v>0</v>
      </c>
    </row>
    <row r="174" spans="1:26" x14ac:dyDescent="0.25">
      <c r="A174" s="1">
        <v>45471.303877314815</v>
      </c>
      <c r="B174" s="8" t="s">
        <v>25</v>
      </c>
      <c r="C174">
        <v>-1.8123</v>
      </c>
      <c r="D174">
        <v>-156.20699999999999</v>
      </c>
      <c r="E174">
        <v>474</v>
      </c>
      <c r="F174" s="8" t="s">
        <v>17</v>
      </c>
      <c r="G174">
        <v>29.2</v>
      </c>
      <c r="H174">
        <v>66.099999999999994</v>
      </c>
      <c r="I174" s="8" t="s">
        <v>22</v>
      </c>
      <c r="J174">
        <v>26</v>
      </c>
      <c r="K174">
        <v>318</v>
      </c>
      <c r="L174">
        <v>5</v>
      </c>
      <c r="M174" s="8" t="s">
        <v>23</v>
      </c>
      <c r="N174">
        <v>96.2</v>
      </c>
      <c r="O174">
        <v>110</v>
      </c>
      <c r="P174">
        <v>1</v>
      </c>
      <c r="Q174">
        <v>6</v>
      </c>
      <c r="R174">
        <v>2024</v>
      </c>
      <c r="S174">
        <v>5</v>
      </c>
      <c r="T174" s="8" t="s">
        <v>92</v>
      </c>
      <c r="U174">
        <v>1</v>
      </c>
      <c r="V174">
        <v>2</v>
      </c>
      <c r="W174">
        <v>2</v>
      </c>
      <c r="X174">
        <v>1</v>
      </c>
      <c r="Y174">
        <v>0</v>
      </c>
      <c r="Z174">
        <v>0</v>
      </c>
    </row>
    <row r="175" spans="1:26" x14ac:dyDescent="0.25">
      <c r="A175" s="1">
        <v>45641.921516203707</v>
      </c>
      <c r="B175" s="8" t="s">
        <v>20</v>
      </c>
      <c r="C175">
        <v>45.552999999999997</v>
      </c>
      <c r="D175">
        <v>20.901499999999999</v>
      </c>
      <c r="E175">
        <v>218</v>
      </c>
      <c r="F175" s="8" t="s">
        <v>26</v>
      </c>
      <c r="G175">
        <v>19.5</v>
      </c>
      <c r="H175">
        <v>67.900000000000006</v>
      </c>
      <c r="I175" s="8" t="s">
        <v>18</v>
      </c>
      <c r="J175">
        <v>27</v>
      </c>
      <c r="K175">
        <v>257</v>
      </c>
      <c r="L175">
        <v>10</v>
      </c>
      <c r="M175" s="8" t="s">
        <v>31</v>
      </c>
      <c r="N175">
        <v>62.2</v>
      </c>
      <c r="O175">
        <v>150</v>
      </c>
      <c r="P175">
        <v>0</v>
      </c>
      <c r="Q175">
        <v>12</v>
      </c>
      <c r="R175">
        <v>2024</v>
      </c>
      <c r="S175">
        <v>0</v>
      </c>
      <c r="T175" s="8" t="s">
        <v>93</v>
      </c>
      <c r="U175">
        <v>0</v>
      </c>
      <c r="V175">
        <v>1</v>
      </c>
      <c r="W175">
        <v>1</v>
      </c>
      <c r="X175">
        <v>0</v>
      </c>
      <c r="Y175">
        <v>0</v>
      </c>
      <c r="Z175">
        <v>0</v>
      </c>
    </row>
    <row r="176" spans="1:26" x14ac:dyDescent="0.25">
      <c r="A176" s="1">
        <v>45473.599074074074</v>
      </c>
      <c r="B176" s="8" t="s">
        <v>30</v>
      </c>
      <c r="C176">
        <v>-28.382000000000001</v>
      </c>
      <c r="D176">
        <v>-47.823099999999997</v>
      </c>
      <c r="E176">
        <v>357</v>
      </c>
      <c r="F176" s="8" t="s">
        <v>21</v>
      </c>
      <c r="G176">
        <v>29.3</v>
      </c>
      <c r="H176">
        <v>73.2</v>
      </c>
      <c r="I176" s="8" t="s">
        <v>28</v>
      </c>
      <c r="J176">
        <v>22</v>
      </c>
      <c r="K176">
        <v>229</v>
      </c>
      <c r="L176">
        <v>7</v>
      </c>
      <c r="M176" s="8" t="s">
        <v>31</v>
      </c>
      <c r="N176">
        <v>94.3</v>
      </c>
      <c r="O176">
        <v>131</v>
      </c>
      <c r="P176">
        <v>0</v>
      </c>
      <c r="Q176">
        <v>6</v>
      </c>
      <c r="R176">
        <v>2024</v>
      </c>
      <c r="S176">
        <v>0</v>
      </c>
      <c r="T176" s="8" t="s">
        <v>92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5">
      <c r="A177" s="1">
        <v>45631.691747685189</v>
      </c>
      <c r="B177" s="8" t="s">
        <v>34</v>
      </c>
      <c r="C177">
        <v>-71.0852</v>
      </c>
      <c r="D177">
        <v>-12.918699999999999</v>
      </c>
      <c r="E177">
        <v>255</v>
      </c>
      <c r="F177" s="8" t="s">
        <v>17</v>
      </c>
      <c r="G177">
        <v>27.4</v>
      </c>
      <c r="H177">
        <v>59.6</v>
      </c>
      <c r="I177" s="8" t="s">
        <v>28</v>
      </c>
      <c r="J177">
        <v>20</v>
      </c>
      <c r="K177">
        <v>497</v>
      </c>
      <c r="L177">
        <v>3</v>
      </c>
      <c r="M177" s="8" t="s">
        <v>27</v>
      </c>
      <c r="N177">
        <v>98.4</v>
      </c>
      <c r="O177">
        <v>277</v>
      </c>
      <c r="P177">
        <v>1</v>
      </c>
      <c r="Q177">
        <v>12</v>
      </c>
      <c r="R177">
        <v>2024</v>
      </c>
      <c r="S177">
        <v>4</v>
      </c>
      <c r="T177" s="8" t="s">
        <v>93</v>
      </c>
      <c r="U177">
        <v>0</v>
      </c>
      <c r="V177">
        <v>2</v>
      </c>
      <c r="W177">
        <v>0</v>
      </c>
      <c r="X177">
        <v>0</v>
      </c>
      <c r="Y177">
        <v>0</v>
      </c>
      <c r="Z177">
        <v>0</v>
      </c>
    </row>
    <row r="178" spans="1:26" x14ac:dyDescent="0.25">
      <c r="A178" s="1">
        <v>45456.544768518521</v>
      </c>
      <c r="B178" s="8" t="s">
        <v>30</v>
      </c>
      <c r="C178">
        <v>-35.642400000000002</v>
      </c>
      <c r="D178">
        <v>-106.7595</v>
      </c>
      <c r="E178">
        <v>415</v>
      </c>
      <c r="F178" s="8" t="s">
        <v>17</v>
      </c>
      <c r="G178">
        <v>22.2</v>
      </c>
      <c r="H178">
        <v>65.8</v>
      </c>
      <c r="I178" s="8" t="s">
        <v>22</v>
      </c>
      <c r="J178">
        <v>18</v>
      </c>
      <c r="K178">
        <v>287</v>
      </c>
      <c r="L178">
        <v>2</v>
      </c>
      <c r="M178" s="8" t="s">
        <v>27</v>
      </c>
      <c r="N178">
        <v>61.1</v>
      </c>
      <c r="O178">
        <v>256</v>
      </c>
      <c r="P178">
        <v>1</v>
      </c>
      <c r="Q178">
        <v>6</v>
      </c>
      <c r="R178">
        <v>2024</v>
      </c>
      <c r="S178">
        <v>4</v>
      </c>
      <c r="T178" s="8" t="s">
        <v>92</v>
      </c>
      <c r="U178">
        <v>0</v>
      </c>
      <c r="V178">
        <v>2</v>
      </c>
      <c r="W178">
        <v>2</v>
      </c>
      <c r="X178">
        <v>1</v>
      </c>
      <c r="Y178">
        <v>0</v>
      </c>
      <c r="Z178">
        <v>0</v>
      </c>
    </row>
    <row r="179" spans="1:26" x14ac:dyDescent="0.25">
      <c r="A179" s="1">
        <v>45368.347349537034</v>
      </c>
      <c r="B179" s="8" t="s">
        <v>25</v>
      </c>
      <c r="C179">
        <v>-81.622</v>
      </c>
      <c r="D179">
        <v>-152.0754</v>
      </c>
      <c r="E179">
        <v>353</v>
      </c>
      <c r="F179" s="8" t="s">
        <v>26</v>
      </c>
      <c r="G179">
        <v>29.5</v>
      </c>
      <c r="H179">
        <v>76.8</v>
      </c>
      <c r="I179" s="8" t="s">
        <v>22</v>
      </c>
      <c r="J179">
        <v>41</v>
      </c>
      <c r="K179">
        <v>421</v>
      </c>
      <c r="L179">
        <v>8</v>
      </c>
      <c r="M179" s="8" t="s">
        <v>19</v>
      </c>
      <c r="N179">
        <v>97.7</v>
      </c>
      <c r="O179">
        <v>212</v>
      </c>
      <c r="P179">
        <v>1</v>
      </c>
      <c r="Q179">
        <v>3</v>
      </c>
      <c r="R179">
        <v>2024</v>
      </c>
      <c r="S179">
        <v>0</v>
      </c>
      <c r="T179" s="8" t="s">
        <v>90</v>
      </c>
      <c r="U179">
        <v>0</v>
      </c>
      <c r="V179">
        <v>1</v>
      </c>
      <c r="W179">
        <v>2</v>
      </c>
      <c r="X179">
        <v>1</v>
      </c>
      <c r="Y179">
        <v>1</v>
      </c>
      <c r="Z179">
        <v>0</v>
      </c>
    </row>
    <row r="180" spans="1:26" x14ac:dyDescent="0.25">
      <c r="A180" s="1">
        <v>45556.131701388891</v>
      </c>
      <c r="B180" s="8" t="s">
        <v>32</v>
      </c>
      <c r="C180">
        <v>-22.911100000000001</v>
      </c>
      <c r="D180">
        <v>-154.35939999999999</v>
      </c>
      <c r="E180">
        <v>260</v>
      </c>
      <c r="F180" s="8" t="s">
        <v>21</v>
      </c>
      <c r="G180">
        <v>23.8</v>
      </c>
      <c r="H180">
        <v>58.4</v>
      </c>
      <c r="I180" s="8" t="s">
        <v>28</v>
      </c>
      <c r="J180">
        <v>49</v>
      </c>
      <c r="K180">
        <v>266</v>
      </c>
      <c r="L180">
        <v>7</v>
      </c>
      <c r="M180" s="8" t="s">
        <v>31</v>
      </c>
      <c r="N180">
        <v>77.8</v>
      </c>
      <c r="O180">
        <v>131</v>
      </c>
      <c r="P180">
        <v>0</v>
      </c>
      <c r="Q180">
        <v>9</v>
      </c>
      <c r="R180">
        <v>2024</v>
      </c>
      <c r="S180">
        <v>6</v>
      </c>
      <c r="T180" s="8" t="s">
        <v>91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 x14ac:dyDescent="0.25">
      <c r="A181" s="1">
        <v>45342.869479166664</v>
      </c>
      <c r="B181" s="8" t="s">
        <v>29</v>
      </c>
      <c r="C181">
        <v>-68.793700000000001</v>
      </c>
      <c r="D181">
        <v>-164.38659999999999</v>
      </c>
      <c r="E181">
        <v>447</v>
      </c>
      <c r="F181" s="8" t="s">
        <v>26</v>
      </c>
      <c r="G181">
        <v>21.1</v>
      </c>
      <c r="H181">
        <v>75.599999999999994</v>
      </c>
      <c r="I181" s="8" t="s">
        <v>22</v>
      </c>
      <c r="J181">
        <v>51</v>
      </c>
      <c r="K181">
        <v>315</v>
      </c>
      <c r="L181">
        <v>1</v>
      </c>
      <c r="M181" s="8" t="s">
        <v>31</v>
      </c>
      <c r="N181">
        <v>64.7</v>
      </c>
      <c r="O181">
        <v>186</v>
      </c>
      <c r="P181">
        <v>1</v>
      </c>
      <c r="Q181">
        <v>2</v>
      </c>
      <c r="R181">
        <v>2024</v>
      </c>
      <c r="S181">
        <v>2</v>
      </c>
      <c r="T181" s="8" t="s">
        <v>93</v>
      </c>
      <c r="U181">
        <v>0</v>
      </c>
      <c r="V181">
        <v>1</v>
      </c>
      <c r="W181">
        <v>2</v>
      </c>
      <c r="X181">
        <v>1</v>
      </c>
      <c r="Y181">
        <v>1</v>
      </c>
      <c r="Z181">
        <v>1</v>
      </c>
    </row>
    <row r="182" spans="1:26" x14ac:dyDescent="0.25">
      <c r="A182" s="1">
        <v>45615.752523148149</v>
      </c>
      <c r="B182" s="8" t="s">
        <v>34</v>
      </c>
      <c r="C182">
        <v>-25.5794</v>
      </c>
      <c r="D182">
        <v>132.2662</v>
      </c>
      <c r="E182">
        <v>483</v>
      </c>
      <c r="F182" s="8" t="s">
        <v>17</v>
      </c>
      <c r="G182">
        <v>26.6</v>
      </c>
      <c r="H182">
        <v>50</v>
      </c>
      <c r="I182" s="8" t="s">
        <v>28</v>
      </c>
      <c r="J182">
        <v>51</v>
      </c>
      <c r="K182">
        <v>466</v>
      </c>
      <c r="L182">
        <v>6</v>
      </c>
      <c r="M182" s="8" t="s">
        <v>31</v>
      </c>
      <c r="N182">
        <v>87.9</v>
      </c>
      <c r="O182">
        <v>272</v>
      </c>
      <c r="P182">
        <v>1</v>
      </c>
      <c r="Q182">
        <v>11</v>
      </c>
      <c r="R182">
        <v>2024</v>
      </c>
      <c r="S182">
        <v>2</v>
      </c>
      <c r="T182" s="8" t="s">
        <v>91</v>
      </c>
      <c r="U182">
        <v>0</v>
      </c>
      <c r="V182">
        <v>2</v>
      </c>
      <c r="W182">
        <v>0</v>
      </c>
      <c r="X182">
        <v>0</v>
      </c>
      <c r="Y182">
        <v>0</v>
      </c>
      <c r="Z182">
        <v>1</v>
      </c>
    </row>
    <row r="183" spans="1:26" x14ac:dyDescent="0.25">
      <c r="A183" s="1">
        <v>45603.678240740737</v>
      </c>
      <c r="B183" s="8" t="s">
        <v>24</v>
      </c>
      <c r="C183">
        <v>49.046500000000002</v>
      </c>
      <c r="D183">
        <v>41.342799999999997</v>
      </c>
      <c r="E183">
        <v>363</v>
      </c>
      <c r="F183" s="8" t="s">
        <v>26</v>
      </c>
      <c r="G183">
        <v>28.6</v>
      </c>
      <c r="H183">
        <v>75.2</v>
      </c>
      <c r="I183" s="8" t="s">
        <v>22</v>
      </c>
      <c r="J183">
        <v>19</v>
      </c>
      <c r="K183">
        <v>358</v>
      </c>
      <c r="L183">
        <v>1</v>
      </c>
      <c r="M183" s="8" t="s">
        <v>23</v>
      </c>
      <c r="N183">
        <v>77.400000000000006</v>
      </c>
      <c r="O183">
        <v>272</v>
      </c>
      <c r="P183">
        <v>1</v>
      </c>
      <c r="Q183">
        <v>11</v>
      </c>
      <c r="R183">
        <v>2024</v>
      </c>
      <c r="S183">
        <v>4</v>
      </c>
      <c r="T183" s="8" t="s">
        <v>91</v>
      </c>
      <c r="U183">
        <v>0</v>
      </c>
      <c r="V183">
        <v>1</v>
      </c>
      <c r="W183">
        <v>2</v>
      </c>
      <c r="X183">
        <v>1</v>
      </c>
      <c r="Y183">
        <v>1</v>
      </c>
      <c r="Z183">
        <v>0</v>
      </c>
    </row>
    <row r="184" spans="1:26" x14ac:dyDescent="0.25">
      <c r="A184" s="1">
        <v>45340.590532407405</v>
      </c>
      <c r="B184" s="8" t="s">
        <v>32</v>
      </c>
      <c r="C184">
        <v>-81.667699999999996</v>
      </c>
      <c r="D184">
        <v>-40.832700000000003</v>
      </c>
      <c r="E184">
        <v>313</v>
      </c>
      <c r="F184" s="8" t="s">
        <v>17</v>
      </c>
      <c r="G184">
        <v>20.5</v>
      </c>
      <c r="H184">
        <v>79.3</v>
      </c>
      <c r="I184" s="8" t="s">
        <v>18</v>
      </c>
      <c r="J184">
        <v>49</v>
      </c>
      <c r="K184">
        <v>229</v>
      </c>
      <c r="L184">
        <v>7</v>
      </c>
      <c r="M184" s="8" t="s">
        <v>19</v>
      </c>
      <c r="N184">
        <v>98.5</v>
      </c>
      <c r="O184">
        <v>126</v>
      </c>
      <c r="P184">
        <v>1</v>
      </c>
      <c r="Q184">
        <v>2</v>
      </c>
      <c r="R184">
        <v>2024</v>
      </c>
      <c r="S184">
        <v>0</v>
      </c>
      <c r="T184" s="8" t="s">
        <v>93</v>
      </c>
      <c r="U184">
        <v>0</v>
      </c>
      <c r="V184">
        <v>2</v>
      </c>
      <c r="W184">
        <v>1</v>
      </c>
      <c r="X184">
        <v>0</v>
      </c>
      <c r="Y184">
        <v>1</v>
      </c>
      <c r="Z184">
        <v>1</v>
      </c>
    </row>
    <row r="185" spans="1:26" x14ac:dyDescent="0.25">
      <c r="A185" s="1">
        <v>45354.036886574075</v>
      </c>
      <c r="B185" s="8" t="s">
        <v>24</v>
      </c>
      <c r="C185">
        <v>-69.688699999999997</v>
      </c>
      <c r="D185">
        <v>-34.456299999999999</v>
      </c>
      <c r="E185">
        <v>289</v>
      </c>
      <c r="F185" s="8" t="s">
        <v>26</v>
      </c>
      <c r="G185">
        <v>19.3</v>
      </c>
      <c r="H185">
        <v>68.599999999999994</v>
      </c>
      <c r="I185" s="8" t="s">
        <v>28</v>
      </c>
      <c r="J185">
        <v>33</v>
      </c>
      <c r="K185">
        <v>149</v>
      </c>
      <c r="L185">
        <v>4</v>
      </c>
      <c r="M185" s="8" t="s">
        <v>19</v>
      </c>
      <c r="N185">
        <v>74.3</v>
      </c>
      <c r="O185">
        <v>220</v>
      </c>
      <c r="P185">
        <v>0</v>
      </c>
      <c r="Q185">
        <v>3</v>
      </c>
      <c r="R185">
        <v>2024</v>
      </c>
      <c r="S185">
        <v>0</v>
      </c>
      <c r="T185" s="8" t="s">
        <v>90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</row>
    <row r="186" spans="1:26" x14ac:dyDescent="0.25">
      <c r="A186" s="1">
        <v>45445.381493055553</v>
      </c>
      <c r="B186" s="8" t="s">
        <v>29</v>
      </c>
      <c r="C186">
        <v>-49.181100000000001</v>
      </c>
      <c r="D186">
        <v>-94.151499999999999</v>
      </c>
      <c r="E186">
        <v>171</v>
      </c>
      <c r="F186" s="8" t="s">
        <v>26</v>
      </c>
      <c r="G186">
        <v>21.3</v>
      </c>
      <c r="H186">
        <v>66.099999999999994</v>
      </c>
      <c r="I186" s="8" t="s">
        <v>28</v>
      </c>
      <c r="J186">
        <v>57</v>
      </c>
      <c r="K186">
        <v>125</v>
      </c>
      <c r="L186">
        <v>8</v>
      </c>
      <c r="M186" s="8" t="s">
        <v>19</v>
      </c>
      <c r="N186">
        <v>98.9</v>
      </c>
      <c r="O186">
        <v>249</v>
      </c>
      <c r="P186">
        <v>0</v>
      </c>
      <c r="Q186">
        <v>6</v>
      </c>
      <c r="R186">
        <v>2024</v>
      </c>
      <c r="S186">
        <v>0</v>
      </c>
      <c r="T186" s="8" t="s">
        <v>92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1</v>
      </c>
    </row>
    <row r="187" spans="1:26" x14ac:dyDescent="0.25">
      <c r="A187" s="1">
        <v>45316.506736111114</v>
      </c>
      <c r="B187" s="8" t="s">
        <v>20</v>
      </c>
      <c r="C187">
        <v>12.8172</v>
      </c>
      <c r="D187">
        <v>76.140799999999999</v>
      </c>
      <c r="E187">
        <v>401</v>
      </c>
      <c r="F187" s="8" t="s">
        <v>21</v>
      </c>
      <c r="G187">
        <v>25.7</v>
      </c>
      <c r="H187">
        <v>71.400000000000006</v>
      </c>
      <c r="I187" s="8" t="s">
        <v>28</v>
      </c>
      <c r="J187">
        <v>30</v>
      </c>
      <c r="K187">
        <v>494</v>
      </c>
      <c r="L187">
        <v>4</v>
      </c>
      <c r="M187" s="8" t="s">
        <v>23</v>
      </c>
      <c r="N187">
        <v>81.099999999999994</v>
      </c>
      <c r="O187">
        <v>175</v>
      </c>
      <c r="P187">
        <v>0</v>
      </c>
      <c r="Q187">
        <v>1</v>
      </c>
      <c r="R187">
        <v>2024</v>
      </c>
      <c r="S187">
        <v>4</v>
      </c>
      <c r="T187" s="8" t="s">
        <v>93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5">
      <c r="A188" s="1">
        <v>45569.68005787037</v>
      </c>
      <c r="B188" s="8" t="s">
        <v>25</v>
      </c>
      <c r="C188">
        <v>20.114599999999999</v>
      </c>
      <c r="D188">
        <v>19.758299999999998</v>
      </c>
      <c r="E188">
        <v>376</v>
      </c>
      <c r="F188" s="8" t="s">
        <v>26</v>
      </c>
      <c r="G188">
        <v>25.1</v>
      </c>
      <c r="H188">
        <v>54.1</v>
      </c>
      <c r="I188" s="8" t="s">
        <v>28</v>
      </c>
      <c r="J188">
        <v>55</v>
      </c>
      <c r="K188">
        <v>305</v>
      </c>
      <c r="L188">
        <v>5</v>
      </c>
      <c r="M188" s="8" t="s">
        <v>31</v>
      </c>
      <c r="N188">
        <v>83.2</v>
      </c>
      <c r="O188">
        <v>158</v>
      </c>
      <c r="P188">
        <v>0</v>
      </c>
      <c r="Q188">
        <v>10</v>
      </c>
      <c r="R188">
        <v>2024</v>
      </c>
      <c r="S188">
        <v>5</v>
      </c>
      <c r="T188" s="8" t="s">
        <v>91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1</v>
      </c>
    </row>
    <row r="189" spans="1:26" x14ac:dyDescent="0.25">
      <c r="A189" s="1">
        <v>45598.505254629628</v>
      </c>
      <c r="B189" s="8" t="s">
        <v>33</v>
      </c>
      <c r="C189">
        <v>84.131699999999995</v>
      </c>
      <c r="D189">
        <v>-144.78399999999999</v>
      </c>
      <c r="E189">
        <v>371</v>
      </c>
      <c r="F189" s="8" t="s">
        <v>17</v>
      </c>
      <c r="G189">
        <v>26.2</v>
      </c>
      <c r="H189">
        <v>58.5</v>
      </c>
      <c r="I189" s="8" t="s">
        <v>22</v>
      </c>
      <c r="J189">
        <v>46</v>
      </c>
      <c r="K189">
        <v>168</v>
      </c>
      <c r="L189">
        <v>10</v>
      </c>
      <c r="M189" s="8" t="s">
        <v>27</v>
      </c>
      <c r="N189">
        <v>69.5</v>
      </c>
      <c r="O189">
        <v>162</v>
      </c>
      <c r="P189">
        <v>1</v>
      </c>
      <c r="Q189">
        <v>11</v>
      </c>
      <c r="R189">
        <v>2024</v>
      </c>
      <c r="S189">
        <v>6</v>
      </c>
      <c r="T189" s="8" t="s">
        <v>91</v>
      </c>
      <c r="U189">
        <v>1</v>
      </c>
      <c r="V189">
        <v>2</v>
      </c>
      <c r="W189">
        <v>2</v>
      </c>
      <c r="X189">
        <v>1</v>
      </c>
      <c r="Y189">
        <v>0</v>
      </c>
      <c r="Z189">
        <v>1</v>
      </c>
    </row>
    <row r="190" spans="1:26" x14ac:dyDescent="0.25">
      <c r="A190" s="1">
        <v>45404.081238425926</v>
      </c>
      <c r="B190" s="8" t="s">
        <v>29</v>
      </c>
      <c r="C190">
        <v>-53.932899999999997</v>
      </c>
      <c r="D190">
        <v>30.323599999999999</v>
      </c>
      <c r="E190">
        <v>496</v>
      </c>
      <c r="F190" s="8" t="s">
        <v>21</v>
      </c>
      <c r="G190">
        <v>23.4</v>
      </c>
      <c r="H190">
        <v>71.599999999999994</v>
      </c>
      <c r="I190" s="8" t="s">
        <v>28</v>
      </c>
      <c r="J190">
        <v>15</v>
      </c>
      <c r="K190">
        <v>451</v>
      </c>
      <c r="L190">
        <v>3</v>
      </c>
      <c r="M190" s="8" t="s">
        <v>23</v>
      </c>
      <c r="N190">
        <v>76.3</v>
      </c>
      <c r="O190">
        <v>235</v>
      </c>
      <c r="P190">
        <v>0</v>
      </c>
      <c r="Q190">
        <v>4</v>
      </c>
      <c r="R190">
        <v>2024</v>
      </c>
      <c r="S190">
        <v>1</v>
      </c>
      <c r="T190" s="8" t="s">
        <v>90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5">
      <c r="A191" s="1">
        <v>45397.936643518522</v>
      </c>
      <c r="B191" s="8" t="s">
        <v>30</v>
      </c>
      <c r="C191">
        <v>31.857099999999999</v>
      </c>
      <c r="D191">
        <v>-83.169799999999995</v>
      </c>
      <c r="E191">
        <v>149</v>
      </c>
      <c r="F191" s="8" t="s">
        <v>21</v>
      </c>
      <c r="G191">
        <v>20.9</v>
      </c>
      <c r="H191">
        <v>68.099999999999994</v>
      </c>
      <c r="I191" s="8" t="s">
        <v>18</v>
      </c>
      <c r="J191">
        <v>39</v>
      </c>
      <c r="K191">
        <v>274</v>
      </c>
      <c r="L191">
        <v>9</v>
      </c>
      <c r="M191" s="8" t="s">
        <v>27</v>
      </c>
      <c r="N191">
        <v>71.8</v>
      </c>
      <c r="O191">
        <v>138</v>
      </c>
      <c r="P191">
        <v>0</v>
      </c>
      <c r="Q191">
        <v>4</v>
      </c>
      <c r="R191">
        <v>2024</v>
      </c>
      <c r="S191">
        <v>1</v>
      </c>
      <c r="T191" s="8" t="s">
        <v>90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</row>
    <row r="192" spans="1:26" x14ac:dyDescent="0.25">
      <c r="A192" s="1">
        <v>45310.603125000001</v>
      </c>
      <c r="B192" s="8" t="s">
        <v>20</v>
      </c>
      <c r="C192">
        <v>67.730199999999996</v>
      </c>
      <c r="D192">
        <v>-70.186099999999996</v>
      </c>
      <c r="E192">
        <v>166</v>
      </c>
      <c r="F192" s="8" t="s">
        <v>21</v>
      </c>
      <c r="G192">
        <v>29.4</v>
      </c>
      <c r="H192">
        <v>59.5</v>
      </c>
      <c r="I192" s="8" t="s">
        <v>22</v>
      </c>
      <c r="J192">
        <v>40</v>
      </c>
      <c r="K192">
        <v>210</v>
      </c>
      <c r="L192">
        <v>4</v>
      </c>
      <c r="M192" s="8" t="s">
        <v>27</v>
      </c>
      <c r="N192">
        <v>82.9</v>
      </c>
      <c r="O192">
        <v>246</v>
      </c>
      <c r="P192">
        <v>1</v>
      </c>
      <c r="Q192">
        <v>1</v>
      </c>
      <c r="R192">
        <v>2024</v>
      </c>
      <c r="S192">
        <v>5</v>
      </c>
      <c r="T192" s="8" t="s">
        <v>93</v>
      </c>
      <c r="U192">
        <v>1</v>
      </c>
      <c r="V192">
        <v>0</v>
      </c>
      <c r="W192">
        <v>2</v>
      </c>
      <c r="X192">
        <v>1</v>
      </c>
      <c r="Y192">
        <v>0</v>
      </c>
      <c r="Z192">
        <v>0</v>
      </c>
    </row>
    <row r="193" spans="1:26" x14ac:dyDescent="0.25">
      <c r="A193" s="1">
        <v>45557.513287037036</v>
      </c>
      <c r="B193" s="8" t="s">
        <v>25</v>
      </c>
      <c r="C193">
        <v>73.372299999999996</v>
      </c>
      <c r="D193">
        <v>93.246399999999994</v>
      </c>
      <c r="E193">
        <v>369</v>
      </c>
      <c r="F193" s="8" t="s">
        <v>17</v>
      </c>
      <c r="G193">
        <v>28</v>
      </c>
      <c r="H193">
        <v>52.3</v>
      </c>
      <c r="I193" s="8" t="s">
        <v>18</v>
      </c>
      <c r="J193">
        <v>35</v>
      </c>
      <c r="K193">
        <v>481</v>
      </c>
      <c r="L193">
        <v>5</v>
      </c>
      <c r="M193" s="8" t="s">
        <v>31</v>
      </c>
      <c r="N193">
        <v>73.400000000000006</v>
      </c>
      <c r="O193">
        <v>179</v>
      </c>
      <c r="P193">
        <v>1</v>
      </c>
      <c r="Q193">
        <v>9</v>
      </c>
      <c r="R193">
        <v>2024</v>
      </c>
      <c r="S193">
        <v>0</v>
      </c>
      <c r="T193" s="8" t="s">
        <v>91</v>
      </c>
      <c r="U193">
        <v>0</v>
      </c>
      <c r="V193">
        <v>2</v>
      </c>
      <c r="W193">
        <v>1</v>
      </c>
      <c r="X193">
        <v>0</v>
      </c>
      <c r="Y193">
        <v>0</v>
      </c>
      <c r="Z193">
        <v>0</v>
      </c>
    </row>
    <row r="194" spans="1:26" x14ac:dyDescent="0.25">
      <c r="A194" s="1">
        <v>45597.990995370368</v>
      </c>
      <c r="B194" s="8" t="s">
        <v>34</v>
      </c>
      <c r="C194">
        <v>68.236099999999993</v>
      </c>
      <c r="D194">
        <v>-85.921599999999998</v>
      </c>
      <c r="E194">
        <v>409</v>
      </c>
      <c r="F194" s="8" t="s">
        <v>21</v>
      </c>
      <c r="G194">
        <v>22</v>
      </c>
      <c r="H194">
        <v>68.099999999999994</v>
      </c>
      <c r="I194" s="8" t="s">
        <v>28</v>
      </c>
      <c r="J194">
        <v>18</v>
      </c>
      <c r="K194">
        <v>423</v>
      </c>
      <c r="L194">
        <v>10</v>
      </c>
      <c r="M194" s="8" t="s">
        <v>23</v>
      </c>
      <c r="N194">
        <v>62.8</v>
      </c>
      <c r="O194">
        <v>282</v>
      </c>
      <c r="P194">
        <v>0</v>
      </c>
      <c r="Q194">
        <v>11</v>
      </c>
      <c r="R194">
        <v>2024</v>
      </c>
      <c r="S194">
        <v>5</v>
      </c>
      <c r="T194" s="8" t="s">
        <v>91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5">
      <c r="A195" s="1">
        <v>45425.590914351851</v>
      </c>
      <c r="B195" s="8" t="s">
        <v>32</v>
      </c>
      <c r="C195">
        <v>40.547800000000002</v>
      </c>
      <c r="D195">
        <v>147.02610000000001</v>
      </c>
      <c r="E195">
        <v>494</v>
      </c>
      <c r="F195" s="8" t="s">
        <v>17</v>
      </c>
      <c r="G195">
        <v>19.2</v>
      </c>
      <c r="H195">
        <v>58.4</v>
      </c>
      <c r="I195" s="8" t="s">
        <v>28</v>
      </c>
      <c r="J195">
        <v>52</v>
      </c>
      <c r="K195">
        <v>231</v>
      </c>
      <c r="L195">
        <v>10</v>
      </c>
      <c r="M195" s="8" t="s">
        <v>23</v>
      </c>
      <c r="N195">
        <v>89.5</v>
      </c>
      <c r="O195">
        <v>201</v>
      </c>
      <c r="P195">
        <v>1</v>
      </c>
      <c r="Q195">
        <v>5</v>
      </c>
      <c r="R195">
        <v>2024</v>
      </c>
      <c r="S195">
        <v>1</v>
      </c>
      <c r="T195" s="8" t="s">
        <v>90</v>
      </c>
      <c r="U195">
        <v>0</v>
      </c>
      <c r="V195">
        <v>2</v>
      </c>
      <c r="W195">
        <v>0</v>
      </c>
      <c r="X195">
        <v>0</v>
      </c>
      <c r="Y195">
        <v>0</v>
      </c>
      <c r="Z195">
        <v>1</v>
      </c>
    </row>
    <row r="196" spans="1:26" x14ac:dyDescent="0.25">
      <c r="A196" s="1">
        <v>45339.317199074074</v>
      </c>
      <c r="B196" s="8" t="s">
        <v>20</v>
      </c>
      <c r="C196">
        <v>-36.429900000000004</v>
      </c>
      <c r="D196">
        <v>58.0595</v>
      </c>
      <c r="E196">
        <v>238</v>
      </c>
      <c r="F196" s="8" t="s">
        <v>17</v>
      </c>
      <c r="G196">
        <v>23.8</v>
      </c>
      <c r="H196">
        <v>79.400000000000006</v>
      </c>
      <c r="I196" s="8" t="s">
        <v>18</v>
      </c>
      <c r="J196">
        <v>33</v>
      </c>
      <c r="K196">
        <v>416</v>
      </c>
      <c r="L196">
        <v>5</v>
      </c>
      <c r="M196" s="8" t="s">
        <v>23</v>
      </c>
      <c r="N196">
        <v>88.2</v>
      </c>
      <c r="O196">
        <v>102</v>
      </c>
      <c r="P196">
        <v>1</v>
      </c>
      <c r="Q196">
        <v>2</v>
      </c>
      <c r="R196">
        <v>2024</v>
      </c>
      <c r="S196">
        <v>6</v>
      </c>
      <c r="T196" s="8" t="s">
        <v>93</v>
      </c>
      <c r="U196">
        <v>1</v>
      </c>
      <c r="V196">
        <v>2</v>
      </c>
      <c r="W196">
        <v>1</v>
      </c>
      <c r="X196">
        <v>0</v>
      </c>
      <c r="Y196">
        <v>1</v>
      </c>
      <c r="Z196">
        <v>0</v>
      </c>
    </row>
    <row r="197" spans="1:26" x14ac:dyDescent="0.25">
      <c r="A197" s="1">
        <v>45619.815266203703</v>
      </c>
      <c r="B197" s="8" t="s">
        <v>32</v>
      </c>
      <c r="C197">
        <v>83.200299999999999</v>
      </c>
      <c r="D197">
        <v>-119.0412</v>
      </c>
      <c r="E197">
        <v>422</v>
      </c>
      <c r="F197" s="8" t="s">
        <v>21</v>
      </c>
      <c r="G197">
        <v>19.2</v>
      </c>
      <c r="H197">
        <v>54.5</v>
      </c>
      <c r="I197" s="8" t="s">
        <v>28</v>
      </c>
      <c r="J197">
        <v>18</v>
      </c>
      <c r="K197">
        <v>437</v>
      </c>
      <c r="L197">
        <v>3</v>
      </c>
      <c r="M197" s="8" t="s">
        <v>19</v>
      </c>
      <c r="N197">
        <v>73.5</v>
      </c>
      <c r="O197">
        <v>103</v>
      </c>
      <c r="P197">
        <v>0</v>
      </c>
      <c r="Q197">
        <v>11</v>
      </c>
      <c r="R197">
        <v>2024</v>
      </c>
      <c r="S197">
        <v>6</v>
      </c>
      <c r="T197" s="8" t="s">
        <v>91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5">
      <c r="A198" s="1">
        <v>45558.439062500001</v>
      </c>
      <c r="B198" s="8" t="s">
        <v>25</v>
      </c>
      <c r="C198">
        <v>74.581599999999995</v>
      </c>
      <c r="D198">
        <v>-19.698599999999999</v>
      </c>
      <c r="E198">
        <v>132</v>
      </c>
      <c r="F198" s="8" t="s">
        <v>21</v>
      </c>
      <c r="G198">
        <v>28.2</v>
      </c>
      <c r="H198">
        <v>57.2</v>
      </c>
      <c r="I198" s="8" t="s">
        <v>28</v>
      </c>
      <c r="J198">
        <v>23</v>
      </c>
      <c r="K198">
        <v>401</v>
      </c>
      <c r="L198">
        <v>6</v>
      </c>
      <c r="M198" s="8" t="s">
        <v>19</v>
      </c>
      <c r="N198">
        <v>93.6</v>
      </c>
      <c r="O198">
        <v>154</v>
      </c>
      <c r="P198">
        <v>0</v>
      </c>
      <c r="Q198">
        <v>9</v>
      </c>
      <c r="R198">
        <v>2024</v>
      </c>
      <c r="S198">
        <v>1</v>
      </c>
      <c r="T198" s="8" t="s">
        <v>91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5">
      <c r="A199" s="1">
        <v>45529.93917824074</v>
      </c>
      <c r="B199" s="8" t="s">
        <v>35</v>
      </c>
      <c r="C199">
        <v>-64.709400000000002</v>
      </c>
      <c r="D199">
        <v>137.791</v>
      </c>
      <c r="E199">
        <v>189</v>
      </c>
      <c r="F199" s="8" t="s">
        <v>17</v>
      </c>
      <c r="G199">
        <v>25.2</v>
      </c>
      <c r="H199">
        <v>70</v>
      </c>
      <c r="I199" s="8" t="s">
        <v>28</v>
      </c>
      <c r="J199">
        <v>10</v>
      </c>
      <c r="K199">
        <v>360</v>
      </c>
      <c r="L199">
        <v>6</v>
      </c>
      <c r="M199" s="8" t="s">
        <v>31</v>
      </c>
      <c r="N199">
        <v>81.900000000000006</v>
      </c>
      <c r="O199">
        <v>191</v>
      </c>
      <c r="P199">
        <v>1</v>
      </c>
      <c r="Q199">
        <v>8</v>
      </c>
      <c r="R199">
        <v>2024</v>
      </c>
      <c r="S199">
        <v>0</v>
      </c>
      <c r="T199" s="8" t="s">
        <v>92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0</v>
      </c>
    </row>
    <row r="200" spans="1:26" x14ac:dyDescent="0.25">
      <c r="A200" s="1">
        <v>45562.266585648147</v>
      </c>
      <c r="B200" s="8" t="s">
        <v>35</v>
      </c>
      <c r="C200">
        <v>-59.601999999999997</v>
      </c>
      <c r="D200">
        <v>62.712000000000003</v>
      </c>
      <c r="E200">
        <v>255</v>
      </c>
      <c r="F200" s="8" t="s">
        <v>26</v>
      </c>
      <c r="G200">
        <v>28.5</v>
      </c>
      <c r="H200">
        <v>72.2</v>
      </c>
      <c r="I200" s="8" t="s">
        <v>28</v>
      </c>
      <c r="J200">
        <v>60</v>
      </c>
      <c r="K200">
        <v>419</v>
      </c>
      <c r="L200">
        <v>2</v>
      </c>
      <c r="M200" s="8" t="s">
        <v>27</v>
      </c>
      <c r="N200">
        <v>68.400000000000006</v>
      </c>
      <c r="O200">
        <v>246</v>
      </c>
      <c r="P200">
        <v>0</v>
      </c>
      <c r="Q200">
        <v>9</v>
      </c>
      <c r="R200">
        <v>2024</v>
      </c>
      <c r="S200">
        <v>5</v>
      </c>
      <c r="T200" s="8" t="s">
        <v>91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1</v>
      </c>
    </row>
    <row r="201" spans="1:26" x14ac:dyDescent="0.25">
      <c r="A201" s="1">
        <v>45421.168287037035</v>
      </c>
      <c r="B201" s="8" t="s">
        <v>16</v>
      </c>
      <c r="C201">
        <v>-68.371200000000002</v>
      </c>
      <c r="D201">
        <v>-65.980199999999996</v>
      </c>
      <c r="E201">
        <v>107</v>
      </c>
      <c r="F201" s="8" t="s">
        <v>17</v>
      </c>
      <c r="G201">
        <v>21.9</v>
      </c>
      <c r="H201">
        <v>74.099999999999994</v>
      </c>
      <c r="I201" s="8" t="s">
        <v>22</v>
      </c>
      <c r="J201">
        <v>51</v>
      </c>
      <c r="K201">
        <v>413</v>
      </c>
      <c r="L201">
        <v>1</v>
      </c>
      <c r="M201" s="8" t="s">
        <v>23</v>
      </c>
      <c r="N201">
        <v>84.9</v>
      </c>
      <c r="O201">
        <v>257</v>
      </c>
      <c r="P201">
        <v>1</v>
      </c>
      <c r="Q201">
        <v>5</v>
      </c>
      <c r="R201">
        <v>2024</v>
      </c>
      <c r="S201">
        <v>4</v>
      </c>
      <c r="T201" s="8" t="s">
        <v>90</v>
      </c>
      <c r="U201">
        <v>0</v>
      </c>
      <c r="V201">
        <v>2</v>
      </c>
      <c r="W201">
        <v>2</v>
      </c>
      <c r="X201">
        <v>1</v>
      </c>
      <c r="Y201">
        <v>0</v>
      </c>
      <c r="Z201">
        <v>1</v>
      </c>
    </row>
    <row r="202" spans="1:26" x14ac:dyDescent="0.25">
      <c r="A202" s="1">
        <v>45439.45820601852</v>
      </c>
      <c r="B202" s="8" t="s">
        <v>20</v>
      </c>
      <c r="C202">
        <v>3.8431000000000002</v>
      </c>
      <c r="D202">
        <v>91.007800000000003</v>
      </c>
      <c r="E202">
        <v>274</v>
      </c>
      <c r="F202" s="8" t="s">
        <v>17</v>
      </c>
      <c r="G202">
        <v>19.3</v>
      </c>
      <c r="H202">
        <v>51.4</v>
      </c>
      <c r="I202" s="8" t="s">
        <v>22</v>
      </c>
      <c r="J202">
        <v>57</v>
      </c>
      <c r="K202">
        <v>279</v>
      </c>
      <c r="L202">
        <v>10</v>
      </c>
      <c r="M202" s="8" t="s">
        <v>19</v>
      </c>
      <c r="N202">
        <v>75.3</v>
      </c>
      <c r="O202">
        <v>127</v>
      </c>
      <c r="P202">
        <v>1</v>
      </c>
      <c r="Q202">
        <v>5</v>
      </c>
      <c r="R202">
        <v>2024</v>
      </c>
      <c r="S202">
        <v>1</v>
      </c>
      <c r="T202" s="8" t="s">
        <v>90</v>
      </c>
      <c r="U202">
        <v>0</v>
      </c>
      <c r="V202">
        <v>2</v>
      </c>
      <c r="W202">
        <v>2</v>
      </c>
      <c r="X202">
        <v>1</v>
      </c>
      <c r="Y202">
        <v>0</v>
      </c>
      <c r="Z202">
        <v>1</v>
      </c>
    </row>
    <row r="203" spans="1:26" x14ac:dyDescent="0.25">
      <c r="A203" s="1">
        <v>45345.777453703704</v>
      </c>
      <c r="B203" s="8" t="s">
        <v>29</v>
      </c>
      <c r="C203">
        <v>76.394599999999997</v>
      </c>
      <c r="D203">
        <v>105.7941</v>
      </c>
      <c r="E203">
        <v>206</v>
      </c>
      <c r="F203" s="8" t="s">
        <v>17</v>
      </c>
      <c r="G203">
        <v>21.9</v>
      </c>
      <c r="H203">
        <v>68.599999999999994</v>
      </c>
      <c r="I203" s="8" t="s">
        <v>22</v>
      </c>
      <c r="J203">
        <v>42</v>
      </c>
      <c r="K203">
        <v>100</v>
      </c>
      <c r="L203">
        <v>7</v>
      </c>
      <c r="M203" s="8" t="s">
        <v>27</v>
      </c>
      <c r="N203">
        <v>63.3</v>
      </c>
      <c r="O203">
        <v>116</v>
      </c>
      <c r="P203">
        <v>1</v>
      </c>
      <c r="Q203">
        <v>2</v>
      </c>
      <c r="R203">
        <v>2024</v>
      </c>
      <c r="S203">
        <v>5</v>
      </c>
      <c r="T203" s="8" t="s">
        <v>93</v>
      </c>
      <c r="U203">
        <v>1</v>
      </c>
      <c r="V203">
        <v>2</v>
      </c>
      <c r="W203">
        <v>2</v>
      </c>
      <c r="X203">
        <v>1</v>
      </c>
      <c r="Y203">
        <v>0</v>
      </c>
      <c r="Z203">
        <v>0</v>
      </c>
    </row>
    <row r="204" spans="1:26" x14ac:dyDescent="0.25">
      <c r="A204" s="1">
        <v>45501.9371875</v>
      </c>
      <c r="B204" s="8" t="s">
        <v>34</v>
      </c>
      <c r="C204">
        <v>-46.187100000000001</v>
      </c>
      <c r="D204">
        <v>9.4679000000000002</v>
      </c>
      <c r="E204">
        <v>270</v>
      </c>
      <c r="F204" s="8" t="s">
        <v>21</v>
      </c>
      <c r="G204">
        <v>26.7</v>
      </c>
      <c r="H204">
        <v>72.2</v>
      </c>
      <c r="I204" s="8" t="s">
        <v>22</v>
      </c>
      <c r="J204">
        <v>35</v>
      </c>
      <c r="K204">
        <v>107</v>
      </c>
      <c r="L204">
        <v>10</v>
      </c>
      <c r="M204" s="8" t="s">
        <v>27</v>
      </c>
      <c r="N204">
        <v>90.8</v>
      </c>
      <c r="O204">
        <v>158</v>
      </c>
      <c r="P204">
        <v>1</v>
      </c>
      <c r="Q204">
        <v>7</v>
      </c>
      <c r="R204">
        <v>2024</v>
      </c>
      <c r="S204">
        <v>0</v>
      </c>
      <c r="T204" s="8" t="s">
        <v>92</v>
      </c>
      <c r="U204">
        <v>0</v>
      </c>
      <c r="V204">
        <v>0</v>
      </c>
      <c r="W204">
        <v>2</v>
      </c>
      <c r="X204">
        <v>1</v>
      </c>
      <c r="Y204">
        <v>0</v>
      </c>
      <c r="Z204">
        <v>0</v>
      </c>
    </row>
    <row r="205" spans="1:26" x14ac:dyDescent="0.25">
      <c r="A205" s="1">
        <v>45356.437847222223</v>
      </c>
      <c r="B205" s="8" t="s">
        <v>24</v>
      </c>
      <c r="C205">
        <v>-10.8849</v>
      </c>
      <c r="D205">
        <v>86.081199999999995</v>
      </c>
      <c r="E205">
        <v>277</v>
      </c>
      <c r="F205" s="8" t="s">
        <v>21</v>
      </c>
      <c r="G205">
        <v>23.7</v>
      </c>
      <c r="H205">
        <v>72.099999999999994</v>
      </c>
      <c r="I205" s="8" t="s">
        <v>28</v>
      </c>
      <c r="J205">
        <v>12</v>
      </c>
      <c r="K205">
        <v>195</v>
      </c>
      <c r="L205">
        <v>5</v>
      </c>
      <c r="M205" s="8" t="s">
        <v>27</v>
      </c>
      <c r="N205">
        <v>64.5</v>
      </c>
      <c r="O205">
        <v>130</v>
      </c>
      <c r="P205">
        <v>0</v>
      </c>
      <c r="Q205">
        <v>3</v>
      </c>
      <c r="R205">
        <v>2024</v>
      </c>
      <c r="S205">
        <v>2</v>
      </c>
      <c r="T205" s="8" t="s">
        <v>90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5">
      <c r="A206" s="1">
        <v>45297.886145833334</v>
      </c>
      <c r="B206" s="8" t="s">
        <v>29</v>
      </c>
      <c r="C206">
        <v>-67.761899999999997</v>
      </c>
      <c r="D206">
        <v>176.40119999999999</v>
      </c>
      <c r="E206">
        <v>454</v>
      </c>
      <c r="F206" s="8" t="s">
        <v>17</v>
      </c>
      <c r="G206">
        <v>21</v>
      </c>
      <c r="H206">
        <v>77.3</v>
      </c>
      <c r="I206" s="8" t="s">
        <v>28</v>
      </c>
      <c r="J206">
        <v>15</v>
      </c>
      <c r="K206">
        <v>112</v>
      </c>
      <c r="L206">
        <v>10</v>
      </c>
      <c r="M206" s="8" t="s">
        <v>23</v>
      </c>
      <c r="N206">
        <v>73.2</v>
      </c>
      <c r="O206">
        <v>237</v>
      </c>
      <c r="P206">
        <v>1</v>
      </c>
      <c r="Q206">
        <v>1</v>
      </c>
      <c r="R206">
        <v>2024</v>
      </c>
      <c r="S206">
        <v>6</v>
      </c>
      <c r="T206" s="8" t="s">
        <v>93</v>
      </c>
      <c r="U206">
        <v>1</v>
      </c>
      <c r="V206">
        <v>2</v>
      </c>
      <c r="W206">
        <v>0</v>
      </c>
      <c r="X206">
        <v>0</v>
      </c>
      <c r="Y206">
        <v>1</v>
      </c>
      <c r="Z206">
        <v>0</v>
      </c>
    </row>
    <row r="207" spans="1:26" x14ac:dyDescent="0.25">
      <c r="A207" s="1">
        <v>45549.698275462964</v>
      </c>
      <c r="B207" s="8" t="s">
        <v>30</v>
      </c>
      <c r="C207">
        <v>-22.110099999999999</v>
      </c>
      <c r="D207">
        <v>-65.135000000000005</v>
      </c>
      <c r="E207">
        <v>197</v>
      </c>
      <c r="F207" s="8" t="s">
        <v>21</v>
      </c>
      <c r="G207">
        <v>27.3</v>
      </c>
      <c r="H207">
        <v>71.3</v>
      </c>
      <c r="I207" s="8" t="s">
        <v>18</v>
      </c>
      <c r="J207">
        <v>24</v>
      </c>
      <c r="K207">
        <v>460</v>
      </c>
      <c r="L207">
        <v>9</v>
      </c>
      <c r="M207" s="8" t="s">
        <v>19</v>
      </c>
      <c r="N207">
        <v>64.7</v>
      </c>
      <c r="O207">
        <v>162</v>
      </c>
      <c r="P207">
        <v>0</v>
      </c>
      <c r="Q207">
        <v>9</v>
      </c>
      <c r="R207">
        <v>2024</v>
      </c>
      <c r="S207">
        <v>6</v>
      </c>
      <c r="T207" s="8" t="s">
        <v>91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</row>
    <row r="208" spans="1:26" x14ac:dyDescent="0.25">
      <c r="A208" s="1">
        <v>45599.970011574071</v>
      </c>
      <c r="B208" s="8" t="s">
        <v>34</v>
      </c>
      <c r="C208">
        <v>75.1113</v>
      </c>
      <c r="D208">
        <v>-136.47999999999999</v>
      </c>
      <c r="E208">
        <v>182</v>
      </c>
      <c r="F208" s="8" t="s">
        <v>26</v>
      </c>
      <c r="G208">
        <v>19.7</v>
      </c>
      <c r="H208">
        <v>72.3</v>
      </c>
      <c r="I208" s="8" t="s">
        <v>28</v>
      </c>
      <c r="J208">
        <v>50</v>
      </c>
      <c r="K208">
        <v>428</v>
      </c>
      <c r="L208">
        <v>3</v>
      </c>
      <c r="M208" s="8" t="s">
        <v>19</v>
      </c>
      <c r="N208">
        <v>63.3</v>
      </c>
      <c r="O208">
        <v>280</v>
      </c>
      <c r="P208">
        <v>0</v>
      </c>
      <c r="Q208">
        <v>11</v>
      </c>
      <c r="R208">
        <v>2024</v>
      </c>
      <c r="S208">
        <v>0</v>
      </c>
      <c r="T208" s="8" t="s">
        <v>91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</row>
    <row r="209" spans="1:26" x14ac:dyDescent="0.25">
      <c r="A209" s="1">
        <v>45370.900254629632</v>
      </c>
      <c r="B209" s="8" t="s">
        <v>20</v>
      </c>
      <c r="C209">
        <v>-69.343000000000004</v>
      </c>
      <c r="D209">
        <v>131.9033</v>
      </c>
      <c r="E209">
        <v>171</v>
      </c>
      <c r="F209" s="8" t="s">
        <v>26</v>
      </c>
      <c r="G209">
        <v>25.1</v>
      </c>
      <c r="H209">
        <v>76.5</v>
      </c>
      <c r="I209" s="8" t="s">
        <v>22</v>
      </c>
      <c r="J209">
        <v>55</v>
      </c>
      <c r="K209">
        <v>309</v>
      </c>
      <c r="L209">
        <v>3</v>
      </c>
      <c r="M209" s="8" t="s">
        <v>27</v>
      </c>
      <c r="N209">
        <v>94.6</v>
      </c>
      <c r="O209">
        <v>112</v>
      </c>
      <c r="P209">
        <v>1</v>
      </c>
      <c r="Q209">
        <v>3</v>
      </c>
      <c r="R209">
        <v>2024</v>
      </c>
      <c r="S209">
        <v>2</v>
      </c>
      <c r="T209" s="8" t="s">
        <v>90</v>
      </c>
      <c r="U209">
        <v>0</v>
      </c>
      <c r="V209">
        <v>1</v>
      </c>
      <c r="W209">
        <v>2</v>
      </c>
      <c r="X209">
        <v>1</v>
      </c>
      <c r="Y209">
        <v>1</v>
      </c>
      <c r="Z209">
        <v>1</v>
      </c>
    </row>
    <row r="210" spans="1:26" x14ac:dyDescent="0.25">
      <c r="A210" s="1">
        <v>45323.788310185184</v>
      </c>
      <c r="B210" s="8" t="s">
        <v>33</v>
      </c>
      <c r="C210">
        <v>35.652200000000001</v>
      </c>
      <c r="D210">
        <v>-84.702500000000001</v>
      </c>
      <c r="E210">
        <v>159</v>
      </c>
      <c r="F210" s="8" t="s">
        <v>26</v>
      </c>
      <c r="G210">
        <v>26.9</v>
      </c>
      <c r="H210">
        <v>69.5</v>
      </c>
      <c r="I210" s="8" t="s">
        <v>28</v>
      </c>
      <c r="J210">
        <v>32</v>
      </c>
      <c r="K210">
        <v>272</v>
      </c>
      <c r="L210">
        <v>7</v>
      </c>
      <c r="M210" s="8" t="s">
        <v>19</v>
      </c>
      <c r="N210">
        <v>69.7</v>
      </c>
      <c r="O210">
        <v>278</v>
      </c>
      <c r="P210">
        <v>0</v>
      </c>
      <c r="Q210">
        <v>2</v>
      </c>
      <c r="R210">
        <v>2024</v>
      </c>
      <c r="S210">
        <v>4</v>
      </c>
      <c r="T210" s="8" t="s">
        <v>93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 s="1">
        <v>45400.503240740742</v>
      </c>
      <c r="B211" s="8" t="s">
        <v>32</v>
      </c>
      <c r="C211">
        <v>-86.156999999999996</v>
      </c>
      <c r="D211">
        <v>-92.465199999999996</v>
      </c>
      <c r="E211">
        <v>378</v>
      </c>
      <c r="F211" s="8" t="s">
        <v>17</v>
      </c>
      <c r="G211">
        <v>29.5</v>
      </c>
      <c r="H211">
        <v>61.7</v>
      </c>
      <c r="I211" s="8" t="s">
        <v>18</v>
      </c>
      <c r="J211">
        <v>13</v>
      </c>
      <c r="K211">
        <v>305</v>
      </c>
      <c r="L211">
        <v>8</v>
      </c>
      <c r="M211" s="8" t="s">
        <v>31</v>
      </c>
      <c r="N211">
        <v>98.5</v>
      </c>
      <c r="O211">
        <v>211</v>
      </c>
      <c r="P211">
        <v>1</v>
      </c>
      <c r="Q211">
        <v>4</v>
      </c>
      <c r="R211">
        <v>2024</v>
      </c>
      <c r="S211">
        <v>4</v>
      </c>
      <c r="T211" s="8" t="s">
        <v>90</v>
      </c>
      <c r="U211">
        <v>0</v>
      </c>
      <c r="V211">
        <v>2</v>
      </c>
      <c r="W211">
        <v>1</v>
      </c>
      <c r="X211">
        <v>0</v>
      </c>
      <c r="Y211">
        <v>0</v>
      </c>
      <c r="Z211">
        <v>0</v>
      </c>
    </row>
    <row r="212" spans="1:26" x14ac:dyDescent="0.25">
      <c r="A212" s="1">
        <v>45438.604247685187</v>
      </c>
      <c r="B212" s="8" t="s">
        <v>35</v>
      </c>
      <c r="C212">
        <v>25.1355</v>
      </c>
      <c r="D212">
        <v>-2.6802000000000001</v>
      </c>
      <c r="E212">
        <v>469</v>
      </c>
      <c r="F212" s="8" t="s">
        <v>21</v>
      </c>
      <c r="G212">
        <v>26.2</v>
      </c>
      <c r="H212">
        <v>65</v>
      </c>
      <c r="I212" s="8" t="s">
        <v>28</v>
      </c>
      <c r="J212">
        <v>19</v>
      </c>
      <c r="K212">
        <v>477</v>
      </c>
      <c r="L212">
        <v>2</v>
      </c>
      <c r="M212" s="8" t="s">
        <v>31</v>
      </c>
      <c r="N212">
        <v>96.9</v>
      </c>
      <c r="O212">
        <v>206</v>
      </c>
      <c r="P212">
        <v>0</v>
      </c>
      <c r="Q212">
        <v>5</v>
      </c>
      <c r="R212">
        <v>2024</v>
      </c>
      <c r="S212">
        <v>0</v>
      </c>
      <c r="T212" s="8" t="s">
        <v>90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 s="1">
        <v>45502.704780092594</v>
      </c>
      <c r="B213" s="8" t="s">
        <v>32</v>
      </c>
      <c r="C213">
        <v>12.0938</v>
      </c>
      <c r="D213">
        <v>96.899600000000007</v>
      </c>
      <c r="E213">
        <v>106</v>
      </c>
      <c r="F213" s="8" t="s">
        <v>21</v>
      </c>
      <c r="G213">
        <v>27</v>
      </c>
      <c r="H213">
        <v>56.8</v>
      </c>
      <c r="I213" s="8" t="s">
        <v>18</v>
      </c>
      <c r="J213">
        <v>31</v>
      </c>
      <c r="K213">
        <v>120</v>
      </c>
      <c r="L213">
        <v>4</v>
      </c>
      <c r="M213" s="8" t="s">
        <v>23</v>
      </c>
      <c r="N213">
        <v>95.7</v>
      </c>
      <c r="O213">
        <v>286</v>
      </c>
      <c r="P213">
        <v>0</v>
      </c>
      <c r="Q213">
        <v>7</v>
      </c>
      <c r="R213">
        <v>2024</v>
      </c>
      <c r="S213">
        <v>1</v>
      </c>
      <c r="T213" s="8" t="s">
        <v>92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</row>
    <row r="214" spans="1:26" x14ac:dyDescent="0.25">
      <c r="A214" s="1">
        <v>45635.570439814815</v>
      </c>
      <c r="B214" s="8" t="s">
        <v>33</v>
      </c>
      <c r="C214">
        <v>-77.086200000000005</v>
      </c>
      <c r="D214">
        <v>137.9042</v>
      </c>
      <c r="E214">
        <v>486</v>
      </c>
      <c r="F214" s="8" t="s">
        <v>21</v>
      </c>
      <c r="G214">
        <v>21.7</v>
      </c>
      <c r="H214">
        <v>76</v>
      </c>
      <c r="I214" s="8" t="s">
        <v>28</v>
      </c>
      <c r="J214">
        <v>42</v>
      </c>
      <c r="K214">
        <v>282</v>
      </c>
      <c r="L214">
        <v>9</v>
      </c>
      <c r="M214" s="8" t="s">
        <v>31</v>
      </c>
      <c r="N214">
        <v>80.5</v>
      </c>
      <c r="O214">
        <v>139</v>
      </c>
      <c r="P214">
        <v>0</v>
      </c>
      <c r="Q214">
        <v>12</v>
      </c>
      <c r="R214">
        <v>2024</v>
      </c>
      <c r="S214">
        <v>1</v>
      </c>
      <c r="T214" s="8" t="s">
        <v>93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</row>
    <row r="215" spans="1:26" x14ac:dyDescent="0.25">
      <c r="A215" s="1">
        <v>45549.377708333333</v>
      </c>
      <c r="B215" s="8" t="s">
        <v>30</v>
      </c>
      <c r="C215">
        <v>-17.1205</v>
      </c>
      <c r="D215">
        <v>-47.0657</v>
      </c>
      <c r="E215">
        <v>248</v>
      </c>
      <c r="F215" s="8" t="s">
        <v>21</v>
      </c>
      <c r="G215">
        <v>26.3</v>
      </c>
      <c r="H215">
        <v>53.7</v>
      </c>
      <c r="I215" s="8" t="s">
        <v>18</v>
      </c>
      <c r="J215">
        <v>40</v>
      </c>
      <c r="K215">
        <v>146</v>
      </c>
      <c r="L215">
        <v>10</v>
      </c>
      <c r="M215" s="8" t="s">
        <v>23</v>
      </c>
      <c r="N215">
        <v>71.7</v>
      </c>
      <c r="O215">
        <v>246</v>
      </c>
      <c r="P215">
        <v>0</v>
      </c>
      <c r="Q215">
        <v>9</v>
      </c>
      <c r="R215">
        <v>2024</v>
      </c>
      <c r="S215">
        <v>6</v>
      </c>
      <c r="T215" s="8" t="s">
        <v>91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</row>
    <row r="216" spans="1:26" x14ac:dyDescent="0.25">
      <c r="A216" s="1">
        <v>45627.078125</v>
      </c>
      <c r="B216" s="8" t="s">
        <v>33</v>
      </c>
      <c r="C216">
        <v>-52.8874</v>
      </c>
      <c r="D216">
        <v>162.74639999999999</v>
      </c>
      <c r="E216">
        <v>157</v>
      </c>
      <c r="F216" s="8" t="s">
        <v>21</v>
      </c>
      <c r="G216">
        <v>25.4</v>
      </c>
      <c r="H216">
        <v>79.099999999999994</v>
      </c>
      <c r="I216" s="8" t="s">
        <v>18</v>
      </c>
      <c r="J216">
        <v>17</v>
      </c>
      <c r="K216">
        <v>311</v>
      </c>
      <c r="L216">
        <v>9</v>
      </c>
      <c r="M216" s="8" t="s">
        <v>23</v>
      </c>
      <c r="N216">
        <v>69.900000000000006</v>
      </c>
      <c r="O216">
        <v>233</v>
      </c>
      <c r="P216">
        <v>0</v>
      </c>
      <c r="Q216">
        <v>12</v>
      </c>
      <c r="R216">
        <v>2024</v>
      </c>
      <c r="S216">
        <v>0</v>
      </c>
      <c r="T216" s="8" t="s">
        <v>93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0</v>
      </c>
    </row>
    <row r="217" spans="1:26" x14ac:dyDescent="0.25">
      <c r="A217" s="1">
        <v>45523.714861111112</v>
      </c>
      <c r="B217" s="8" t="s">
        <v>20</v>
      </c>
      <c r="C217">
        <v>-3.6577999999999999</v>
      </c>
      <c r="D217">
        <v>176.29900000000001</v>
      </c>
      <c r="E217">
        <v>235</v>
      </c>
      <c r="F217" s="8" t="s">
        <v>21</v>
      </c>
      <c r="G217">
        <v>23.2</v>
      </c>
      <c r="H217">
        <v>54.6</v>
      </c>
      <c r="I217" s="8" t="s">
        <v>28</v>
      </c>
      <c r="J217">
        <v>28</v>
      </c>
      <c r="K217">
        <v>467</v>
      </c>
      <c r="L217">
        <v>9</v>
      </c>
      <c r="M217" s="8" t="s">
        <v>31</v>
      </c>
      <c r="N217">
        <v>68.2</v>
      </c>
      <c r="O217">
        <v>206</v>
      </c>
      <c r="P217">
        <v>0</v>
      </c>
      <c r="Q217">
        <v>8</v>
      </c>
      <c r="R217">
        <v>2024</v>
      </c>
      <c r="S217">
        <v>1</v>
      </c>
      <c r="T217" s="8" t="s">
        <v>92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 s="1">
        <v>45397.790381944447</v>
      </c>
      <c r="B218" s="8" t="s">
        <v>16</v>
      </c>
      <c r="C218">
        <v>-7.6641000000000004</v>
      </c>
      <c r="D218">
        <v>-25.371700000000001</v>
      </c>
      <c r="E218">
        <v>170</v>
      </c>
      <c r="F218" s="8" t="s">
        <v>17</v>
      </c>
      <c r="G218">
        <v>25.4</v>
      </c>
      <c r="H218">
        <v>55.8</v>
      </c>
      <c r="I218" s="8" t="s">
        <v>22</v>
      </c>
      <c r="J218">
        <v>55</v>
      </c>
      <c r="K218">
        <v>463</v>
      </c>
      <c r="L218">
        <v>10</v>
      </c>
      <c r="M218" s="8" t="s">
        <v>23</v>
      </c>
      <c r="N218">
        <v>60.1</v>
      </c>
      <c r="O218">
        <v>112</v>
      </c>
      <c r="P218">
        <v>1</v>
      </c>
      <c r="Q218">
        <v>4</v>
      </c>
      <c r="R218">
        <v>2024</v>
      </c>
      <c r="S218">
        <v>1</v>
      </c>
      <c r="T218" s="8" t="s">
        <v>90</v>
      </c>
      <c r="U218">
        <v>0</v>
      </c>
      <c r="V218">
        <v>2</v>
      </c>
      <c r="W218">
        <v>2</v>
      </c>
      <c r="X218">
        <v>1</v>
      </c>
      <c r="Y218">
        <v>0</v>
      </c>
      <c r="Z218">
        <v>1</v>
      </c>
    </row>
    <row r="219" spans="1:26" x14ac:dyDescent="0.25">
      <c r="A219" s="1">
        <v>45394.457187499997</v>
      </c>
      <c r="B219" s="8" t="s">
        <v>20</v>
      </c>
      <c r="C219">
        <v>-82.141599999999997</v>
      </c>
      <c r="D219">
        <v>-91.892499999999998</v>
      </c>
      <c r="E219">
        <v>342</v>
      </c>
      <c r="F219" s="8" t="s">
        <v>26</v>
      </c>
      <c r="G219">
        <v>25.1</v>
      </c>
      <c r="H219">
        <v>52.4</v>
      </c>
      <c r="I219" s="8" t="s">
        <v>28</v>
      </c>
      <c r="J219">
        <v>24</v>
      </c>
      <c r="K219">
        <v>103</v>
      </c>
      <c r="L219">
        <v>2</v>
      </c>
      <c r="M219" s="8" t="s">
        <v>31</v>
      </c>
      <c r="N219">
        <v>88</v>
      </c>
      <c r="O219">
        <v>209</v>
      </c>
      <c r="P219">
        <v>0</v>
      </c>
      <c r="Q219">
        <v>4</v>
      </c>
      <c r="R219">
        <v>2024</v>
      </c>
      <c r="S219">
        <v>5</v>
      </c>
      <c r="T219" s="8" t="s">
        <v>90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 s="1">
        <v>45345.395358796297</v>
      </c>
      <c r="B220" s="8" t="s">
        <v>33</v>
      </c>
      <c r="C220">
        <v>87.507900000000006</v>
      </c>
      <c r="D220">
        <v>-125.53189999999999</v>
      </c>
      <c r="E220">
        <v>290</v>
      </c>
      <c r="F220" s="8" t="s">
        <v>21</v>
      </c>
      <c r="G220">
        <v>20.5</v>
      </c>
      <c r="H220">
        <v>51.4</v>
      </c>
      <c r="I220" s="8" t="s">
        <v>28</v>
      </c>
      <c r="J220">
        <v>22</v>
      </c>
      <c r="K220">
        <v>170</v>
      </c>
      <c r="L220">
        <v>4</v>
      </c>
      <c r="M220" s="8" t="s">
        <v>31</v>
      </c>
      <c r="N220">
        <v>74.7</v>
      </c>
      <c r="O220">
        <v>147</v>
      </c>
      <c r="P220">
        <v>0</v>
      </c>
      <c r="Q220">
        <v>2</v>
      </c>
      <c r="R220">
        <v>2024</v>
      </c>
      <c r="S220">
        <v>5</v>
      </c>
      <c r="T220" s="8" t="s">
        <v>93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 s="1">
        <v>45349.220555555556</v>
      </c>
      <c r="B221" s="8" t="s">
        <v>35</v>
      </c>
      <c r="C221">
        <v>-76.877099999999999</v>
      </c>
      <c r="D221">
        <v>94.616600000000005</v>
      </c>
      <c r="E221">
        <v>260</v>
      </c>
      <c r="F221" s="8" t="s">
        <v>17</v>
      </c>
      <c r="G221">
        <v>22.8</v>
      </c>
      <c r="H221">
        <v>71.7</v>
      </c>
      <c r="I221" s="8" t="s">
        <v>22</v>
      </c>
      <c r="J221">
        <v>44</v>
      </c>
      <c r="K221">
        <v>393</v>
      </c>
      <c r="L221">
        <v>5</v>
      </c>
      <c r="M221" s="8" t="s">
        <v>31</v>
      </c>
      <c r="N221">
        <v>94.1</v>
      </c>
      <c r="O221">
        <v>154</v>
      </c>
      <c r="P221">
        <v>1</v>
      </c>
      <c r="Q221">
        <v>2</v>
      </c>
      <c r="R221">
        <v>2024</v>
      </c>
      <c r="S221">
        <v>2</v>
      </c>
      <c r="T221" s="8" t="s">
        <v>93</v>
      </c>
      <c r="U221">
        <v>0</v>
      </c>
      <c r="V221">
        <v>2</v>
      </c>
      <c r="W221">
        <v>2</v>
      </c>
      <c r="X221">
        <v>1</v>
      </c>
      <c r="Y221">
        <v>0</v>
      </c>
      <c r="Z221">
        <v>0</v>
      </c>
    </row>
    <row r="222" spans="1:26" x14ac:dyDescent="0.25">
      <c r="A222" s="1">
        <v>45499.799108796295</v>
      </c>
      <c r="B222" s="8" t="s">
        <v>34</v>
      </c>
      <c r="C222">
        <v>89.276499999999999</v>
      </c>
      <c r="D222">
        <v>166.65479999999999</v>
      </c>
      <c r="E222">
        <v>378</v>
      </c>
      <c r="F222" s="8" t="s">
        <v>17</v>
      </c>
      <c r="G222">
        <v>18.899999999999999</v>
      </c>
      <c r="H222">
        <v>55.5</v>
      </c>
      <c r="I222" s="8" t="s">
        <v>22</v>
      </c>
      <c r="J222">
        <v>35</v>
      </c>
      <c r="K222">
        <v>367</v>
      </c>
      <c r="L222">
        <v>4</v>
      </c>
      <c r="M222" s="8" t="s">
        <v>23</v>
      </c>
      <c r="N222">
        <v>74.400000000000006</v>
      </c>
      <c r="O222">
        <v>229</v>
      </c>
      <c r="P222">
        <v>1</v>
      </c>
      <c r="Q222">
        <v>7</v>
      </c>
      <c r="R222">
        <v>2024</v>
      </c>
      <c r="S222">
        <v>5</v>
      </c>
      <c r="T222" s="8" t="s">
        <v>92</v>
      </c>
      <c r="U222">
        <v>1</v>
      </c>
      <c r="V222">
        <v>2</v>
      </c>
      <c r="W222">
        <v>2</v>
      </c>
      <c r="X222">
        <v>1</v>
      </c>
      <c r="Y222">
        <v>0</v>
      </c>
      <c r="Z222">
        <v>0</v>
      </c>
    </row>
    <row r="223" spans="1:26" x14ac:dyDescent="0.25">
      <c r="A223" s="1">
        <v>45472.222500000003</v>
      </c>
      <c r="B223" s="8" t="s">
        <v>30</v>
      </c>
      <c r="C223">
        <v>-82.854600000000005</v>
      </c>
      <c r="D223">
        <v>7.8760000000000003</v>
      </c>
      <c r="E223">
        <v>177</v>
      </c>
      <c r="F223" s="8" t="s">
        <v>17</v>
      </c>
      <c r="G223">
        <v>19.2</v>
      </c>
      <c r="H223">
        <v>70.099999999999994</v>
      </c>
      <c r="I223" s="8" t="s">
        <v>28</v>
      </c>
      <c r="J223">
        <v>57</v>
      </c>
      <c r="K223">
        <v>141</v>
      </c>
      <c r="L223">
        <v>4</v>
      </c>
      <c r="M223" s="8" t="s">
        <v>23</v>
      </c>
      <c r="N223">
        <v>86.6</v>
      </c>
      <c r="O223">
        <v>249</v>
      </c>
      <c r="P223">
        <v>1</v>
      </c>
      <c r="Q223">
        <v>6</v>
      </c>
      <c r="R223">
        <v>2024</v>
      </c>
      <c r="S223">
        <v>6</v>
      </c>
      <c r="T223" s="8" t="s">
        <v>92</v>
      </c>
      <c r="U223">
        <v>1</v>
      </c>
      <c r="V223">
        <v>2</v>
      </c>
      <c r="W223">
        <v>0</v>
      </c>
      <c r="X223">
        <v>0</v>
      </c>
      <c r="Y223">
        <v>0</v>
      </c>
      <c r="Z223">
        <v>1</v>
      </c>
    </row>
    <row r="224" spans="1:26" x14ac:dyDescent="0.25">
      <c r="A224" s="1">
        <v>45397.194525462961</v>
      </c>
      <c r="B224" s="8" t="s">
        <v>30</v>
      </c>
      <c r="C224">
        <v>-40.283999999999999</v>
      </c>
      <c r="D224">
        <v>-86.808899999999994</v>
      </c>
      <c r="E224">
        <v>310</v>
      </c>
      <c r="F224" s="8" t="s">
        <v>21</v>
      </c>
      <c r="G224">
        <v>22.8</v>
      </c>
      <c r="H224">
        <v>64.400000000000006</v>
      </c>
      <c r="I224" s="8" t="s">
        <v>22</v>
      </c>
      <c r="J224">
        <v>33</v>
      </c>
      <c r="K224">
        <v>104</v>
      </c>
      <c r="L224">
        <v>2</v>
      </c>
      <c r="M224" s="8" t="s">
        <v>31</v>
      </c>
      <c r="N224">
        <v>98.9</v>
      </c>
      <c r="O224">
        <v>110</v>
      </c>
      <c r="P224">
        <v>1</v>
      </c>
      <c r="Q224">
        <v>4</v>
      </c>
      <c r="R224">
        <v>2024</v>
      </c>
      <c r="S224">
        <v>1</v>
      </c>
      <c r="T224" s="8" t="s">
        <v>90</v>
      </c>
      <c r="U224">
        <v>0</v>
      </c>
      <c r="V224">
        <v>0</v>
      </c>
      <c r="W224">
        <v>2</v>
      </c>
      <c r="X224">
        <v>1</v>
      </c>
      <c r="Y224">
        <v>0</v>
      </c>
      <c r="Z224">
        <v>0</v>
      </c>
    </row>
    <row r="225" spans="1:26" x14ac:dyDescent="0.25">
      <c r="A225" s="1">
        <v>45497.172939814816</v>
      </c>
      <c r="B225" s="8" t="s">
        <v>33</v>
      </c>
      <c r="C225">
        <v>2.2208000000000001</v>
      </c>
      <c r="D225">
        <v>-170.26410000000001</v>
      </c>
      <c r="E225">
        <v>132</v>
      </c>
      <c r="F225" s="8" t="s">
        <v>26</v>
      </c>
      <c r="G225">
        <v>27.5</v>
      </c>
      <c r="H225">
        <v>57.2</v>
      </c>
      <c r="I225" s="8" t="s">
        <v>22</v>
      </c>
      <c r="J225">
        <v>36</v>
      </c>
      <c r="K225">
        <v>481</v>
      </c>
      <c r="L225">
        <v>5</v>
      </c>
      <c r="M225" s="8" t="s">
        <v>27</v>
      </c>
      <c r="N225">
        <v>65.2</v>
      </c>
      <c r="O225">
        <v>140</v>
      </c>
      <c r="P225">
        <v>1</v>
      </c>
      <c r="Q225">
        <v>7</v>
      </c>
      <c r="R225">
        <v>2024</v>
      </c>
      <c r="S225">
        <v>3</v>
      </c>
      <c r="T225" s="8" t="s">
        <v>92</v>
      </c>
      <c r="U225">
        <v>0</v>
      </c>
      <c r="V225">
        <v>1</v>
      </c>
      <c r="W225">
        <v>2</v>
      </c>
      <c r="X225">
        <v>1</v>
      </c>
      <c r="Y225">
        <v>0</v>
      </c>
      <c r="Z225">
        <v>0</v>
      </c>
    </row>
    <row r="226" spans="1:26" x14ac:dyDescent="0.25">
      <c r="A226" s="1">
        <v>45492.046076388891</v>
      </c>
      <c r="B226" s="8" t="s">
        <v>32</v>
      </c>
      <c r="C226">
        <v>54.842300000000002</v>
      </c>
      <c r="D226">
        <v>175.5701</v>
      </c>
      <c r="E226">
        <v>331</v>
      </c>
      <c r="F226" s="8" t="s">
        <v>17</v>
      </c>
      <c r="G226">
        <v>25.6</v>
      </c>
      <c r="H226">
        <v>77.8</v>
      </c>
      <c r="I226" s="8" t="s">
        <v>22</v>
      </c>
      <c r="J226">
        <v>26</v>
      </c>
      <c r="K226">
        <v>213</v>
      </c>
      <c r="L226">
        <v>9</v>
      </c>
      <c r="M226" s="8" t="s">
        <v>27</v>
      </c>
      <c r="N226">
        <v>90.7</v>
      </c>
      <c r="O226">
        <v>269</v>
      </c>
      <c r="P226">
        <v>1</v>
      </c>
      <c r="Q226">
        <v>7</v>
      </c>
      <c r="R226">
        <v>2024</v>
      </c>
      <c r="S226">
        <v>5</v>
      </c>
      <c r="T226" s="8" t="s">
        <v>92</v>
      </c>
      <c r="U226">
        <v>1</v>
      </c>
      <c r="V226">
        <v>2</v>
      </c>
      <c r="W226">
        <v>2</v>
      </c>
      <c r="X226">
        <v>1</v>
      </c>
      <c r="Y226">
        <v>1</v>
      </c>
      <c r="Z226">
        <v>0</v>
      </c>
    </row>
    <row r="227" spans="1:26" x14ac:dyDescent="0.25">
      <c r="A227" s="1">
        <v>45405.701909722222</v>
      </c>
      <c r="B227" s="8" t="s">
        <v>35</v>
      </c>
      <c r="C227">
        <v>-78.472300000000004</v>
      </c>
      <c r="D227">
        <v>-82.614999999999995</v>
      </c>
      <c r="E227">
        <v>294</v>
      </c>
      <c r="F227" s="8" t="s">
        <v>26</v>
      </c>
      <c r="G227">
        <v>24.4</v>
      </c>
      <c r="H227">
        <v>65.2</v>
      </c>
      <c r="I227" s="8" t="s">
        <v>18</v>
      </c>
      <c r="J227">
        <v>23</v>
      </c>
      <c r="K227">
        <v>439</v>
      </c>
      <c r="L227">
        <v>8</v>
      </c>
      <c r="M227" s="8" t="s">
        <v>27</v>
      </c>
      <c r="N227">
        <v>65</v>
      </c>
      <c r="O227">
        <v>213</v>
      </c>
      <c r="P227">
        <v>0</v>
      </c>
      <c r="Q227">
        <v>4</v>
      </c>
      <c r="R227">
        <v>2024</v>
      </c>
      <c r="S227">
        <v>2</v>
      </c>
      <c r="T227" s="8" t="s">
        <v>90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0</v>
      </c>
    </row>
    <row r="228" spans="1:26" x14ac:dyDescent="0.25">
      <c r="A228" s="1">
        <v>45461.539641203701</v>
      </c>
      <c r="B228" s="8" t="s">
        <v>20</v>
      </c>
      <c r="C228">
        <v>4.8495999999999997</v>
      </c>
      <c r="D228">
        <v>-60.7988</v>
      </c>
      <c r="E228">
        <v>277</v>
      </c>
      <c r="F228" s="8" t="s">
        <v>26</v>
      </c>
      <c r="G228">
        <v>29.3</v>
      </c>
      <c r="H228">
        <v>50.7</v>
      </c>
      <c r="I228" s="8" t="s">
        <v>22</v>
      </c>
      <c r="J228">
        <v>24</v>
      </c>
      <c r="K228">
        <v>242</v>
      </c>
      <c r="L228">
        <v>2</v>
      </c>
      <c r="M228" s="8" t="s">
        <v>31</v>
      </c>
      <c r="N228">
        <v>93.4</v>
      </c>
      <c r="O228">
        <v>271</v>
      </c>
      <c r="P228">
        <v>1</v>
      </c>
      <c r="Q228">
        <v>6</v>
      </c>
      <c r="R228">
        <v>2024</v>
      </c>
      <c r="S228">
        <v>2</v>
      </c>
      <c r="T228" s="8" t="s">
        <v>92</v>
      </c>
      <c r="U228">
        <v>0</v>
      </c>
      <c r="V228">
        <v>1</v>
      </c>
      <c r="W228">
        <v>2</v>
      </c>
      <c r="X228">
        <v>1</v>
      </c>
      <c r="Y228">
        <v>0</v>
      </c>
      <c r="Z228">
        <v>0</v>
      </c>
    </row>
    <row r="229" spans="1:26" x14ac:dyDescent="0.25">
      <c r="A229" s="1">
        <v>45643.174525462964</v>
      </c>
      <c r="B229" s="8" t="s">
        <v>34</v>
      </c>
      <c r="C229">
        <v>54.034199999999998</v>
      </c>
      <c r="D229">
        <v>-98.308300000000003</v>
      </c>
      <c r="E229">
        <v>329</v>
      </c>
      <c r="F229" s="8" t="s">
        <v>17</v>
      </c>
      <c r="G229">
        <v>29.7</v>
      </c>
      <c r="H229">
        <v>77.900000000000006</v>
      </c>
      <c r="I229" s="8" t="s">
        <v>22</v>
      </c>
      <c r="J229">
        <v>33</v>
      </c>
      <c r="K229">
        <v>232</v>
      </c>
      <c r="L229">
        <v>5</v>
      </c>
      <c r="M229" s="8" t="s">
        <v>23</v>
      </c>
      <c r="N229">
        <v>91.9</v>
      </c>
      <c r="O229">
        <v>124</v>
      </c>
      <c r="P229">
        <v>1</v>
      </c>
      <c r="Q229">
        <v>12</v>
      </c>
      <c r="R229">
        <v>2024</v>
      </c>
      <c r="S229">
        <v>2</v>
      </c>
      <c r="T229" s="8" t="s">
        <v>93</v>
      </c>
      <c r="U229">
        <v>0</v>
      </c>
      <c r="V229">
        <v>2</v>
      </c>
      <c r="W229">
        <v>2</v>
      </c>
      <c r="X229">
        <v>1</v>
      </c>
      <c r="Y229">
        <v>1</v>
      </c>
      <c r="Z229">
        <v>0</v>
      </c>
    </row>
    <row r="230" spans="1:26" x14ac:dyDescent="0.25">
      <c r="A230" s="1">
        <v>45613.195347222223</v>
      </c>
      <c r="B230" s="8" t="s">
        <v>32</v>
      </c>
      <c r="C230">
        <v>41.43</v>
      </c>
      <c r="D230">
        <v>-128.1678</v>
      </c>
      <c r="E230">
        <v>204</v>
      </c>
      <c r="F230" s="8" t="s">
        <v>26</v>
      </c>
      <c r="G230">
        <v>18.7</v>
      </c>
      <c r="H230">
        <v>68.5</v>
      </c>
      <c r="I230" s="8" t="s">
        <v>22</v>
      </c>
      <c r="J230">
        <v>27</v>
      </c>
      <c r="K230">
        <v>473</v>
      </c>
      <c r="L230">
        <v>2</v>
      </c>
      <c r="M230" s="8" t="s">
        <v>27</v>
      </c>
      <c r="N230">
        <v>76.900000000000006</v>
      </c>
      <c r="O230">
        <v>217</v>
      </c>
      <c r="P230">
        <v>1</v>
      </c>
      <c r="Q230">
        <v>11</v>
      </c>
      <c r="R230">
        <v>2024</v>
      </c>
      <c r="S230">
        <v>0</v>
      </c>
      <c r="T230" s="8" t="s">
        <v>91</v>
      </c>
      <c r="U230">
        <v>0</v>
      </c>
      <c r="V230">
        <v>1</v>
      </c>
      <c r="W230">
        <v>2</v>
      </c>
      <c r="X230">
        <v>1</v>
      </c>
      <c r="Y230">
        <v>0</v>
      </c>
      <c r="Z230">
        <v>0</v>
      </c>
    </row>
    <row r="231" spans="1:26" x14ac:dyDescent="0.25">
      <c r="A231" s="1">
        <v>45463.471365740741</v>
      </c>
      <c r="B231" s="8" t="s">
        <v>35</v>
      </c>
      <c r="C231">
        <v>-56.067399999999999</v>
      </c>
      <c r="D231">
        <v>82.943100000000001</v>
      </c>
      <c r="E231">
        <v>410</v>
      </c>
      <c r="F231" s="8" t="s">
        <v>26</v>
      </c>
      <c r="G231">
        <v>28.9</v>
      </c>
      <c r="H231">
        <v>60.3</v>
      </c>
      <c r="I231" s="8" t="s">
        <v>28</v>
      </c>
      <c r="J231">
        <v>32</v>
      </c>
      <c r="K231">
        <v>436</v>
      </c>
      <c r="L231">
        <v>1</v>
      </c>
      <c r="M231" s="8" t="s">
        <v>19</v>
      </c>
      <c r="N231">
        <v>77.2</v>
      </c>
      <c r="O231">
        <v>272</v>
      </c>
      <c r="P231">
        <v>0</v>
      </c>
      <c r="Q231">
        <v>6</v>
      </c>
      <c r="R231">
        <v>2024</v>
      </c>
      <c r="S231">
        <v>4</v>
      </c>
      <c r="T231" s="8" t="s">
        <v>92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</row>
    <row r="232" spans="1:26" x14ac:dyDescent="0.25">
      <c r="A232" s="1">
        <v>45472.46974537037</v>
      </c>
      <c r="B232" s="8" t="s">
        <v>16</v>
      </c>
      <c r="C232">
        <v>-0.85389999999999999</v>
      </c>
      <c r="D232">
        <v>-177.5496</v>
      </c>
      <c r="E232">
        <v>417</v>
      </c>
      <c r="F232" s="8" t="s">
        <v>17</v>
      </c>
      <c r="G232">
        <v>26.9</v>
      </c>
      <c r="H232">
        <v>70.8</v>
      </c>
      <c r="I232" s="8" t="s">
        <v>28</v>
      </c>
      <c r="J232">
        <v>44</v>
      </c>
      <c r="K232">
        <v>103</v>
      </c>
      <c r="L232">
        <v>7</v>
      </c>
      <c r="M232" s="8" t="s">
        <v>31</v>
      </c>
      <c r="N232">
        <v>94.7</v>
      </c>
      <c r="O232">
        <v>181</v>
      </c>
      <c r="P232">
        <v>1</v>
      </c>
      <c r="Q232">
        <v>6</v>
      </c>
      <c r="R232">
        <v>2024</v>
      </c>
      <c r="S232">
        <v>6</v>
      </c>
      <c r="T232" s="8" t="s">
        <v>92</v>
      </c>
      <c r="U232">
        <v>1</v>
      </c>
      <c r="V232">
        <v>2</v>
      </c>
      <c r="W232">
        <v>0</v>
      </c>
      <c r="X232">
        <v>0</v>
      </c>
      <c r="Y232">
        <v>0</v>
      </c>
      <c r="Z232">
        <v>0</v>
      </c>
    </row>
    <row r="233" spans="1:26" x14ac:dyDescent="0.25">
      <c r="A233" s="1">
        <v>45478.385277777779</v>
      </c>
      <c r="B233" s="8" t="s">
        <v>20</v>
      </c>
      <c r="C233">
        <v>54.597299999999997</v>
      </c>
      <c r="D233">
        <v>-128.4974</v>
      </c>
      <c r="E233">
        <v>324</v>
      </c>
      <c r="F233" s="8" t="s">
        <v>26</v>
      </c>
      <c r="G233">
        <v>20.7</v>
      </c>
      <c r="H233">
        <v>72.400000000000006</v>
      </c>
      <c r="I233" s="8" t="s">
        <v>28</v>
      </c>
      <c r="J233">
        <v>12</v>
      </c>
      <c r="K233">
        <v>173</v>
      </c>
      <c r="L233">
        <v>7</v>
      </c>
      <c r="M233" s="8" t="s">
        <v>19</v>
      </c>
      <c r="N233">
        <v>95.1</v>
      </c>
      <c r="O233">
        <v>243</v>
      </c>
      <c r="P233">
        <v>0</v>
      </c>
      <c r="Q233">
        <v>7</v>
      </c>
      <c r="R233">
        <v>2024</v>
      </c>
      <c r="S233">
        <v>5</v>
      </c>
      <c r="T233" s="8" t="s">
        <v>92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</row>
    <row r="234" spans="1:26" x14ac:dyDescent="0.25">
      <c r="A234" s="1">
        <v>45492.840902777774</v>
      </c>
      <c r="B234" s="8" t="s">
        <v>32</v>
      </c>
      <c r="C234">
        <v>-46.145699999999998</v>
      </c>
      <c r="D234">
        <v>161.02539999999999</v>
      </c>
      <c r="E234">
        <v>218</v>
      </c>
      <c r="F234" s="8" t="s">
        <v>17</v>
      </c>
      <c r="G234">
        <v>23.8</v>
      </c>
      <c r="H234">
        <v>52.3</v>
      </c>
      <c r="I234" s="8" t="s">
        <v>18</v>
      </c>
      <c r="J234">
        <v>52</v>
      </c>
      <c r="K234">
        <v>389</v>
      </c>
      <c r="L234">
        <v>2</v>
      </c>
      <c r="M234" s="8" t="s">
        <v>27</v>
      </c>
      <c r="N234">
        <v>79.5</v>
      </c>
      <c r="O234">
        <v>231</v>
      </c>
      <c r="P234">
        <v>1</v>
      </c>
      <c r="Q234">
        <v>7</v>
      </c>
      <c r="R234">
        <v>2024</v>
      </c>
      <c r="S234">
        <v>5</v>
      </c>
      <c r="T234" s="8" t="s">
        <v>92</v>
      </c>
      <c r="U234">
        <v>1</v>
      </c>
      <c r="V234">
        <v>2</v>
      </c>
      <c r="W234">
        <v>1</v>
      </c>
      <c r="X234">
        <v>0</v>
      </c>
      <c r="Y234">
        <v>0</v>
      </c>
      <c r="Z234">
        <v>1</v>
      </c>
    </row>
    <row r="235" spans="1:26" x14ac:dyDescent="0.25">
      <c r="A235" s="1">
        <v>45531.934930555559</v>
      </c>
      <c r="B235" s="8" t="s">
        <v>34</v>
      </c>
      <c r="C235">
        <v>76.839100000000002</v>
      </c>
      <c r="D235">
        <v>140.30109999999999</v>
      </c>
      <c r="E235">
        <v>137</v>
      </c>
      <c r="F235" s="8" t="s">
        <v>17</v>
      </c>
      <c r="G235">
        <v>23.6</v>
      </c>
      <c r="H235">
        <v>51.7</v>
      </c>
      <c r="I235" s="8" t="s">
        <v>18</v>
      </c>
      <c r="J235">
        <v>24</v>
      </c>
      <c r="K235">
        <v>124</v>
      </c>
      <c r="L235">
        <v>6</v>
      </c>
      <c r="M235" s="8" t="s">
        <v>27</v>
      </c>
      <c r="N235">
        <v>70.599999999999994</v>
      </c>
      <c r="O235">
        <v>279</v>
      </c>
      <c r="P235">
        <v>1</v>
      </c>
      <c r="Q235">
        <v>8</v>
      </c>
      <c r="R235">
        <v>2024</v>
      </c>
      <c r="S235">
        <v>2</v>
      </c>
      <c r="T235" s="8" t="s">
        <v>92</v>
      </c>
      <c r="U235">
        <v>0</v>
      </c>
      <c r="V235">
        <v>2</v>
      </c>
      <c r="W235">
        <v>1</v>
      </c>
      <c r="X235">
        <v>0</v>
      </c>
      <c r="Y235">
        <v>0</v>
      </c>
      <c r="Z235">
        <v>0</v>
      </c>
    </row>
    <row r="236" spans="1:26" x14ac:dyDescent="0.25">
      <c r="A236" s="1">
        <v>45460.113553240742</v>
      </c>
      <c r="B236" s="8" t="s">
        <v>29</v>
      </c>
      <c r="C236">
        <v>-59.191400000000002</v>
      </c>
      <c r="D236">
        <v>-125.4515</v>
      </c>
      <c r="E236">
        <v>414</v>
      </c>
      <c r="F236" s="8" t="s">
        <v>17</v>
      </c>
      <c r="G236">
        <v>18.3</v>
      </c>
      <c r="H236">
        <v>76.400000000000006</v>
      </c>
      <c r="I236" s="8" t="s">
        <v>18</v>
      </c>
      <c r="J236">
        <v>42</v>
      </c>
      <c r="K236">
        <v>332</v>
      </c>
      <c r="L236">
        <v>10</v>
      </c>
      <c r="M236" s="8" t="s">
        <v>27</v>
      </c>
      <c r="N236">
        <v>66.3</v>
      </c>
      <c r="O236">
        <v>249</v>
      </c>
      <c r="P236">
        <v>1</v>
      </c>
      <c r="Q236">
        <v>6</v>
      </c>
      <c r="R236">
        <v>2024</v>
      </c>
      <c r="S236">
        <v>1</v>
      </c>
      <c r="T236" s="8" t="s">
        <v>92</v>
      </c>
      <c r="U236">
        <v>0</v>
      </c>
      <c r="V236">
        <v>2</v>
      </c>
      <c r="W236">
        <v>1</v>
      </c>
      <c r="X236">
        <v>0</v>
      </c>
      <c r="Y236">
        <v>1</v>
      </c>
      <c r="Z236">
        <v>0</v>
      </c>
    </row>
    <row r="237" spans="1:26" x14ac:dyDescent="0.25">
      <c r="A237" s="1">
        <v>45433.104375000003</v>
      </c>
      <c r="B237" s="8" t="s">
        <v>35</v>
      </c>
      <c r="C237">
        <v>-75.617699999999999</v>
      </c>
      <c r="D237">
        <v>-156.976</v>
      </c>
      <c r="E237">
        <v>216</v>
      </c>
      <c r="F237" s="8" t="s">
        <v>21</v>
      </c>
      <c r="G237">
        <v>26.9</v>
      </c>
      <c r="H237">
        <v>67.2</v>
      </c>
      <c r="I237" s="8" t="s">
        <v>18</v>
      </c>
      <c r="J237">
        <v>35</v>
      </c>
      <c r="K237">
        <v>181</v>
      </c>
      <c r="L237">
        <v>10</v>
      </c>
      <c r="M237" s="8" t="s">
        <v>23</v>
      </c>
      <c r="N237">
        <v>86.2</v>
      </c>
      <c r="O237">
        <v>185</v>
      </c>
      <c r="P237">
        <v>0</v>
      </c>
      <c r="Q237">
        <v>5</v>
      </c>
      <c r="R237">
        <v>2024</v>
      </c>
      <c r="S237">
        <v>2</v>
      </c>
      <c r="T237" s="8" t="s">
        <v>90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</row>
    <row r="238" spans="1:26" x14ac:dyDescent="0.25">
      <c r="A238" s="1">
        <v>45420.092928240738</v>
      </c>
      <c r="B238" s="8" t="s">
        <v>32</v>
      </c>
      <c r="C238">
        <v>-24.1694</v>
      </c>
      <c r="D238">
        <v>30.0335</v>
      </c>
      <c r="E238">
        <v>170</v>
      </c>
      <c r="F238" s="8" t="s">
        <v>17</v>
      </c>
      <c r="G238">
        <v>26.4</v>
      </c>
      <c r="H238">
        <v>51.6</v>
      </c>
      <c r="I238" s="8" t="s">
        <v>18</v>
      </c>
      <c r="J238">
        <v>47</v>
      </c>
      <c r="K238">
        <v>278</v>
      </c>
      <c r="L238">
        <v>3</v>
      </c>
      <c r="M238" s="8" t="s">
        <v>19</v>
      </c>
      <c r="N238">
        <v>96.4</v>
      </c>
      <c r="O238">
        <v>105</v>
      </c>
      <c r="P238">
        <v>1</v>
      </c>
      <c r="Q238">
        <v>5</v>
      </c>
      <c r="R238">
        <v>2024</v>
      </c>
      <c r="S238">
        <v>3</v>
      </c>
      <c r="T238" s="8" t="s">
        <v>90</v>
      </c>
      <c r="U238">
        <v>0</v>
      </c>
      <c r="V238">
        <v>2</v>
      </c>
      <c r="W238">
        <v>1</v>
      </c>
      <c r="X238">
        <v>0</v>
      </c>
      <c r="Y238">
        <v>0</v>
      </c>
      <c r="Z238">
        <v>1</v>
      </c>
    </row>
    <row r="239" spans="1:26" x14ac:dyDescent="0.25">
      <c r="A239" s="1">
        <v>45414.409456018519</v>
      </c>
      <c r="B239" s="8" t="s">
        <v>30</v>
      </c>
      <c r="C239">
        <v>-6.8583999999999996</v>
      </c>
      <c r="D239">
        <v>150.61269999999999</v>
      </c>
      <c r="E239">
        <v>154</v>
      </c>
      <c r="F239" s="8" t="s">
        <v>26</v>
      </c>
      <c r="G239">
        <v>28.6</v>
      </c>
      <c r="H239">
        <v>66.8</v>
      </c>
      <c r="I239" s="8" t="s">
        <v>28</v>
      </c>
      <c r="J239">
        <v>18</v>
      </c>
      <c r="K239">
        <v>384</v>
      </c>
      <c r="L239">
        <v>9</v>
      </c>
      <c r="M239" s="8" t="s">
        <v>23</v>
      </c>
      <c r="N239">
        <v>60.4</v>
      </c>
      <c r="O239">
        <v>263</v>
      </c>
      <c r="P239">
        <v>0</v>
      </c>
      <c r="Q239">
        <v>5</v>
      </c>
      <c r="R239">
        <v>2024</v>
      </c>
      <c r="S239">
        <v>4</v>
      </c>
      <c r="T239" s="8" t="s">
        <v>90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</row>
    <row r="240" spans="1:26" x14ac:dyDescent="0.25">
      <c r="A240" s="1">
        <v>45316.843900462962</v>
      </c>
      <c r="B240" s="8" t="s">
        <v>30</v>
      </c>
      <c r="C240">
        <v>-32.214599999999997</v>
      </c>
      <c r="D240">
        <v>166.79409999999999</v>
      </c>
      <c r="E240">
        <v>213</v>
      </c>
      <c r="F240" s="8" t="s">
        <v>26</v>
      </c>
      <c r="G240">
        <v>25</v>
      </c>
      <c r="H240">
        <v>72.7</v>
      </c>
      <c r="I240" s="8" t="s">
        <v>18</v>
      </c>
      <c r="J240">
        <v>51</v>
      </c>
      <c r="K240">
        <v>353</v>
      </c>
      <c r="L240">
        <v>8</v>
      </c>
      <c r="M240" s="8" t="s">
        <v>19</v>
      </c>
      <c r="N240">
        <v>82.6</v>
      </c>
      <c r="O240">
        <v>227</v>
      </c>
      <c r="P240">
        <v>0</v>
      </c>
      <c r="Q240">
        <v>1</v>
      </c>
      <c r="R240">
        <v>2024</v>
      </c>
      <c r="S240">
        <v>4</v>
      </c>
      <c r="T240" s="8" t="s">
        <v>93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1</v>
      </c>
    </row>
    <row r="241" spans="1:26" x14ac:dyDescent="0.25">
      <c r="A241" s="1">
        <v>45298.534166666665</v>
      </c>
      <c r="B241" s="8" t="s">
        <v>29</v>
      </c>
      <c r="C241">
        <v>-46.305100000000003</v>
      </c>
      <c r="D241">
        <v>-93.1541</v>
      </c>
      <c r="E241">
        <v>276</v>
      </c>
      <c r="F241" s="8" t="s">
        <v>26</v>
      </c>
      <c r="G241">
        <v>24.9</v>
      </c>
      <c r="H241">
        <v>77</v>
      </c>
      <c r="I241" s="8" t="s">
        <v>18</v>
      </c>
      <c r="J241">
        <v>60</v>
      </c>
      <c r="K241">
        <v>467</v>
      </c>
      <c r="L241">
        <v>4</v>
      </c>
      <c r="M241" s="8" t="s">
        <v>23</v>
      </c>
      <c r="N241">
        <v>84.6</v>
      </c>
      <c r="O241">
        <v>292</v>
      </c>
      <c r="P241">
        <v>0</v>
      </c>
      <c r="Q241">
        <v>1</v>
      </c>
      <c r="R241">
        <v>2024</v>
      </c>
      <c r="S241">
        <v>0</v>
      </c>
      <c r="T241" s="8" t="s">
        <v>93</v>
      </c>
      <c r="U241">
        <v>0</v>
      </c>
      <c r="V241">
        <v>1</v>
      </c>
      <c r="W241">
        <v>1</v>
      </c>
      <c r="X241">
        <v>0</v>
      </c>
      <c r="Y241">
        <v>1</v>
      </c>
      <c r="Z241">
        <v>1</v>
      </c>
    </row>
    <row r="242" spans="1:26" x14ac:dyDescent="0.25">
      <c r="A242" s="1">
        <v>45359.423344907409</v>
      </c>
      <c r="B242" s="8" t="s">
        <v>24</v>
      </c>
      <c r="C242">
        <v>-85.085899999999995</v>
      </c>
      <c r="D242">
        <v>41.137999999999998</v>
      </c>
      <c r="E242">
        <v>382</v>
      </c>
      <c r="F242" s="8" t="s">
        <v>21</v>
      </c>
      <c r="G242">
        <v>22</v>
      </c>
      <c r="H242">
        <v>77.8</v>
      </c>
      <c r="I242" s="8" t="s">
        <v>28</v>
      </c>
      <c r="J242">
        <v>47</v>
      </c>
      <c r="K242">
        <v>448</v>
      </c>
      <c r="L242">
        <v>5</v>
      </c>
      <c r="M242" s="8" t="s">
        <v>23</v>
      </c>
      <c r="N242">
        <v>81.400000000000006</v>
      </c>
      <c r="O242">
        <v>246</v>
      </c>
      <c r="P242">
        <v>0</v>
      </c>
      <c r="Q242">
        <v>3</v>
      </c>
      <c r="R242">
        <v>2024</v>
      </c>
      <c r="S242">
        <v>5</v>
      </c>
      <c r="T242" s="8" t="s">
        <v>90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1</v>
      </c>
    </row>
    <row r="243" spans="1:26" x14ac:dyDescent="0.25">
      <c r="A243" s="1">
        <v>45648.625914351855</v>
      </c>
      <c r="B243" s="8" t="s">
        <v>32</v>
      </c>
      <c r="C243">
        <v>89.1858</v>
      </c>
      <c r="D243">
        <v>-159.32419999999999</v>
      </c>
      <c r="E243">
        <v>383</v>
      </c>
      <c r="F243" s="8" t="s">
        <v>21</v>
      </c>
      <c r="G243">
        <v>19.100000000000001</v>
      </c>
      <c r="H243">
        <v>69</v>
      </c>
      <c r="I243" s="8" t="s">
        <v>18</v>
      </c>
      <c r="J243">
        <v>16</v>
      </c>
      <c r="K243">
        <v>238</v>
      </c>
      <c r="L243">
        <v>3</v>
      </c>
      <c r="M243" s="8" t="s">
        <v>23</v>
      </c>
      <c r="N243">
        <v>90.7</v>
      </c>
      <c r="O243">
        <v>290</v>
      </c>
      <c r="P243">
        <v>0</v>
      </c>
      <c r="Q243">
        <v>12</v>
      </c>
      <c r="R243">
        <v>2024</v>
      </c>
      <c r="S243">
        <v>0</v>
      </c>
      <c r="T243" s="8" t="s">
        <v>93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</row>
    <row r="244" spans="1:26" x14ac:dyDescent="0.25">
      <c r="A244" s="1">
        <v>45312.553506944445</v>
      </c>
      <c r="B244" s="8" t="s">
        <v>35</v>
      </c>
      <c r="C244">
        <v>1.429</v>
      </c>
      <c r="D244">
        <v>-119.0925</v>
      </c>
      <c r="E244">
        <v>334</v>
      </c>
      <c r="F244" s="8" t="s">
        <v>17</v>
      </c>
      <c r="G244">
        <v>26.6</v>
      </c>
      <c r="H244">
        <v>74.099999999999994</v>
      </c>
      <c r="I244" s="8" t="s">
        <v>18</v>
      </c>
      <c r="J244">
        <v>10</v>
      </c>
      <c r="K244">
        <v>317</v>
      </c>
      <c r="L244">
        <v>3</v>
      </c>
      <c r="M244" s="8" t="s">
        <v>27</v>
      </c>
      <c r="N244">
        <v>73</v>
      </c>
      <c r="O244">
        <v>184</v>
      </c>
      <c r="P244">
        <v>1</v>
      </c>
      <c r="Q244">
        <v>1</v>
      </c>
      <c r="R244">
        <v>2024</v>
      </c>
      <c r="S244">
        <v>0</v>
      </c>
      <c r="T244" s="8" t="s">
        <v>93</v>
      </c>
      <c r="U244">
        <v>0</v>
      </c>
      <c r="V244">
        <v>2</v>
      </c>
      <c r="W244">
        <v>1</v>
      </c>
      <c r="X244">
        <v>0</v>
      </c>
      <c r="Y244">
        <v>0</v>
      </c>
      <c r="Z244">
        <v>0</v>
      </c>
    </row>
    <row r="245" spans="1:26" x14ac:dyDescent="0.25">
      <c r="A245" s="1">
        <v>45468.107800925929</v>
      </c>
      <c r="B245" s="8" t="s">
        <v>25</v>
      </c>
      <c r="C245">
        <v>78.325199999999995</v>
      </c>
      <c r="D245">
        <v>15.2758</v>
      </c>
      <c r="E245">
        <v>421</v>
      </c>
      <c r="F245" s="8" t="s">
        <v>17</v>
      </c>
      <c r="G245">
        <v>26.3</v>
      </c>
      <c r="H245">
        <v>68.8</v>
      </c>
      <c r="I245" s="8" t="s">
        <v>22</v>
      </c>
      <c r="J245">
        <v>53</v>
      </c>
      <c r="K245">
        <v>128</v>
      </c>
      <c r="L245">
        <v>6</v>
      </c>
      <c r="M245" s="8" t="s">
        <v>19</v>
      </c>
      <c r="N245">
        <v>76.599999999999994</v>
      </c>
      <c r="O245">
        <v>100</v>
      </c>
      <c r="P245">
        <v>1</v>
      </c>
      <c r="Q245">
        <v>6</v>
      </c>
      <c r="R245">
        <v>2024</v>
      </c>
      <c r="S245">
        <v>2</v>
      </c>
      <c r="T245" s="8" t="s">
        <v>92</v>
      </c>
      <c r="U245">
        <v>0</v>
      </c>
      <c r="V245">
        <v>2</v>
      </c>
      <c r="W245">
        <v>2</v>
      </c>
      <c r="X245">
        <v>1</v>
      </c>
      <c r="Y245">
        <v>0</v>
      </c>
      <c r="Z245">
        <v>1</v>
      </c>
    </row>
    <row r="246" spans="1:26" x14ac:dyDescent="0.25">
      <c r="A246" s="1">
        <v>45439.217743055553</v>
      </c>
      <c r="B246" s="8" t="s">
        <v>30</v>
      </c>
      <c r="C246">
        <v>-9.2286999999999999</v>
      </c>
      <c r="D246">
        <v>107.9306</v>
      </c>
      <c r="E246">
        <v>329</v>
      </c>
      <c r="F246" s="8" t="s">
        <v>26</v>
      </c>
      <c r="G246">
        <v>25</v>
      </c>
      <c r="H246">
        <v>51.2</v>
      </c>
      <c r="I246" s="8" t="s">
        <v>18</v>
      </c>
      <c r="J246">
        <v>53</v>
      </c>
      <c r="K246">
        <v>233</v>
      </c>
      <c r="L246">
        <v>5</v>
      </c>
      <c r="M246" s="8" t="s">
        <v>31</v>
      </c>
      <c r="N246">
        <v>67.2</v>
      </c>
      <c r="O246">
        <v>188</v>
      </c>
      <c r="P246">
        <v>0</v>
      </c>
      <c r="Q246">
        <v>5</v>
      </c>
      <c r="R246">
        <v>2024</v>
      </c>
      <c r="S246">
        <v>1</v>
      </c>
      <c r="T246" s="8" t="s">
        <v>90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1</v>
      </c>
    </row>
    <row r="247" spans="1:26" x14ac:dyDescent="0.25">
      <c r="A247" s="1">
        <v>45318.045578703706</v>
      </c>
      <c r="B247" s="8" t="s">
        <v>24</v>
      </c>
      <c r="C247">
        <v>71.432699999999997</v>
      </c>
      <c r="D247">
        <v>127.3664</v>
      </c>
      <c r="E247">
        <v>284</v>
      </c>
      <c r="F247" s="8" t="s">
        <v>21</v>
      </c>
      <c r="G247">
        <v>22.1</v>
      </c>
      <c r="H247">
        <v>77.2</v>
      </c>
      <c r="I247" s="8" t="s">
        <v>22</v>
      </c>
      <c r="J247">
        <v>16</v>
      </c>
      <c r="K247">
        <v>226</v>
      </c>
      <c r="L247">
        <v>4</v>
      </c>
      <c r="M247" s="8" t="s">
        <v>19</v>
      </c>
      <c r="N247">
        <v>95.8</v>
      </c>
      <c r="O247">
        <v>206</v>
      </c>
      <c r="P247">
        <v>1</v>
      </c>
      <c r="Q247">
        <v>1</v>
      </c>
      <c r="R247">
        <v>2024</v>
      </c>
      <c r="S247">
        <v>6</v>
      </c>
      <c r="T247" s="8" t="s">
        <v>93</v>
      </c>
      <c r="U247">
        <v>1</v>
      </c>
      <c r="V247">
        <v>0</v>
      </c>
      <c r="W247">
        <v>2</v>
      </c>
      <c r="X247">
        <v>1</v>
      </c>
      <c r="Y247">
        <v>1</v>
      </c>
      <c r="Z247">
        <v>0</v>
      </c>
    </row>
    <row r="248" spans="1:26" x14ac:dyDescent="0.25">
      <c r="A248" s="1">
        <v>45312.133275462962</v>
      </c>
      <c r="B248" s="8" t="s">
        <v>30</v>
      </c>
      <c r="C248">
        <v>-84.004900000000006</v>
      </c>
      <c r="D248">
        <v>111.8327</v>
      </c>
      <c r="E248">
        <v>184</v>
      </c>
      <c r="F248" s="8" t="s">
        <v>17</v>
      </c>
      <c r="G248">
        <v>19.2</v>
      </c>
      <c r="H248">
        <v>59.8</v>
      </c>
      <c r="I248" s="8" t="s">
        <v>22</v>
      </c>
      <c r="J248">
        <v>23</v>
      </c>
      <c r="K248">
        <v>126</v>
      </c>
      <c r="L248">
        <v>4</v>
      </c>
      <c r="M248" s="8" t="s">
        <v>31</v>
      </c>
      <c r="N248">
        <v>90.4</v>
      </c>
      <c r="O248">
        <v>200</v>
      </c>
      <c r="P248">
        <v>1</v>
      </c>
      <c r="Q248">
        <v>1</v>
      </c>
      <c r="R248">
        <v>2024</v>
      </c>
      <c r="S248">
        <v>0</v>
      </c>
      <c r="T248" s="8" t="s">
        <v>93</v>
      </c>
      <c r="U248">
        <v>0</v>
      </c>
      <c r="V248">
        <v>2</v>
      </c>
      <c r="W248">
        <v>2</v>
      </c>
      <c r="X248">
        <v>1</v>
      </c>
      <c r="Y248">
        <v>0</v>
      </c>
      <c r="Z248">
        <v>0</v>
      </c>
    </row>
    <row r="249" spans="1:26" x14ac:dyDescent="0.25">
      <c r="A249" s="1">
        <v>45507.560034722221</v>
      </c>
      <c r="B249" s="8" t="s">
        <v>34</v>
      </c>
      <c r="C249">
        <v>7.0778999999999996</v>
      </c>
      <c r="D249">
        <v>-165.136</v>
      </c>
      <c r="E249">
        <v>403</v>
      </c>
      <c r="F249" s="8" t="s">
        <v>26</v>
      </c>
      <c r="G249">
        <v>20.6</v>
      </c>
      <c r="H249">
        <v>66.099999999999994</v>
      </c>
      <c r="I249" s="8" t="s">
        <v>28</v>
      </c>
      <c r="J249">
        <v>15</v>
      </c>
      <c r="K249">
        <v>461</v>
      </c>
      <c r="L249">
        <v>4</v>
      </c>
      <c r="M249" s="8" t="s">
        <v>19</v>
      </c>
      <c r="N249">
        <v>77.099999999999994</v>
      </c>
      <c r="O249">
        <v>263</v>
      </c>
      <c r="P249">
        <v>0</v>
      </c>
      <c r="Q249">
        <v>8</v>
      </c>
      <c r="R249">
        <v>2024</v>
      </c>
      <c r="S249">
        <v>6</v>
      </c>
      <c r="T249" s="8" t="s">
        <v>92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</row>
    <row r="250" spans="1:26" x14ac:dyDescent="0.25">
      <c r="A250" s="1">
        <v>45448.756643518522</v>
      </c>
      <c r="B250" s="8" t="s">
        <v>20</v>
      </c>
      <c r="C250">
        <v>-86.085800000000006</v>
      </c>
      <c r="D250">
        <v>117.86969999999999</v>
      </c>
      <c r="E250">
        <v>100</v>
      </c>
      <c r="F250" s="8" t="s">
        <v>21</v>
      </c>
      <c r="G250">
        <v>22.3</v>
      </c>
      <c r="H250">
        <v>72.3</v>
      </c>
      <c r="I250" s="8" t="s">
        <v>18</v>
      </c>
      <c r="J250">
        <v>43</v>
      </c>
      <c r="K250">
        <v>256</v>
      </c>
      <c r="L250">
        <v>5</v>
      </c>
      <c r="M250" s="8" t="s">
        <v>19</v>
      </c>
      <c r="N250">
        <v>92.8</v>
      </c>
      <c r="O250">
        <v>101</v>
      </c>
      <c r="P250">
        <v>0</v>
      </c>
      <c r="Q250">
        <v>6</v>
      </c>
      <c r="R250">
        <v>2024</v>
      </c>
      <c r="S250">
        <v>3</v>
      </c>
      <c r="T250" s="8" t="s">
        <v>92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</row>
    <row r="251" spans="1:26" x14ac:dyDescent="0.25">
      <c r="A251" s="1">
        <v>45592.50644675926</v>
      </c>
      <c r="B251" s="8" t="s">
        <v>33</v>
      </c>
      <c r="C251">
        <v>59.243200000000002</v>
      </c>
      <c r="D251">
        <v>175.9873</v>
      </c>
      <c r="E251">
        <v>135</v>
      </c>
      <c r="F251" s="8" t="s">
        <v>17</v>
      </c>
      <c r="G251">
        <v>18.899999999999999</v>
      </c>
      <c r="H251">
        <v>55.5</v>
      </c>
      <c r="I251" s="8" t="s">
        <v>22</v>
      </c>
      <c r="J251">
        <v>57</v>
      </c>
      <c r="K251">
        <v>162</v>
      </c>
      <c r="L251">
        <v>9</v>
      </c>
      <c r="M251" s="8" t="s">
        <v>19</v>
      </c>
      <c r="N251">
        <v>75.3</v>
      </c>
      <c r="O251">
        <v>127</v>
      </c>
      <c r="P251">
        <v>1</v>
      </c>
      <c r="Q251">
        <v>10</v>
      </c>
      <c r="R251">
        <v>2024</v>
      </c>
      <c r="S251">
        <v>0</v>
      </c>
      <c r="T251" s="8" t="s">
        <v>91</v>
      </c>
      <c r="U251">
        <v>0</v>
      </c>
      <c r="V251">
        <v>2</v>
      </c>
      <c r="W251">
        <v>2</v>
      </c>
      <c r="X251">
        <v>1</v>
      </c>
      <c r="Y251">
        <v>0</v>
      </c>
      <c r="Z251">
        <v>1</v>
      </c>
    </row>
    <row r="252" spans="1:26" x14ac:dyDescent="0.25">
      <c r="A252" s="1">
        <v>45587.603321759256</v>
      </c>
      <c r="B252" s="8" t="s">
        <v>35</v>
      </c>
      <c r="C252">
        <v>-39.3003</v>
      </c>
      <c r="D252">
        <v>-121.6771</v>
      </c>
      <c r="E252">
        <v>220</v>
      </c>
      <c r="F252" s="8" t="s">
        <v>21</v>
      </c>
      <c r="G252">
        <v>25</v>
      </c>
      <c r="H252">
        <v>79</v>
      </c>
      <c r="I252" s="8" t="s">
        <v>22</v>
      </c>
      <c r="J252">
        <v>51</v>
      </c>
      <c r="K252">
        <v>481</v>
      </c>
      <c r="L252">
        <v>2</v>
      </c>
      <c r="M252" s="8" t="s">
        <v>23</v>
      </c>
      <c r="N252">
        <v>64.3</v>
      </c>
      <c r="O252">
        <v>268</v>
      </c>
      <c r="P252">
        <v>1</v>
      </c>
      <c r="Q252">
        <v>10</v>
      </c>
      <c r="R252">
        <v>2024</v>
      </c>
      <c r="S252">
        <v>2</v>
      </c>
      <c r="T252" s="8" t="s">
        <v>91</v>
      </c>
      <c r="U252">
        <v>0</v>
      </c>
      <c r="V252">
        <v>0</v>
      </c>
      <c r="W252">
        <v>2</v>
      </c>
      <c r="X252">
        <v>1</v>
      </c>
      <c r="Y252">
        <v>1</v>
      </c>
      <c r="Z252">
        <v>1</v>
      </c>
    </row>
    <row r="253" spans="1:26" x14ac:dyDescent="0.25">
      <c r="A253" s="1">
        <v>45538.404143518521</v>
      </c>
      <c r="B253" s="8" t="s">
        <v>32</v>
      </c>
      <c r="C253">
        <v>-83.671999999999997</v>
      </c>
      <c r="D253">
        <v>164.25219999999999</v>
      </c>
      <c r="E253">
        <v>318</v>
      </c>
      <c r="F253" s="8" t="s">
        <v>21</v>
      </c>
      <c r="G253">
        <v>29.8</v>
      </c>
      <c r="H253">
        <v>51.4</v>
      </c>
      <c r="I253" s="8" t="s">
        <v>28</v>
      </c>
      <c r="J253">
        <v>24</v>
      </c>
      <c r="K253">
        <v>216</v>
      </c>
      <c r="L253">
        <v>3</v>
      </c>
      <c r="M253" s="8" t="s">
        <v>23</v>
      </c>
      <c r="N253">
        <v>83.8</v>
      </c>
      <c r="O253">
        <v>221</v>
      </c>
      <c r="P253">
        <v>0</v>
      </c>
      <c r="Q253">
        <v>9</v>
      </c>
      <c r="R253">
        <v>2024</v>
      </c>
      <c r="S253">
        <v>2</v>
      </c>
      <c r="T253" s="8" t="s">
        <v>91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25">
      <c r="A254" s="1">
        <v>45294.472604166665</v>
      </c>
      <c r="B254" s="8" t="s">
        <v>16</v>
      </c>
      <c r="C254">
        <v>5.9541000000000004</v>
      </c>
      <c r="D254">
        <v>-156.4873</v>
      </c>
      <c r="E254">
        <v>237</v>
      </c>
      <c r="F254" s="8" t="s">
        <v>26</v>
      </c>
      <c r="G254">
        <v>29.2</v>
      </c>
      <c r="H254">
        <v>56.2</v>
      </c>
      <c r="I254" s="8" t="s">
        <v>18</v>
      </c>
      <c r="J254">
        <v>15</v>
      </c>
      <c r="K254">
        <v>251</v>
      </c>
      <c r="L254">
        <v>3</v>
      </c>
      <c r="M254" s="8" t="s">
        <v>23</v>
      </c>
      <c r="N254">
        <v>76.3</v>
      </c>
      <c r="O254">
        <v>198</v>
      </c>
      <c r="P254">
        <v>0</v>
      </c>
      <c r="Q254">
        <v>1</v>
      </c>
      <c r="R254">
        <v>2024</v>
      </c>
      <c r="S254">
        <v>3</v>
      </c>
      <c r="T254" s="8" t="s">
        <v>93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</row>
    <row r="255" spans="1:26" x14ac:dyDescent="0.25">
      <c r="A255" s="1">
        <v>45454.985335648147</v>
      </c>
      <c r="B255" s="8" t="s">
        <v>30</v>
      </c>
      <c r="C255">
        <v>-16.380400000000002</v>
      </c>
      <c r="D255">
        <v>-119.05459999999999</v>
      </c>
      <c r="E255">
        <v>459</v>
      </c>
      <c r="F255" s="8" t="s">
        <v>21</v>
      </c>
      <c r="G255">
        <v>27.2</v>
      </c>
      <c r="H255">
        <v>78.5</v>
      </c>
      <c r="I255" s="8" t="s">
        <v>22</v>
      </c>
      <c r="J255">
        <v>22</v>
      </c>
      <c r="K255">
        <v>323</v>
      </c>
      <c r="L255">
        <v>7</v>
      </c>
      <c r="M255" s="8" t="s">
        <v>19</v>
      </c>
      <c r="N255">
        <v>87.3</v>
      </c>
      <c r="O255">
        <v>271</v>
      </c>
      <c r="P255">
        <v>1</v>
      </c>
      <c r="Q255">
        <v>6</v>
      </c>
      <c r="R255">
        <v>2024</v>
      </c>
      <c r="S255">
        <v>2</v>
      </c>
      <c r="T255" s="8" t="s">
        <v>92</v>
      </c>
      <c r="U255">
        <v>0</v>
      </c>
      <c r="V255">
        <v>0</v>
      </c>
      <c r="W255">
        <v>2</v>
      </c>
      <c r="X255">
        <v>1</v>
      </c>
      <c r="Y255">
        <v>1</v>
      </c>
      <c r="Z255">
        <v>0</v>
      </c>
    </row>
    <row r="256" spans="1:26" x14ac:dyDescent="0.25">
      <c r="A256" s="1">
        <v>45295.98101851852</v>
      </c>
      <c r="B256" s="8" t="s">
        <v>20</v>
      </c>
      <c r="C256">
        <v>-27.491299999999999</v>
      </c>
      <c r="D256">
        <v>-1.8571</v>
      </c>
      <c r="E256">
        <v>332</v>
      </c>
      <c r="F256" s="8" t="s">
        <v>21</v>
      </c>
      <c r="G256">
        <v>21.7</v>
      </c>
      <c r="H256">
        <v>58.9</v>
      </c>
      <c r="I256" s="8" t="s">
        <v>22</v>
      </c>
      <c r="J256">
        <v>33</v>
      </c>
      <c r="K256">
        <v>363</v>
      </c>
      <c r="L256">
        <v>6</v>
      </c>
      <c r="M256" s="8" t="s">
        <v>23</v>
      </c>
      <c r="N256">
        <v>90.1</v>
      </c>
      <c r="O256">
        <v>131</v>
      </c>
      <c r="P256">
        <v>1</v>
      </c>
      <c r="Q256">
        <v>1</v>
      </c>
      <c r="R256">
        <v>2024</v>
      </c>
      <c r="S256">
        <v>4</v>
      </c>
      <c r="T256" s="8" t="s">
        <v>93</v>
      </c>
      <c r="U256">
        <v>0</v>
      </c>
      <c r="V256">
        <v>0</v>
      </c>
      <c r="W256">
        <v>2</v>
      </c>
      <c r="X256">
        <v>1</v>
      </c>
      <c r="Y256">
        <v>0</v>
      </c>
      <c r="Z256">
        <v>0</v>
      </c>
    </row>
    <row r="257" spans="1:26" x14ac:dyDescent="0.25">
      <c r="A257" s="1">
        <v>45506.290520833332</v>
      </c>
      <c r="B257" s="8" t="s">
        <v>32</v>
      </c>
      <c r="C257">
        <v>67.700199999999995</v>
      </c>
      <c r="D257">
        <v>43.853000000000002</v>
      </c>
      <c r="E257">
        <v>133</v>
      </c>
      <c r="F257" s="8" t="s">
        <v>21</v>
      </c>
      <c r="G257">
        <v>28.7</v>
      </c>
      <c r="H257">
        <v>69.5</v>
      </c>
      <c r="I257" s="8" t="s">
        <v>18</v>
      </c>
      <c r="J257">
        <v>57</v>
      </c>
      <c r="K257">
        <v>342</v>
      </c>
      <c r="L257">
        <v>6</v>
      </c>
      <c r="M257" s="8" t="s">
        <v>27</v>
      </c>
      <c r="N257">
        <v>99.9</v>
      </c>
      <c r="O257">
        <v>261</v>
      </c>
      <c r="P257">
        <v>0</v>
      </c>
      <c r="Q257">
        <v>8</v>
      </c>
      <c r="R257">
        <v>2024</v>
      </c>
      <c r="S257">
        <v>5</v>
      </c>
      <c r="T257" s="8" t="s">
        <v>92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</row>
    <row r="258" spans="1:26" x14ac:dyDescent="0.25">
      <c r="A258" s="1">
        <v>45533.088379629633</v>
      </c>
      <c r="B258" s="8" t="s">
        <v>32</v>
      </c>
      <c r="C258">
        <v>30.5045</v>
      </c>
      <c r="D258">
        <v>52.255899999999997</v>
      </c>
      <c r="E258">
        <v>499</v>
      </c>
      <c r="F258" s="8" t="s">
        <v>17</v>
      </c>
      <c r="G258">
        <v>18.3</v>
      </c>
      <c r="H258">
        <v>75.099999999999994</v>
      </c>
      <c r="I258" s="8" t="s">
        <v>28</v>
      </c>
      <c r="J258">
        <v>22</v>
      </c>
      <c r="K258">
        <v>251</v>
      </c>
      <c r="L258">
        <v>1</v>
      </c>
      <c r="M258" s="8" t="s">
        <v>31</v>
      </c>
      <c r="N258">
        <v>79.2</v>
      </c>
      <c r="O258">
        <v>139</v>
      </c>
      <c r="P258">
        <v>1</v>
      </c>
      <c r="Q258">
        <v>8</v>
      </c>
      <c r="R258">
        <v>2024</v>
      </c>
      <c r="S258">
        <v>4</v>
      </c>
      <c r="T258" s="8" t="s">
        <v>92</v>
      </c>
      <c r="U258">
        <v>0</v>
      </c>
      <c r="V258">
        <v>2</v>
      </c>
      <c r="W258">
        <v>0</v>
      </c>
      <c r="X258">
        <v>0</v>
      </c>
      <c r="Y258">
        <v>1</v>
      </c>
      <c r="Z258">
        <v>0</v>
      </c>
    </row>
    <row r="259" spans="1:26" x14ac:dyDescent="0.25">
      <c r="A259" s="1">
        <v>45344.751388888886</v>
      </c>
      <c r="B259" s="8" t="s">
        <v>24</v>
      </c>
      <c r="C259">
        <v>4.8619000000000003</v>
      </c>
      <c r="D259">
        <v>61.422400000000003</v>
      </c>
      <c r="E259">
        <v>350</v>
      </c>
      <c r="F259" s="8" t="s">
        <v>26</v>
      </c>
      <c r="G259">
        <v>25.3</v>
      </c>
      <c r="H259">
        <v>71.2</v>
      </c>
      <c r="I259" s="8" t="s">
        <v>18</v>
      </c>
      <c r="J259">
        <v>19</v>
      </c>
      <c r="K259">
        <v>177</v>
      </c>
      <c r="L259">
        <v>1</v>
      </c>
      <c r="M259" s="8" t="s">
        <v>19</v>
      </c>
      <c r="N259">
        <v>67</v>
      </c>
      <c r="O259">
        <v>209</v>
      </c>
      <c r="P259">
        <v>0</v>
      </c>
      <c r="Q259">
        <v>2</v>
      </c>
      <c r="R259">
        <v>2024</v>
      </c>
      <c r="S259">
        <v>4</v>
      </c>
      <c r="T259" s="8" t="s">
        <v>93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0</v>
      </c>
    </row>
    <row r="260" spans="1:26" x14ac:dyDescent="0.25">
      <c r="A260" s="1">
        <v>45464.855254629627</v>
      </c>
      <c r="B260" s="8" t="s">
        <v>16</v>
      </c>
      <c r="C260">
        <v>84.087199999999996</v>
      </c>
      <c r="D260">
        <v>85.238299999999995</v>
      </c>
      <c r="E260">
        <v>186</v>
      </c>
      <c r="F260" s="8" t="s">
        <v>17</v>
      </c>
      <c r="G260">
        <v>24.1</v>
      </c>
      <c r="H260">
        <v>72</v>
      </c>
      <c r="I260" s="8" t="s">
        <v>18</v>
      </c>
      <c r="J260">
        <v>26</v>
      </c>
      <c r="K260">
        <v>131</v>
      </c>
      <c r="L260">
        <v>4</v>
      </c>
      <c r="M260" s="8" t="s">
        <v>19</v>
      </c>
      <c r="N260">
        <v>68.2</v>
      </c>
      <c r="O260">
        <v>189</v>
      </c>
      <c r="P260">
        <v>1</v>
      </c>
      <c r="Q260">
        <v>6</v>
      </c>
      <c r="R260">
        <v>2024</v>
      </c>
      <c r="S260">
        <v>5</v>
      </c>
      <c r="T260" s="8" t="s">
        <v>92</v>
      </c>
      <c r="U260">
        <v>1</v>
      </c>
      <c r="V260">
        <v>2</v>
      </c>
      <c r="W260">
        <v>1</v>
      </c>
      <c r="X260">
        <v>0</v>
      </c>
      <c r="Y260">
        <v>0</v>
      </c>
      <c r="Z260">
        <v>0</v>
      </c>
    </row>
    <row r="261" spans="1:26" x14ac:dyDescent="0.25">
      <c r="A261" s="1">
        <v>45318.650173611109</v>
      </c>
      <c r="B261" s="8" t="s">
        <v>32</v>
      </c>
      <c r="C261">
        <v>11.5213</v>
      </c>
      <c r="D261">
        <v>-168.47409999999999</v>
      </c>
      <c r="E261">
        <v>403</v>
      </c>
      <c r="F261" s="8" t="s">
        <v>26</v>
      </c>
      <c r="G261">
        <v>23.1</v>
      </c>
      <c r="H261">
        <v>69.3</v>
      </c>
      <c r="I261" s="8" t="s">
        <v>18</v>
      </c>
      <c r="J261">
        <v>24</v>
      </c>
      <c r="K261">
        <v>487</v>
      </c>
      <c r="L261">
        <v>10</v>
      </c>
      <c r="M261" s="8" t="s">
        <v>31</v>
      </c>
      <c r="N261">
        <v>69.599999999999994</v>
      </c>
      <c r="O261">
        <v>104</v>
      </c>
      <c r="P261">
        <v>0</v>
      </c>
      <c r="Q261">
        <v>1</v>
      </c>
      <c r="R261">
        <v>2024</v>
      </c>
      <c r="S261">
        <v>6</v>
      </c>
      <c r="T261" s="8" t="s">
        <v>93</v>
      </c>
      <c r="U261">
        <v>1</v>
      </c>
      <c r="V261">
        <v>1</v>
      </c>
      <c r="W261">
        <v>1</v>
      </c>
      <c r="X261">
        <v>0</v>
      </c>
      <c r="Y261">
        <v>0</v>
      </c>
      <c r="Z261">
        <v>0</v>
      </c>
    </row>
    <row r="262" spans="1:26" x14ac:dyDescent="0.25">
      <c r="A262" s="1">
        <v>45460.527928240743</v>
      </c>
      <c r="B262" s="8" t="s">
        <v>20</v>
      </c>
      <c r="C262">
        <v>63.770099999999999</v>
      </c>
      <c r="D262">
        <v>163.26509999999999</v>
      </c>
      <c r="E262">
        <v>193</v>
      </c>
      <c r="F262" s="8" t="s">
        <v>17</v>
      </c>
      <c r="G262">
        <v>22.1</v>
      </c>
      <c r="H262">
        <v>68.2</v>
      </c>
      <c r="I262" s="8" t="s">
        <v>22</v>
      </c>
      <c r="J262">
        <v>29</v>
      </c>
      <c r="K262">
        <v>231</v>
      </c>
      <c r="L262">
        <v>3</v>
      </c>
      <c r="M262" s="8" t="s">
        <v>23</v>
      </c>
      <c r="N262">
        <v>69.7</v>
      </c>
      <c r="O262">
        <v>198</v>
      </c>
      <c r="P262">
        <v>1</v>
      </c>
      <c r="Q262">
        <v>6</v>
      </c>
      <c r="R262">
        <v>2024</v>
      </c>
      <c r="S262">
        <v>1</v>
      </c>
      <c r="T262" s="8" t="s">
        <v>92</v>
      </c>
      <c r="U262">
        <v>0</v>
      </c>
      <c r="V262">
        <v>2</v>
      </c>
      <c r="W262">
        <v>2</v>
      </c>
      <c r="X262">
        <v>1</v>
      </c>
      <c r="Y262">
        <v>0</v>
      </c>
      <c r="Z262">
        <v>0</v>
      </c>
    </row>
    <row r="263" spans="1:26" x14ac:dyDescent="0.25">
      <c r="A263" s="1">
        <v>45382.604375000003</v>
      </c>
      <c r="B263" s="8" t="s">
        <v>30</v>
      </c>
      <c r="C263">
        <v>57.575699999999998</v>
      </c>
      <c r="D263">
        <v>-35.043900000000001</v>
      </c>
      <c r="E263">
        <v>254</v>
      </c>
      <c r="F263" s="8" t="s">
        <v>26</v>
      </c>
      <c r="G263">
        <v>24</v>
      </c>
      <c r="H263">
        <v>78.599999999999994</v>
      </c>
      <c r="I263" s="8" t="s">
        <v>22</v>
      </c>
      <c r="J263">
        <v>24</v>
      </c>
      <c r="K263">
        <v>108</v>
      </c>
      <c r="L263">
        <v>3</v>
      </c>
      <c r="M263" s="8" t="s">
        <v>23</v>
      </c>
      <c r="N263">
        <v>66.599999999999994</v>
      </c>
      <c r="O263">
        <v>219</v>
      </c>
      <c r="P263">
        <v>1</v>
      </c>
      <c r="Q263">
        <v>3</v>
      </c>
      <c r="R263">
        <v>2024</v>
      </c>
      <c r="S263">
        <v>0</v>
      </c>
      <c r="T263" s="8" t="s">
        <v>90</v>
      </c>
      <c r="U263">
        <v>0</v>
      </c>
      <c r="V263">
        <v>1</v>
      </c>
      <c r="W263">
        <v>2</v>
      </c>
      <c r="X263">
        <v>1</v>
      </c>
      <c r="Y263">
        <v>1</v>
      </c>
      <c r="Z263">
        <v>0</v>
      </c>
    </row>
    <row r="264" spans="1:26" x14ac:dyDescent="0.25">
      <c r="A264" s="1">
        <v>45374.340497685182</v>
      </c>
      <c r="B264" s="8" t="s">
        <v>25</v>
      </c>
      <c r="C264">
        <v>-66.600899999999996</v>
      </c>
      <c r="D264">
        <v>-11.7155</v>
      </c>
      <c r="E264">
        <v>368</v>
      </c>
      <c r="F264" s="8" t="s">
        <v>26</v>
      </c>
      <c r="G264">
        <v>26.1</v>
      </c>
      <c r="H264">
        <v>71</v>
      </c>
      <c r="I264" s="8" t="s">
        <v>28</v>
      </c>
      <c r="J264">
        <v>58</v>
      </c>
      <c r="K264">
        <v>336</v>
      </c>
      <c r="L264">
        <v>2</v>
      </c>
      <c r="M264" s="8" t="s">
        <v>31</v>
      </c>
      <c r="N264">
        <v>86.5</v>
      </c>
      <c r="O264">
        <v>259</v>
      </c>
      <c r="P264">
        <v>0</v>
      </c>
      <c r="Q264">
        <v>3</v>
      </c>
      <c r="R264">
        <v>2024</v>
      </c>
      <c r="S264">
        <v>6</v>
      </c>
      <c r="T264" s="8" t="s">
        <v>90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1</v>
      </c>
    </row>
    <row r="265" spans="1:26" x14ac:dyDescent="0.25">
      <c r="A265" s="1">
        <v>45567.633333333331</v>
      </c>
      <c r="B265" s="8" t="s">
        <v>20</v>
      </c>
      <c r="C265">
        <v>18.754999999999999</v>
      </c>
      <c r="D265">
        <v>-46.887099999999997</v>
      </c>
      <c r="E265">
        <v>283</v>
      </c>
      <c r="F265" s="8" t="s">
        <v>17</v>
      </c>
      <c r="G265">
        <v>28.5</v>
      </c>
      <c r="H265">
        <v>50.7</v>
      </c>
      <c r="I265" s="8" t="s">
        <v>18</v>
      </c>
      <c r="J265">
        <v>11</v>
      </c>
      <c r="K265">
        <v>495</v>
      </c>
      <c r="L265">
        <v>10</v>
      </c>
      <c r="M265" s="8" t="s">
        <v>23</v>
      </c>
      <c r="N265">
        <v>88.1</v>
      </c>
      <c r="O265">
        <v>200</v>
      </c>
      <c r="P265">
        <v>1</v>
      </c>
      <c r="Q265">
        <v>10</v>
      </c>
      <c r="R265">
        <v>2024</v>
      </c>
      <c r="S265">
        <v>3</v>
      </c>
      <c r="T265" s="8" t="s">
        <v>91</v>
      </c>
      <c r="U265">
        <v>0</v>
      </c>
      <c r="V265">
        <v>2</v>
      </c>
      <c r="W265">
        <v>1</v>
      </c>
      <c r="X265">
        <v>0</v>
      </c>
      <c r="Y265">
        <v>0</v>
      </c>
      <c r="Z265">
        <v>0</v>
      </c>
    </row>
    <row r="266" spans="1:26" x14ac:dyDescent="0.25">
      <c r="A266" s="1">
        <v>45501.775057870371</v>
      </c>
      <c r="B266" s="8" t="s">
        <v>24</v>
      </c>
      <c r="C266">
        <v>50.357399999999998</v>
      </c>
      <c r="D266">
        <v>128.56180000000001</v>
      </c>
      <c r="E266">
        <v>164</v>
      </c>
      <c r="F266" s="8" t="s">
        <v>26</v>
      </c>
      <c r="G266">
        <v>25.5</v>
      </c>
      <c r="H266">
        <v>67.599999999999994</v>
      </c>
      <c r="I266" s="8" t="s">
        <v>22</v>
      </c>
      <c r="J266">
        <v>20</v>
      </c>
      <c r="K266">
        <v>188</v>
      </c>
      <c r="L266">
        <v>7</v>
      </c>
      <c r="M266" s="8" t="s">
        <v>31</v>
      </c>
      <c r="N266">
        <v>60.1</v>
      </c>
      <c r="O266">
        <v>268</v>
      </c>
      <c r="P266">
        <v>1</v>
      </c>
      <c r="Q266">
        <v>7</v>
      </c>
      <c r="R266">
        <v>2024</v>
      </c>
      <c r="S266">
        <v>0</v>
      </c>
      <c r="T266" s="8" t="s">
        <v>92</v>
      </c>
      <c r="U266">
        <v>0</v>
      </c>
      <c r="V266">
        <v>1</v>
      </c>
      <c r="W266">
        <v>2</v>
      </c>
      <c r="X266">
        <v>1</v>
      </c>
      <c r="Y266">
        <v>0</v>
      </c>
      <c r="Z266">
        <v>0</v>
      </c>
    </row>
    <row r="267" spans="1:26" x14ac:dyDescent="0.25">
      <c r="A267" s="1">
        <v>45302.638807870368</v>
      </c>
      <c r="B267" s="8" t="s">
        <v>34</v>
      </c>
      <c r="C267">
        <v>46.9009</v>
      </c>
      <c r="D267">
        <v>3.7490000000000001</v>
      </c>
      <c r="E267">
        <v>419</v>
      </c>
      <c r="F267" s="8" t="s">
        <v>26</v>
      </c>
      <c r="G267">
        <v>22.1</v>
      </c>
      <c r="H267">
        <v>74.7</v>
      </c>
      <c r="I267" s="8" t="s">
        <v>18</v>
      </c>
      <c r="J267">
        <v>31</v>
      </c>
      <c r="K267">
        <v>236</v>
      </c>
      <c r="L267">
        <v>10</v>
      </c>
      <c r="M267" s="8" t="s">
        <v>27</v>
      </c>
      <c r="N267">
        <v>95.9</v>
      </c>
      <c r="O267">
        <v>182</v>
      </c>
      <c r="P267">
        <v>0</v>
      </c>
      <c r="Q267">
        <v>1</v>
      </c>
      <c r="R267">
        <v>2024</v>
      </c>
      <c r="S267">
        <v>4</v>
      </c>
      <c r="T267" s="8" t="s">
        <v>93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0</v>
      </c>
    </row>
    <row r="268" spans="1:26" x14ac:dyDescent="0.25">
      <c r="A268" s="1">
        <v>45654.787164351852</v>
      </c>
      <c r="B268" s="8" t="s">
        <v>25</v>
      </c>
      <c r="C268">
        <v>17.5319</v>
      </c>
      <c r="D268">
        <v>-65.076499999999996</v>
      </c>
      <c r="E268">
        <v>489</v>
      </c>
      <c r="F268" s="8" t="s">
        <v>26</v>
      </c>
      <c r="G268">
        <v>25</v>
      </c>
      <c r="H268">
        <v>69.400000000000006</v>
      </c>
      <c r="I268" s="8" t="s">
        <v>28</v>
      </c>
      <c r="J268">
        <v>30</v>
      </c>
      <c r="K268">
        <v>345</v>
      </c>
      <c r="L268">
        <v>8</v>
      </c>
      <c r="M268" s="8" t="s">
        <v>19</v>
      </c>
      <c r="N268">
        <v>66.099999999999994</v>
      </c>
      <c r="O268">
        <v>128</v>
      </c>
      <c r="P268">
        <v>0</v>
      </c>
      <c r="Q268">
        <v>12</v>
      </c>
      <c r="R268">
        <v>2024</v>
      </c>
      <c r="S268">
        <v>6</v>
      </c>
      <c r="T268" s="8" t="s">
        <v>93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</row>
    <row r="269" spans="1:26" x14ac:dyDescent="0.25">
      <c r="A269" s="1">
        <v>45542.534907407404</v>
      </c>
      <c r="B269" s="8" t="s">
        <v>30</v>
      </c>
      <c r="C269">
        <v>4.8304999999999998</v>
      </c>
      <c r="D269">
        <v>-6.5757000000000003</v>
      </c>
      <c r="E269">
        <v>498</v>
      </c>
      <c r="F269" s="8" t="s">
        <v>17</v>
      </c>
      <c r="G269">
        <v>20.2</v>
      </c>
      <c r="H269">
        <v>55</v>
      </c>
      <c r="I269" s="8" t="s">
        <v>28</v>
      </c>
      <c r="J269">
        <v>51</v>
      </c>
      <c r="K269">
        <v>147</v>
      </c>
      <c r="L269">
        <v>8</v>
      </c>
      <c r="M269" s="8" t="s">
        <v>23</v>
      </c>
      <c r="N269">
        <v>97.7</v>
      </c>
      <c r="O269">
        <v>247</v>
      </c>
      <c r="P269">
        <v>1</v>
      </c>
      <c r="Q269">
        <v>9</v>
      </c>
      <c r="R269">
        <v>2024</v>
      </c>
      <c r="S269">
        <v>6</v>
      </c>
      <c r="T269" s="8" t="s">
        <v>91</v>
      </c>
      <c r="U269">
        <v>1</v>
      </c>
      <c r="V269">
        <v>2</v>
      </c>
      <c r="W269">
        <v>0</v>
      </c>
      <c r="X269">
        <v>0</v>
      </c>
      <c r="Y269">
        <v>0</v>
      </c>
      <c r="Z269">
        <v>1</v>
      </c>
    </row>
    <row r="270" spans="1:26" x14ac:dyDescent="0.25">
      <c r="A270" s="1">
        <v>45635.468773148146</v>
      </c>
      <c r="B270" s="8" t="s">
        <v>24</v>
      </c>
      <c r="C270">
        <v>38.8917</v>
      </c>
      <c r="D270">
        <v>-38.803199999999997</v>
      </c>
      <c r="E270">
        <v>244</v>
      </c>
      <c r="F270" s="8" t="s">
        <v>17</v>
      </c>
      <c r="G270">
        <v>21.2</v>
      </c>
      <c r="H270">
        <v>61.8</v>
      </c>
      <c r="I270" s="8" t="s">
        <v>18</v>
      </c>
      <c r="J270">
        <v>24</v>
      </c>
      <c r="K270">
        <v>181</v>
      </c>
      <c r="L270">
        <v>2</v>
      </c>
      <c r="M270" s="8" t="s">
        <v>27</v>
      </c>
      <c r="N270">
        <v>70.099999999999994</v>
      </c>
      <c r="O270">
        <v>238</v>
      </c>
      <c r="P270">
        <v>1</v>
      </c>
      <c r="Q270">
        <v>12</v>
      </c>
      <c r="R270">
        <v>2024</v>
      </c>
      <c r="S270">
        <v>1</v>
      </c>
      <c r="T270" s="8" t="s">
        <v>93</v>
      </c>
      <c r="U270">
        <v>0</v>
      </c>
      <c r="V270">
        <v>2</v>
      </c>
      <c r="W270">
        <v>1</v>
      </c>
      <c r="X270">
        <v>0</v>
      </c>
      <c r="Y270">
        <v>0</v>
      </c>
      <c r="Z270">
        <v>0</v>
      </c>
    </row>
    <row r="271" spans="1:26" x14ac:dyDescent="0.25">
      <c r="A271" s="1">
        <v>45570.773611111108</v>
      </c>
      <c r="B271" s="8" t="s">
        <v>29</v>
      </c>
      <c r="C271">
        <v>-20.048200000000001</v>
      </c>
      <c r="D271">
        <v>-83.691500000000005</v>
      </c>
      <c r="E271">
        <v>488</v>
      </c>
      <c r="F271" s="8" t="s">
        <v>26</v>
      </c>
      <c r="G271">
        <v>21.5</v>
      </c>
      <c r="H271">
        <v>50.3</v>
      </c>
      <c r="I271" s="8" t="s">
        <v>22</v>
      </c>
      <c r="J271">
        <v>32</v>
      </c>
      <c r="K271">
        <v>120</v>
      </c>
      <c r="L271">
        <v>1</v>
      </c>
      <c r="M271" s="8" t="s">
        <v>31</v>
      </c>
      <c r="N271">
        <v>79.099999999999994</v>
      </c>
      <c r="O271">
        <v>111</v>
      </c>
      <c r="P271">
        <v>1</v>
      </c>
      <c r="Q271">
        <v>10</v>
      </c>
      <c r="R271">
        <v>2024</v>
      </c>
      <c r="S271">
        <v>6</v>
      </c>
      <c r="T271" s="8" t="s">
        <v>91</v>
      </c>
      <c r="U271">
        <v>1</v>
      </c>
      <c r="V271">
        <v>1</v>
      </c>
      <c r="W271">
        <v>2</v>
      </c>
      <c r="X271">
        <v>1</v>
      </c>
      <c r="Y271">
        <v>0</v>
      </c>
      <c r="Z271">
        <v>0</v>
      </c>
    </row>
    <row r="272" spans="1:26" x14ac:dyDescent="0.25">
      <c r="A272" s="1">
        <v>45404.455081018517</v>
      </c>
      <c r="B272" s="8" t="s">
        <v>25</v>
      </c>
      <c r="C272">
        <v>-83.253399999999999</v>
      </c>
      <c r="D272">
        <v>-166.33090000000001</v>
      </c>
      <c r="E272">
        <v>152</v>
      </c>
      <c r="F272" s="8" t="s">
        <v>17</v>
      </c>
      <c r="G272">
        <v>21.2</v>
      </c>
      <c r="H272">
        <v>70.3</v>
      </c>
      <c r="I272" s="8" t="s">
        <v>28</v>
      </c>
      <c r="J272">
        <v>10</v>
      </c>
      <c r="K272">
        <v>467</v>
      </c>
      <c r="L272">
        <v>10</v>
      </c>
      <c r="M272" s="8" t="s">
        <v>19</v>
      </c>
      <c r="N272">
        <v>61.5</v>
      </c>
      <c r="O272">
        <v>269</v>
      </c>
      <c r="P272">
        <v>1</v>
      </c>
      <c r="Q272">
        <v>4</v>
      </c>
      <c r="R272">
        <v>2024</v>
      </c>
      <c r="S272">
        <v>1</v>
      </c>
      <c r="T272" s="8" t="s">
        <v>90</v>
      </c>
      <c r="U272">
        <v>0</v>
      </c>
      <c r="V272">
        <v>2</v>
      </c>
      <c r="W272">
        <v>0</v>
      </c>
      <c r="X272">
        <v>0</v>
      </c>
      <c r="Y272">
        <v>0</v>
      </c>
      <c r="Z272">
        <v>0</v>
      </c>
    </row>
    <row r="273" spans="1:26" x14ac:dyDescent="0.25">
      <c r="A273" s="1">
        <v>45349.906805555554</v>
      </c>
      <c r="B273" s="8" t="s">
        <v>24</v>
      </c>
      <c r="C273">
        <v>-4.8643000000000001</v>
      </c>
      <c r="D273">
        <v>75.430400000000006</v>
      </c>
      <c r="E273">
        <v>168</v>
      </c>
      <c r="F273" s="8" t="s">
        <v>17</v>
      </c>
      <c r="G273">
        <v>23.2</v>
      </c>
      <c r="H273">
        <v>71.5</v>
      </c>
      <c r="I273" s="8" t="s">
        <v>28</v>
      </c>
      <c r="J273">
        <v>23</v>
      </c>
      <c r="K273">
        <v>292</v>
      </c>
      <c r="L273">
        <v>3</v>
      </c>
      <c r="M273" s="8" t="s">
        <v>27</v>
      </c>
      <c r="N273">
        <v>98.8</v>
      </c>
      <c r="O273">
        <v>102</v>
      </c>
      <c r="P273">
        <v>1</v>
      </c>
      <c r="Q273">
        <v>2</v>
      </c>
      <c r="R273">
        <v>2024</v>
      </c>
      <c r="S273">
        <v>2</v>
      </c>
      <c r="T273" s="8" t="s">
        <v>93</v>
      </c>
      <c r="U273">
        <v>0</v>
      </c>
      <c r="V273">
        <v>2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 s="1">
        <v>45435.919247685182</v>
      </c>
      <c r="B274" s="8" t="s">
        <v>34</v>
      </c>
      <c r="C274">
        <v>46.7637</v>
      </c>
      <c r="D274">
        <v>-146.4348</v>
      </c>
      <c r="E274">
        <v>268</v>
      </c>
      <c r="F274" s="8" t="s">
        <v>26</v>
      </c>
      <c r="G274">
        <v>23.9</v>
      </c>
      <c r="H274">
        <v>79.2</v>
      </c>
      <c r="I274" s="8" t="s">
        <v>28</v>
      </c>
      <c r="J274">
        <v>41</v>
      </c>
      <c r="K274">
        <v>295</v>
      </c>
      <c r="L274">
        <v>9</v>
      </c>
      <c r="M274" s="8" t="s">
        <v>31</v>
      </c>
      <c r="N274">
        <v>69.5</v>
      </c>
      <c r="O274">
        <v>146</v>
      </c>
      <c r="P274">
        <v>0</v>
      </c>
      <c r="Q274">
        <v>5</v>
      </c>
      <c r="R274">
        <v>2024</v>
      </c>
      <c r="S274">
        <v>4</v>
      </c>
      <c r="T274" s="8" t="s">
        <v>90</v>
      </c>
      <c r="U274">
        <v>0</v>
      </c>
      <c r="V274">
        <v>1</v>
      </c>
      <c r="W274">
        <v>0</v>
      </c>
      <c r="X274">
        <v>0</v>
      </c>
      <c r="Y274">
        <v>1</v>
      </c>
      <c r="Z274">
        <v>0</v>
      </c>
    </row>
    <row r="275" spans="1:26" x14ac:dyDescent="0.25">
      <c r="A275" s="1">
        <v>45293.930347222224</v>
      </c>
      <c r="B275" s="8" t="s">
        <v>16</v>
      </c>
      <c r="C275">
        <v>-68.390900000000002</v>
      </c>
      <c r="D275">
        <v>-122.557</v>
      </c>
      <c r="E275">
        <v>341</v>
      </c>
      <c r="F275" s="8" t="s">
        <v>21</v>
      </c>
      <c r="G275">
        <v>21.3</v>
      </c>
      <c r="H275">
        <v>76.2</v>
      </c>
      <c r="I275" s="8" t="s">
        <v>22</v>
      </c>
      <c r="J275">
        <v>58</v>
      </c>
      <c r="K275">
        <v>429</v>
      </c>
      <c r="L275">
        <v>3</v>
      </c>
      <c r="M275" s="8" t="s">
        <v>19</v>
      </c>
      <c r="N275">
        <v>78.599999999999994</v>
      </c>
      <c r="O275">
        <v>178</v>
      </c>
      <c r="P275">
        <v>1</v>
      </c>
      <c r="Q275">
        <v>1</v>
      </c>
      <c r="R275">
        <v>2024</v>
      </c>
      <c r="S275">
        <v>2</v>
      </c>
      <c r="T275" s="8" t="s">
        <v>93</v>
      </c>
      <c r="U275">
        <v>0</v>
      </c>
      <c r="V275">
        <v>0</v>
      </c>
      <c r="W275">
        <v>2</v>
      </c>
      <c r="X275">
        <v>1</v>
      </c>
      <c r="Y275">
        <v>1</v>
      </c>
      <c r="Z275">
        <v>1</v>
      </c>
    </row>
    <row r="276" spans="1:26" x14ac:dyDescent="0.25">
      <c r="A276" s="1">
        <v>45564.272164351853</v>
      </c>
      <c r="B276" s="8" t="s">
        <v>16</v>
      </c>
      <c r="C276">
        <v>62.345700000000001</v>
      </c>
      <c r="D276">
        <v>-54.203299999999999</v>
      </c>
      <c r="E276">
        <v>166</v>
      </c>
      <c r="F276" s="8" t="s">
        <v>26</v>
      </c>
      <c r="G276">
        <v>28.9</v>
      </c>
      <c r="H276">
        <v>50.6</v>
      </c>
      <c r="I276" s="8" t="s">
        <v>22</v>
      </c>
      <c r="J276">
        <v>58</v>
      </c>
      <c r="K276">
        <v>197</v>
      </c>
      <c r="L276">
        <v>3</v>
      </c>
      <c r="M276" s="8" t="s">
        <v>27</v>
      </c>
      <c r="N276">
        <v>88.8</v>
      </c>
      <c r="O276">
        <v>282</v>
      </c>
      <c r="P276">
        <v>1</v>
      </c>
      <c r="Q276">
        <v>9</v>
      </c>
      <c r="R276">
        <v>2024</v>
      </c>
      <c r="S276">
        <v>0</v>
      </c>
      <c r="T276" s="8" t="s">
        <v>91</v>
      </c>
      <c r="U276">
        <v>0</v>
      </c>
      <c r="V276">
        <v>1</v>
      </c>
      <c r="W276">
        <v>2</v>
      </c>
      <c r="X276">
        <v>1</v>
      </c>
      <c r="Y276">
        <v>0</v>
      </c>
      <c r="Z276">
        <v>1</v>
      </c>
    </row>
    <row r="277" spans="1:26" x14ac:dyDescent="0.25">
      <c r="A277" s="1">
        <v>45644.356921296298</v>
      </c>
      <c r="B277" s="8" t="s">
        <v>16</v>
      </c>
      <c r="C277">
        <v>72.8857</v>
      </c>
      <c r="D277">
        <v>135.9494</v>
      </c>
      <c r="E277">
        <v>483</v>
      </c>
      <c r="F277" s="8" t="s">
        <v>17</v>
      </c>
      <c r="G277">
        <v>21.4</v>
      </c>
      <c r="H277">
        <v>51.2</v>
      </c>
      <c r="I277" s="8" t="s">
        <v>22</v>
      </c>
      <c r="J277">
        <v>33</v>
      </c>
      <c r="K277">
        <v>249</v>
      </c>
      <c r="L277">
        <v>2</v>
      </c>
      <c r="M277" s="8" t="s">
        <v>19</v>
      </c>
      <c r="N277">
        <v>67.599999999999994</v>
      </c>
      <c r="O277">
        <v>165</v>
      </c>
      <c r="P277">
        <v>1</v>
      </c>
      <c r="Q277">
        <v>12</v>
      </c>
      <c r="R277">
        <v>2024</v>
      </c>
      <c r="S277">
        <v>3</v>
      </c>
      <c r="T277" s="8" t="s">
        <v>93</v>
      </c>
      <c r="U277">
        <v>0</v>
      </c>
      <c r="V277">
        <v>2</v>
      </c>
      <c r="W277">
        <v>2</v>
      </c>
      <c r="X277">
        <v>1</v>
      </c>
      <c r="Y277">
        <v>0</v>
      </c>
      <c r="Z277">
        <v>0</v>
      </c>
    </row>
    <row r="278" spans="1:26" x14ac:dyDescent="0.25">
      <c r="A278" s="1">
        <v>45515.436782407407</v>
      </c>
      <c r="B278" s="8" t="s">
        <v>24</v>
      </c>
      <c r="C278">
        <v>2.2782</v>
      </c>
      <c r="D278">
        <v>-158.46279999999999</v>
      </c>
      <c r="E278">
        <v>232</v>
      </c>
      <c r="F278" s="8" t="s">
        <v>26</v>
      </c>
      <c r="G278">
        <v>22.3</v>
      </c>
      <c r="H278">
        <v>73.3</v>
      </c>
      <c r="I278" s="8" t="s">
        <v>22</v>
      </c>
      <c r="J278">
        <v>19</v>
      </c>
      <c r="K278">
        <v>332</v>
      </c>
      <c r="L278">
        <v>4</v>
      </c>
      <c r="M278" s="8" t="s">
        <v>19</v>
      </c>
      <c r="N278">
        <v>78.599999999999994</v>
      </c>
      <c r="O278">
        <v>135</v>
      </c>
      <c r="P278">
        <v>1</v>
      </c>
      <c r="Q278">
        <v>8</v>
      </c>
      <c r="R278">
        <v>2024</v>
      </c>
      <c r="S278">
        <v>0</v>
      </c>
      <c r="T278" s="8" t="s">
        <v>92</v>
      </c>
      <c r="U278">
        <v>0</v>
      </c>
      <c r="V278">
        <v>1</v>
      </c>
      <c r="W278">
        <v>2</v>
      </c>
      <c r="X278">
        <v>1</v>
      </c>
      <c r="Y278">
        <v>0</v>
      </c>
      <c r="Z278">
        <v>0</v>
      </c>
    </row>
    <row r="279" spans="1:26" x14ac:dyDescent="0.25">
      <c r="A279" s="1">
        <v>45375.955925925926</v>
      </c>
      <c r="B279" s="8" t="s">
        <v>33</v>
      </c>
      <c r="C279">
        <v>11.768599999999999</v>
      </c>
      <c r="D279">
        <v>154.60429999999999</v>
      </c>
      <c r="E279">
        <v>392</v>
      </c>
      <c r="F279" s="8" t="s">
        <v>21</v>
      </c>
      <c r="G279">
        <v>20.7</v>
      </c>
      <c r="H279">
        <v>62.8</v>
      </c>
      <c r="I279" s="8" t="s">
        <v>18</v>
      </c>
      <c r="J279">
        <v>12</v>
      </c>
      <c r="K279">
        <v>417</v>
      </c>
      <c r="L279">
        <v>2</v>
      </c>
      <c r="M279" s="8" t="s">
        <v>23</v>
      </c>
      <c r="N279">
        <v>69.3</v>
      </c>
      <c r="O279">
        <v>109</v>
      </c>
      <c r="P279">
        <v>0</v>
      </c>
      <c r="Q279">
        <v>3</v>
      </c>
      <c r="R279">
        <v>2024</v>
      </c>
      <c r="S279">
        <v>0</v>
      </c>
      <c r="T279" s="8" t="s">
        <v>90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</row>
    <row r="280" spans="1:26" x14ac:dyDescent="0.25">
      <c r="A280" s="1">
        <v>45445.016712962963</v>
      </c>
      <c r="B280" s="8" t="s">
        <v>32</v>
      </c>
      <c r="C280">
        <v>-75.597999999999999</v>
      </c>
      <c r="D280">
        <v>11.134</v>
      </c>
      <c r="E280">
        <v>480</v>
      </c>
      <c r="F280" s="8" t="s">
        <v>21</v>
      </c>
      <c r="G280">
        <v>24.9</v>
      </c>
      <c r="H280">
        <v>77.8</v>
      </c>
      <c r="I280" s="8" t="s">
        <v>22</v>
      </c>
      <c r="J280">
        <v>53</v>
      </c>
      <c r="K280">
        <v>318</v>
      </c>
      <c r="L280">
        <v>3</v>
      </c>
      <c r="M280" s="8" t="s">
        <v>31</v>
      </c>
      <c r="N280">
        <v>69.5</v>
      </c>
      <c r="O280">
        <v>181</v>
      </c>
      <c r="P280">
        <v>1</v>
      </c>
      <c r="Q280">
        <v>6</v>
      </c>
      <c r="R280">
        <v>2024</v>
      </c>
      <c r="S280">
        <v>0</v>
      </c>
      <c r="T280" s="8" t="s">
        <v>92</v>
      </c>
      <c r="U280">
        <v>0</v>
      </c>
      <c r="V280">
        <v>0</v>
      </c>
      <c r="W280">
        <v>2</v>
      </c>
      <c r="X280">
        <v>1</v>
      </c>
      <c r="Y280">
        <v>1</v>
      </c>
      <c r="Z280">
        <v>1</v>
      </c>
    </row>
    <row r="281" spans="1:26" x14ac:dyDescent="0.25">
      <c r="A281" s="1">
        <v>45324.157569444447</v>
      </c>
      <c r="B281" s="8" t="s">
        <v>33</v>
      </c>
      <c r="C281">
        <v>23.293099999999999</v>
      </c>
      <c r="D281">
        <v>106.02670000000001</v>
      </c>
      <c r="E281">
        <v>368</v>
      </c>
      <c r="F281" s="8" t="s">
        <v>26</v>
      </c>
      <c r="G281">
        <v>28</v>
      </c>
      <c r="H281">
        <v>53.4</v>
      </c>
      <c r="I281" s="8" t="s">
        <v>18</v>
      </c>
      <c r="J281">
        <v>42</v>
      </c>
      <c r="K281">
        <v>182</v>
      </c>
      <c r="L281">
        <v>5</v>
      </c>
      <c r="M281" s="8" t="s">
        <v>19</v>
      </c>
      <c r="N281">
        <v>77.5</v>
      </c>
      <c r="O281">
        <v>205</v>
      </c>
      <c r="P281">
        <v>0</v>
      </c>
      <c r="Q281">
        <v>2</v>
      </c>
      <c r="R281">
        <v>2024</v>
      </c>
      <c r="S281">
        <v>5</v>
      </c>
      <c r="T281" s="8" t="s">
        <v>93</v>
      </c>
      <c r="U281">
        <v>1</v>
      </c>
      <c r="V281">
        <v>1</v>
      </c>
      <c r="W281">
        <v>1</v>
      </c>
      <c r="X281">
        <v>0</v>
      </c>
      <c r="Y281">
        <v>0</v>
      </c>
      <c r="Z281">
        <v>0</v>
      </c>
    </row>
    <row r="282" spans="1:26" x14ac:dyDescent="0.25">
      <c r="A282" s="1">
        <v>45567.539421296293</v>
      </c>
      <c r="B282" s="8" t="s">
        <v>20</v>
      </c>
      <c r="C282">
        <v>-11.311400000000001</v>
      </c>
      <c r="D282">
        <v>-139.81100000000001</v>
      </c>
      <c r="E282">
        <v>373</v>
      </c>
      <c r="F282" s="8" t="s">
        <v>21</v>
      </c>
      <c r="G282">
        <v>25</v>
      </c>
      <c r="H282">
        <v>62.4</v>
      </c>
      <c r="I282" s="8" t="s">
        <v>28</v>
      </c>
      <c r="J282">
        <v>20</v>
      </c>
      <c r="K282">
        <v>125</v>
      </c>
      <c r="L282">
        <v>1</v>
      </c>
      <c r="M282" s="8" t="s">
        <v>31</v>
      </c>
      <c r="N282">
        <v>91.2</v>
      </c>
      <c r="O282">
        <v>160</v>
      </c>
      <c r="P282">
        <v>0</v>
      </c>
      <c r="Q282">
        <v>10</v>
      </c>
      <c r="R282">
        <v>2024</v>
      </c>
      <c r="S282">
        <v>3</v>
      </c>
      <c r="T282" s="8" t="s">
        <v>91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25">
      <c r="A283" s="1">
        <v>45560.513969907406</v>
      </c>
      <c r="B283" s="8" t="s">
        <v>30</v>
      </c>
      <c r="C283">
        <v>9.6491000000000007</v>
      </c>
      <c r="D283">
        <v>47.349899999999998</v>
      </c>
      <c r="E283">
        <v>154</v>
      </c>
      <c r="F283" s="8" t="s">
        <v>26</v>
      </c>
      <c r="G283">
        <v>22</v>
      </c>
      <c r="H283">
        <v>53.3</v>
      </c>
      <c r="I283" s="8" t="s">
        <v>22</v>
      </c>
      <c r="J283">
        <v>50</v>
      </c>
      <c r="K283">
        <v>208</v>
      </c>
      <c r="L283">
        <v>4</v>
      </c>
      <c r="M283" s="8" t="s">
        <v>19</v>
      </c>
      <c r="N283">
        <v>85</v>
      </c>
      <c r="O283">
        <v>231</v>
      </c>
      <c r="P283">
        <v>1</v>
      </c>
      <c r="Q283">
        <v>9</v>
      </c>
      <c r="R283">
        <v>2024</v>
      </c>
      <c r="S283">
        <v>3</v>
      </c>
      <c r="T283" s="8" t="s">
        <v>91</v>
      </c>
      <c r="U283">
        <v>0</v>
      </c>
      <c r="V283">
        <v>1</v>
      </c>
      <c r="W283">
        <v>2</v>
      </c>
      <c r="X283">
        <v>1</v>
      </c>
      <c r="Y283">
        <v>0</v>
      </c>
      <c r="Z283">
        <v>1</v>
      </c>
    </row>
    <row r="284" spans="1:26" x14ac:dyDescent="0.25">
      <c r="A284" s="1">
        <v>45346.34107638889</v>
      </c>
      <c r="B284" s="8" t="s">
        <v>33</v>
      </c>
      <c r="C284">
        <v>10.9354</v>
      </c>
      <c r="D284">
        <v>-27.3551</v>
      </c>
      <c r="E284">
        <v>184</v>
      </c>
      <c r="F284" s="8" t="s">
        <v>26</v>
      </c>
      <c r="G284">
        <v>19.2</v>
      </c>
      <c r="H284">
        <v>55.3</v>
      </c>
      <c r="I284" s="8" t="s">
        <v>22</v>
      </c>
      <c r="J284">
        <v>14</v>
      </c>
      <c r="K284">
        <v>450</v>
      </c>
      <c r="L284">
        <v>3</v>
      </c>
      <c r="M284" s="8" t="s">
        <v>19</v>
      </c>
      <c r="N284">
        <v>86.7</v>
      </c>
      <c r="O284">
        <v>247</v>
      </c>
      <c r="P284">
        <v>1</v>
      </c>
      <c r="Q284">
        <v>2</v>
      </c>
      <c r="R284">
        <v>2024</v>
      </c>
      <c r="S284">
        <v>6</v>
      </c>
      <c r="T284" s="8" t="s">
        <v>93</v>
      </c>
      <c r="U284">
        <v>1</v>
      </c>
      <c r="V284">
        <v>1</v>
      </c>
      <c r="W284">
        <v>2</v>
      </c>
      <c r="X284">
        <v>1</v>
      </c>
      <c r="Y284">
        <v>0</v>
      </c>
      <c r="Z284">
        <v>0</v>
      </c>
    </row>
    <row r="285" spans="1:26" x14ac:dyDescent="0.25">
      <c r="A285" s="1">
        <v>45593.416898148149</v>
      </c>
      <c r="B285" s="8" t="s">
        <v>25</v>
      </c>
      <c r="C285">
        <v>84.9482</v>
      </c>
      <c r="D285">
        <v>59.531399999999998</v>
      </c>
      <c r="E285">
        <v>204</v>
      </c>
      <c r="F285" s="8" t="s">
        <v>26</v>
      </c>
      <c r="G285">
        <v>21.4</v>
      </c>
      <c r="H285">
        <v>61.5</v>
      </c>
      <c r="I285" s="8" t="s">
        <v>28</v>
      </c>
      <c r="J285">
        <v>51</v>
      </c>
      <c r="K285">
        <v>490</v>
      </c>
      <c r="L285">
        <v>5</v>
      </c>
      <c r="M285" s="8" t="s">
        <v>31</v>
      </c>
      <c r="N285">
        <v>68</v>
      </c>
      <c r="O285">
        <v>288</v>
      </c>
      <c r="P285">
        <v>0</v>
      </c>
      <c r="Q285">
        <v>10</v>
      </c>
      <c r="R285">
        <v>2024</v>
      </c>
      <c r="S285">
        <v>1</v>
      </c>
      <c r="T285" s="8" t="s">
        <v>91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1</v>
      </c>
    </row>
    <row r="286" spans="1:26" x14ac:dyDescent="0.25">
      <c r="A286" s="1">
        <v>45443.972581018519</v>
      </c>
      <c r="B286" s="8" t="s">
        <v>30</v>
      </c>
      <c r="C286">
        <v>49.721200000000003</v>
      </c>
      <c r="D286">
        <v>179.20249999999999</v>
      </c>
      <c r="E286">
        <v>227</v>
      </c>
      <c r="F286" s="8" t="s">
        <v>26</v>
      </c>
      <c r="G286">
        <v>26.1</v>
      </c>
      <c r="H286">
        <v>65.7</v>
      </c>
      <c r="I286" s="8" t="s">
        <v>18</v>
      </c>
      <c r="J286">
        <v>47</v>
      </c>
      <c r="K286">
        <v>247</v>
      </c>
      <c r="L286">
        <v>8</v>
      </c>
      <c r="M286" s="8" t="s">
        <v>27</v>
      </c>
      <c r="N286">
        <v>77.8</v>
      </c>
      <c r="O286">
        <v>135</v>
      </c>
      <c r="P286">
        <v>0</v>
      </c>
      <c r="Q286">
        <v>5</v>
      </c>
      <c r="R286">
        <v>2024</v>
      </c>
      <c r="S286">
        <v>5</v>
      </c>
      <c r="T286" s="8" t="s">
        <v>90</v>
      </c>
      <c r="U286">
        <v>1</v>
      </c>
      <c r="V286">
        <v>1</v>
      </c>
      <c r="W286">
        <v>1</v>
      </c>
      <c r="X286">
        <v>0</v>
      </c>
      <c r="Y286">
        <v>0</v>
      </c>
      <c r="Z286">
        <v>1</v>
      </c>
    </row>
    <row r="287" spans="1:26" x14ac:dyDescent="0.25">
      <c r="A287" s="1">
        <v>45313.023831018516</v>
      </c>
      <c r="B287" s="8" t="s">
        <v>34</v>
      </c>
      <c r="C287">
        <v>-28.896799999999999</v>
      </c>
      <c r="D287">
        <v>-117.94710000000001</v>
      </c>
      <c r="E287">
        <v>405</v>
      </c>
      <c r="F287" s="8" t="s">
        <v>21</v>
      </c>
      <c r="G287">
        <v>28</v>
      </c>
      <c r="H287">
        <v>67.7</v>
      </c>
      <c r="I287" s="8" t="s">
        <v>28</v>
      </c>
      <c r="J287">
        <v>48</v>
      </c>
      <c r="K287">
        <v>348</v>
      </c>
      <c r="L287">
        <v>3</v>
      </c>
      <c r="M287" s="8" t="s">
        <v>31</v>
      </c>
      <c r="N287">
        <v>78.3</v>
      </c>
      <c r="O287">
        <v>213</v>
      </c>
      <c r="P287">
        <v>0</v>
      </c>
      <c r="Q287">
        <v>1</v>
      </c>
      <c r="R287">
        <v>2024</v>
      </c>
      <c r="S287">
        <v>1</v>
      </c>
      <c r="T287" s="8" t="s">
        <v>93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 x14ac:dyDescent="0.25">
      <c r="A288" s="1">
        <v>45645.462604166663</v>
      </c>
      <c r="B288" s="8" t="s">
        <v>16</v>
      </c>
      <c r="C288">
        <v>-55.5154</v>
      </c>
      <c r="D288">
        <v>-163.6943</v>
      </c>
      <c r="E288">
        <v>392</v>
      </c>
      <c r="F288" s="8" t="s">
        <v>26</v>
      </c>
      <c r="G288">
        <v>27.4</v>
      </c>
      <c r="H288">
        <v>69</v>
      </c>
      <c r="I288" s="8" t="s">
        <v>18</v>
      </c>
      <c r="J288">
        <v>31</v>
      </c>
      <c r="K288">
        <v>347</v>
      </c>
      <c r="L288">
        <v>9</v>
      </c>
      <c r="M288" s="8" t="s">
        <v>23</v>
      </c>
      <c r="N288">
        <v>98</v>
      </c>
      <c r="O288">
        <v>133</v>
      </c>
      <c r="P288">
        <v>0</v>
      </c>
      <c r="Q288">
        <v>12</v>
      </c>
      <c r="R288">
        <v>2024</v>
      </c>
      <c r="S288">
        <v>4</v>
      </c>
      <c r="T288" s="8" t="s">
        <v>93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0</v>
      </c>
    </row>
    <row r="289" spans="1:26" x14ac:dyDescent="0.25">
      <c r="A289" s="1">
        <v>45296.948912037034</v>
      </c>
      <c r="B289" s="8" t="s">
        <v>33</v>
      </c>
      <c r="C289">
        <v>16.7636</v>
      </c>
      <c r="D289">
        <v>29.278300000000002</v>
      </c>
      <c r="E289">
        <v>429</v>
      </c>
      <c r="F289" s="8" t="s">
        <v>21</v>
      </c>
      <c r="G289">
        <v>27.7</v>
      </c>
      <c r="H289">
        <v>75</v>
      </c>
      <c r="I289" s="8" t="s">
        <v>22</v>
      </c>
      <c r="J289">
        <v>12</v>
      </c>
      <c r="K289">
        <v>446</v>
      </c>
      <c r="L289">
        <v>4</v>
      </c>
      <c r="M289" s="8" t="s">
        <v>19</v>
      </c>
      <c r="N289">
        <v>65.7</v>
      </c>
      <c r="O289">
        <v>203</v>
      </c>
      <c r="P289">
        <v>1</v>
      </c>
      <c r="Q289">
        <v>1</v>
      </c>
      <c r="R289">
        <v>2024</v>
      </c>
      <c r="S289">
        <v>5</v>
      </c>
      <c r="T289" s="8" t="s">
        <v>93</v>
      </c>
      <c r="U289">
        <v>1</v>
      </c>
      <c r="V289">
        <v>0</v>
      </c>
      <c r="W289">
        <v>2</v>
      </c>
      <c r="X289">
        <v>1</v>
      </c>
      <c r="Y289">
        <v>0</v>
      </c>
      <c r="Z289">
        <v>0</v>
      </c>
    </row>
    <row r="290" spans="1:26" x14ac:dyDescent="0.25">
      <c r="A290" s="1">
        <v>45469.339733796296</v>
      </c>
      <c r="B290" s="8" t="s">
        <v>16</v>
      </c>
      <c r="C290">
        <v>-76.307000000000002</v>
      </c>
      <c r="D290">
        <v>5.0297999999999998</v>
      </c>
      <c r="E290">
        <v>488</v>
      </c>
      <c r="F290" s="8" t="s">
        <v>26</v>
      </c>
      <c r="G290">
        <v>25.2</v>
      </c>
      <c r="H290">
        <v>63.9</v>
      </c>
      <c r="I290" s="8" t="s">
        <v>22</v>
      </c>
      <c r="J290">
        <v>19</v>
      </c>
      <c r="K290">
        <v>219</v>
      </c>
      <c r="L290">
        <v>4</v>
      </c>
      <c r="M290" s="8" t="s">
        <v>23</v>
      </c>
      <c r="N290">
        <v>100</v>
      </c>
      <c r="O290">
        <v>184</v>
      </c>
      <c r="P290">
        <v>1</v>
      </c>
      <c r="Q290">
        <v>6</v>
      </c>
      <c r="R290">
        <v>2024</v>
      </c>
      <c r="S290">
        <v>3</v>
      </c>
      <c r="T290" s="8" t="s">
        <v>92</v>
      </c>
      <c r="U290">
        <v>0</v>
      </c>
      <c r="V290">
        <v>1</v>
      </c>
      <c r="W290">
        <v>2</v>
      </c>
      <c r="X290">
        <v>1</v>
      </c>
      <c r="Y290">
        <v>0</v>
      </c>
      <c r="Z290">
        <v>0</v>
      </c>
    </row>
    <row r="291" spans="1:26" x14ac:dyDescent="0.25">
      <c r="A291" s="1">
        <v>45504.08829861111</v>
      </c>
      <c r="B291" s="8" t="s">
        <v>20</v>
      </c>
      <c r="C291">
        <v>-22.4693</v>
      </c>
      <c r="D291">
        <v>149.96340000000001</v>
      </c>
      <c r="E291">
        <v>444</v>
      </c>
      <c r="F291" s="8" t="s">
        <v>17</v>
      </c>
      <c r="G291">
        <v>29.8</v>
      </c>
      <c r="H291">
        <v>67.5</v>
      </c>
      <c r="I291" s="8" t="s">
        <v>28</v>
      </c>
      <c r="J291">
        <v>41</v>
      </c>
      <c r="K291">
        <v>125</v>
      </c>
      <c r="L291">
        <v>5</v>
      </c>
      <c r="M291" s="8" t="s">
        <v>23</v>
      </c>
      <c r="N291">
        <v>63.3</v>
      </c>
      <c r="O291">
        <v>152</v>
      </c>
      <c r="P291">
        <v>1</v>
      </c>
      <c r="Q291">
        <v>7</v>
      </c>
      <c r="R291">
        <v>2024</v>
      </c>
      <c r="S291">
        <v>3</v>
      </c>
      <c r="T291" s="8" t="s">
        <v>92</v>
      </c>
      <c r="U291">
        <v>0</v>
      </c>
      <c r="V291">
        <v>2</v>
      </c>
      <c r="W291">
        <v>0</v>
      </c>
      <c r="X291">
        <v>0</v>
      </c>
      <c r="Y291">
        <v>0</v>
      </c>
      <c r="Z291">
        <v>0</v>
      </c>
    </row>
    <row r="292" spans="1:26" x14ac:dyDescent="0.25">
      <c r="A292" s="1">
        <v>45623.181458333333</v>
      </c>
      <c r="B292" s="8" t="s">
        <v>35</v>
      </c>
      <c r="C292">
        <v>71.885900000000007</v>
      </c>
      <c r="D292">
        <v>93.446399999999997</v>
      </c>
      <c r="E292">
        <v>420</v>
      </c>
      <c r="F292" s="8" t="s">
        <v>17</v>
      </c>
      <c r="G292">
        <v>18.399999999999999</v>
      </c>
      <c r="H292">
        <v>68.5</v>
      </c>
      <c r="I292" s="8" t="s">
        <v>22</v>
      </c>
      <c r="J292">
        <v>50</v>
      </c>
      <c r="K292">
        <v>340</v>
      </c>
      <c r="L292">
        <v>10</v>
      </c>
      <c r="M292" s="8" t="s">
        <v>23</v>
      </c>
      <c r="N292">
        <v>76.8</v>
      </c>
      <c r="O292">
        <v>212</v>
      </c>
      <c r="P292">
        <v>1</v>
      </c>
      <c r="Q292">
        <v>11</v>
      </c>
      <c r="R292">
        <v>2024</v>
      </c>
      <c r="S292">
        <v>3</v>
      </c>
      <c r="T292" s="8" t="s">
        <v>91</v>
      </c>
      <c r="U292">
        <v>0</v>
      </c>
      <c r="V292">
        <v>2</v>
      </c>
      <c r="W292">
        <v>2</v>
      </c>
      <c r="X292">
        <v>1</v>
      </c>
      <c r="Y292">
        <v>0</v>
      </c>
      <c r="Z292">
        <v>1</v>
      </c>
    </row>
    <row r="293" spans="1:26" x14ac:dyDescent="0.25">
      <c r="A293" s="1">
        <v>45449.16814814815</v>
      </c>
      <c r="B293" s="8" t="s">
        <v>35</v>
      </c>
      <c r="C293">
        <v>-9.7179000000000002</v>
      </c>
      <c r="D293">
        <v>-117.0145</v>
      </c>
      <c r="E293">
        <v>391</v>
      </c>
      <c r="F293" s="8" t="s">
        <v>21</v>
      </c>
      <c r="G293">
        <v>25.5</v>
      </c>
      <c r="H293">
        <v>73.7</v>
      </c>
      <c r="I293" s="8" t="s">
        <v>18</v>
      </c>
      <c r="J293">
        <v>31</v>
      </c>
      <c r="K293">
        <v>472</v>
      </c>
      <c r="L293">
        <v>10</v>
      </c>
      <c r="M293" s="8" t="s">
        <v>23</v>
      </c>
      <c r="N293">
        <v>77.2</v>
      </c>
      <c r="O293">
        <v>109</v>
      </c>
      <c r="P293">
        <v>0</v>
      </c>
      <c r="Q293">
        <v>6</v>
      </c>
      <c r="R293">
        <v>2024</v>
      </c>
      <c r="S293">
        <v>4</v>
      </c>
      <c r="T293" s="8" t="s">
        <v>92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</row>
    <row r="294" spans="1:26" x14ac:dyDescent="0.25">
      <c r="A294" s="1">
        <v>45428.85701388889</v>
      </c>
      <c r="B294" s="8" t="s">
        <v>25</v>
      </c>
      <c r="C294">
        <v>-12.2288</v>
      </c>
      <c r="D294">
        <v>-74.780100000000004</v>
      </c>
      <c r="E294">
        <v>212</v>
      </c>
      <c r="F294" s="8" t="s">
        <v>26</v>
      </c>
      <c r="G294">
        <v>20.6</v>
      </c>
      <c r="H294">
        <v>50.5</v>
      </c>
      <c r="I294" s="8" t="s">
        <v>28</v>
      </c>
      <c r="J294">
        <v>41</v>
      </c>
      <c r="K294">
        <v>498</v>
      </c>
      <c r="L294">
        <v>5</v>
      </c>
      <c r="M294" s="8" t="s">
        <v>31</v>
      </c>
      <c r="N294">
        <v>94.1</v>
      </c>
      <c r="O294">
        <v>162</v>
      </c>
      <c r="P294">
        <v>0</v>
      </c>
      <c r="Q294">
        <v>5</v>
      </c>
      <c r="R294">
        <v>2024</v>
      </c>
      <c r="S294">
        <v>4</v>
      </c>
      <c r="T294" s="8" t="s">
        <v>90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</row>
    <row r="295" spans="1:26" x14ac:dyDescent="0.25">
      <c r="A295" s="1">
        <v>45487.884814814817</v>
      </c>
      <c r="B295" s="8" t="s">
        <v>29</v>
      </c>
      <c r="C295">
        <v>5.4618000000000002</v>
      </c>
      <c r="D295">
        <v>-179.8202</v>
      </c>
      <c r="E295">
        <v>157</v>
      </c>
      <c r="F295" s="8" t="s">
        <v>26</v>
      </c>
      <c r="G295">
        <v>20.9</v>
      </c>
      <c r="H295">
        <v>77.099999999999994</v>
      </c>
      <c r="I295" s="8" t="s">
        <v>28</v>
      </c>
      <c r="J295">
        <v>26</v>
      </c>
      <c r="K295">
        <v>499</v>
      </c>
      <c r="L295">
        <v>4</v>
      </c>
      <c r="M295" s="8" t="s">
        <v>27</v>
      </c>
      <c r="N295">
        <v>91.4</v>
      </c>
      <c r="O295">
        <v>214</v>
      </c>
      <c r="P295">
        <v>0</v>
      </c>
      <c r="Q295">
        <v>7</v>
      </c>
      <c r="R295">
        <v>2024</v>
      </c>
      <c r="S295">
        <v>0</v>
      </c>
      <c r="T295" s="8" t="s">
        <v>92</v>
      </c>
      <c r="U295">
        <v>0</v>
      </c>
      <c r="V295">
        <v>1</v>
      </c>
      <c r="W295">
        <v>0</v>
      </c>
      <c r="X295">
        <v>0</v>
      </c>
      <c r="Y295">
        <v>1</v>
      </c>
      <c r="Z295">
        <v>0</v>
      </c>
    </row>
    <row r="296" spans="1:26" x14ac:dyDescent="0.25">
      <c r="A296" s="1">
        <v>45618.480486111112</v>
      </c>
      <c r="B296" s="8" t="s">
        <v>32</v>
      </c>
      <c r="C296">
        <v>-54.831699999999998</v>
      </c>
      <c r="D296">
        <v>66.470600000000005</v>
      </c>
      <c r="E296">
        <v>399</v>
      </c>
      <c r="F296" s="8" t="s">
        <v>26</v>
      </c>
      <c r="G296">
        <v>26.3</v>
      </c>
      <c r="H296">
        <v>79.400000000000006</v>
      </c>
      <c r="I296" s="8" t="s">
        <v>18</v>
      </c>
      <c r="J296">
        <v>25</v>
      </c>
      <c r="K296">
        <v>476</v>
      </c>
      <c r="L296">
        <v>4</v>
      </c>
      <c r="M296" s="8" t="s">
        <v>31</v>
      </c>
      <c r="N296">
        <v>95.6</v>
      </c>
      <c r="O296">
        <v>256</v>
      </c>
      <c r="P296">
        <v>0</v>
      </c>
      <c r="Q296">
        <v>11</v>
      </c>
      <c r="R296">
        <v>2024</v>
      </c>
      <c r="S296">
        <v>5</v>
      </c>
      <c r="T296" s="8" t="s">
        <v>91</v>
      </c>
      <c r="U296">
        <v>1</v>
      </c>
      <c r="V296">
        <v>1</v>
      </c>
      <c r="W296">
        <v>1</v>
      </c>
      <c r="X296">
        <v>0</v>
      </c>
      <c r="Y296">
        <v>1</v>
      </c>
      <c r="Z296">
        <v>0</v>
      </c>
    </row>
    <row r="297" spans="1:26" x14ac:dyDescent="0.25">
      <c r="A297" s="1">
        <v>45597.896689814814</v>
      </c>
      <c r="B297" s="8" t="s">
        <v>30</v>
      </c>
      <c r="C297">
        <v>-80.052199999999999</v>
      </c>
      <c r="D297">
        <v>-102.2508</v>
      </c>
      <c r="E297">
        <v>103</v>
      </c>
      <c r="F297" s="8" t="s">
        <v>26</v>
      </c>
      <c r="G297">
        <v>27.9</v>
      </c>
      <c r="H297">
        <v>53.1</v>
      </c>
      <c r="I297" s="8" t="s">
        <v>18</v>
      </c>
      <c r="J297">
        <v>52</v>
      </c>
      <c r="K297">
        <v>386</v>
      </c>
      <c r="L297">
        <v>1</v>
      </c>
      <c r="M297" s="8" t="s">
        <v>19</v>
      </c>
      <c r="N297">
        <v>97.7</v>
      </c>
      <c r="O297">
        <v>141</v>
      </c>
      <c r="P297">
        <v>0</v>
      </c>
      <c r="Q297">
        <v>11</v>
      </c>
      <c r="R297">
        <v>2024</v>
      </c>
      <c r="S297">
        <v>5</v>
      </c>
      <c r="T297" s="8" t="s">
        <v>91</v>
      </c>
      <c r="U297">
        <v>1</v>
      </c>
      <c r="V297">
        <v>1</v>
      </c>
      <c r="W297">
        <v>1</v>
      </c>
      <c r="X297">
        <v>0</v>
      </c>
      <c r="Y297">
        <v>0</v>
      </c>
      <c r="Z297">
        <v>1</v>
      </c>
    </row>
    <row r="298" spans="1:26" x14ac:dyDescent="0.25">
      <c r="A298" s="1">
        <v>45592.652511574073</v>
      </c>
      <c r="B298" s="8" t="s">
        <v>25</v>
      </c>
      <c r="C298">
        <v>-13.0527</v>
      </c>
      <c r="D298">
        <v>-122.0924</v>
      </c>
      <c r="E298">
        <v>333</v>
      </c>
      <c r="F298" s="8" t="s">
        <v>17</v>
      </c>
      <c r="G298">
        <v>22.1</v>
      </c>
      <c r="H298">
        <v>65</v>
      </c>
      <c r="I298" s="8" t="s">
        <v>18</v>
      </c>
      <c r="J298">
        <v>22</v>
      </c>
      <c r="K298">
        <v>243</v>
      </c>
      <c r="L298">
        <v>5</v>
      </c>
      <c r="M298" s="8" t="s">
        <v>31</v>
      </c>
      <c r="N298">
        <v>83.2</v>
      </c>
      <c r="O298">
        <v>176</v>
      </c>
      <c r="P298">
        <v>1</v>
      </c>
      <c r="Q298">
        <v>10</v>
      </c>
      <c r="R298">
        <v>2024</v>
      </c>
      <c r="S298">
        <v>0</v>
      </c>
      <c r="T298" s="8" t="s">
        <v>91</v>
      </c>
      <c r="U298">
        <v>0</v>
      </c>
      <c r="V298">
        <v>2</v>
      </c>
      <c r="W298">
        <v>1</v>
      </c>
      <c r="X298">
        <v>0</v>
      </c>
      <c r="Y298">
        <v>0</v>
      </c>
      <c r="Z298">
        <v>0</v>
      </c>
    </row>
    <row r="299" spans="1:26" x14ac:dyDescent="0.25">
      <c r="A299" s="1">
        <v>45336.514317129629</v>
      </c>
      <c r="B299" s="8" t="s">
        <v>20</v>
      </c>
      <c r="C299">
        <v>6.3666</v>
      </c>
      <c r="D299">
        <v>136.07939999999999</v>
      </c>
      <c r="E299">
        <v>234</v>
      </c>
      <c r="F299" s="8" t="s">
        <v>26</v>
      </c>
      <c r="G299">
        <v>27.3</v>
      </c>
      <c r="H299">
        <v>70.099999999999994</v>
      </c>
      <c r="I299" s="8" t="s">
        <v>18</v>
      </c>
      <c r="J299">
        <v>45</v>
      </c>
      <c r="K299">
        <v>416</v>
      </c>
      <c r="L299">
        <v>8</v>
      </c>
      <c r="M299" s="8" t="s">
        <v>19</v>
      </c>
      <c r="N299">
        <v>86.9</v>
      </c>
      <c r="O299">
        <v>165</v>
      </c>
      <c r="P299">
        <v>0</v>
      </c>
      <c r="Q299">
        <v>2</v>
      </c>
      <c r="R299">
        <v>2024</v>
      </c>
      <c r="S299">
        <v>3</v>
      </c>
      <c r="T299" s="8" t="s">
        <v>93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0</v>
      </c>
    </row>
    <row r="300" spans="1:26" x14ac:dyDescent="0.25">
      <c r="A300" s="1">
        <v>45414.468564814815</v>
      </c>
      <c r="B300" s="8" t="s">
        <v>25</v>
      </c>
      <c r="C300">
        <v>83.124300000000005</v>
      </c>
      <c r="D300">
        <v>48.432499999999997</v>
      </c>
      <c r="E300">
        <v>146</v>
      </c>
      <c r="F300" s="8" t="s">
        <v>17</v>
      </c>
      <c r="G300">
        <v>29</v>
      </c>
      <c r="H300">
        <v>55.5</v>
      </c>
      <c r="I300" s="8" t="s">
        <v>18</v>
      </c>
      <c r="J300">
        <v>52</v>
      </c>
      <c r="K300">
        <v>414</v>
      </c>
      <c r="L300">
        <v>10</v>
      </c>
      <c r="M300" s="8" t="s">
        <v>31</v>
      </c>
      <c r="N300">
        <v>82.3</v>
      </c>
      <c r="O300">
        <v>228</v>
      </c>
      <c r="P300">
        <v>1</v>
      </c>
      <c r="Q300">
        <v>5</v>
      </c>
      <c r="R300">
        <v>2024</v>
      </c>
      <c r="S300">
        <v>4</v>
      </c>
      <c r="T300" s="8" t="s">
        <v>90</v>
      </c>
      <c r="U300">
        <v>0</v>
      </c>
      <c r="V300">
        <v>2</v>
      </c>
      <c r="W300">
        <v>1</v>
      </c>
      <c r="X300">
        <v>0</v>
      </c>
      <c r="Y300">
        <v>0</v>
      </c>
      <c r="Z300">
        <v>1</v>
      </c>
    </row>
    <row r="301" spans="1:26" x14ac:dyDescent="0.25">
      <c r="A301" s="1">
        <v>45537.210706018515</v>
      </c>
      <c r="B301" s="8" t="s">
        <v>16</v>
      </c>
      <c r="C301">
        <v>51.189799999999998</v>
      </c>
      <c r="D301">
        <v>25.596399999999999</v>
      </c>
      <c r="E301">
        <v>109</v>
      </c>
      <c r="F301" s="8" t="s">
        <v>17</v>
      </c>
      <c r="G301">
        <v>20.7</v>
      </c>
      <c r="H301">
        <v>60.9</v>
      </c>
      <c r="I301" s="8" t="s">
        <v>22</v>
      </c>
      <c r="J301">
        <v>39</v>
      </c>
      <c r="K301">
        <v>147</v>
      </c>
      <c r="L301">
        <v>9</v>
      </c>
      <c r="M301" s="8" t="s">
        <v>27</v>
      </c>
      <c r="N301">
        <v>75</v>
      </c>
      <c r="O301">
        <v>116</v>
      </c>
      <c r="P301">
        <v>1</v>
      </c>
      <c r="Q301">
        <v>9</v>
      </c>
      <c r="R301">
        <v>2024</v>
      </c>
      <c r="S301">
        <v>1</v>
      </c>
      <c r="T301" s="8" t="s">
        <v>91</v>
      </c>
      <c r="U301">
        <v>0</v>
      </c>
      <c r="V301">
        <v>2</v>
      </c>
      <c r="W301">
        <v>2</v>
      </c>
      <c r="X301">
        <v>1</v>
      </c>
      <c r="Y301">
        <v>0</v>
      </c>
      <c r="Z301">
        <v>0</v>
      </c>
    </row>
    <row r="302" spans="1:26" x14ac:dyDescent="0.25">
      <c r="A302" s="1">
        <v>45634.191412037035</v>
      </c>
      <c r="B302" s="8" t="s">
        <v>32</v>
      </c>
      <c r="C302">
        <v>-76.398700000000005</v>
      </c>
      <c r="D302">
        <v>-68.1922</v>
      </c>
      <c r="E302">
        <v>357</v>
      </c>
      <c r="F302" s="8" t="s">
        <v>17</v>
      </c>
      <c r="G302">
        <v>24.6</v>
      </c>
      <c r="H302">
        <v>73.5</v>
      </c>
      <c r="I302" s="8" t="s">
        <v>28</v>
      </c>
      <c r="J302">
        <v>48</v>
      </c>
      <c r="K302">
        <v>266</v>
      </c>
      <c r="L302">
        <v>10</v>
      </c>
      <c r="M302" s="8" t="s">
        <v>27</v>
      </c>
      <c r="N302">
        <v>74.400000000000006</v>
      </c>
      <c r="O302">
        <v>226</v>
      </c>
      <c r="P302">
        <v>1</v>
      </c>
      <c r="Q302">
        <v>12</v>
      </c>
      <c r="R302">
        <v>2024</v>
      </c>
      <c r="S302">
        <v>0</v>
      </c>
      <c r="T302" s="8" t="s">
        <v>93</v>
      </c>
      <c r="U302">
        <v>0</v>
      </c>
      <c r="V302">
        <v>2</v>
      </c>
      <c r="W302">
        <v>0</v>
      </c>
      <c r="X302">
        <v>0</v>
      </c>
      <c r="Y302">
        <v>0</v>
      </c>
      <c r="Z302">
        <v>1</v>
      </c>
    </row>
    <row r="303" spans="1:26" x14ac:dyDescent="0.25">
      <c r="A303" s="1">
        <v>45314.233263888891</v>
      </c>
      <c r="B303" s="8" t="s">
        <v>25</v>
      </c>
      <c r="C303">
        <v>70.554100000000005</v>
      </c>
      <c r="D303">
        <v>-150.1626</v>
      </c>
      <c r="E303">
        <v>356</v>
      </c>
      <c r="F303" s="8" t="s">
        <v>26</v>
      </c>
      <c r="G303">
        <v>19.5</v>
      </c>
      <c r="H303">
        <v>63.1</v>
      </c>
      <c r="I303" s="8" t="s">
        <v>28</v>
      </c>
      <c r="J303">
        <v>16</v>
      </c>
      <c r="K303">
        <v>118</v>
      </c>
      <c r="L303">
        <v>3</v>
      </c>
      <c r="M303" s="8" t="s">
        <v>19</v>
      </c>
      <c r="N303">
        <v>77.8</v>
      </c>
      <c r="O303">
        <v>230</v>
      </c>
      <c r="P303">
        <v>0</v>
      </c>
      <c r="Q303">
        <v>1</v>
      </c>
      <c r="R303">
        <v>2024</v>
      </c>
      <c r="S303">
        <v>2</v>
      </c>
      <c r="T303" s="8" t="s">
        <v>93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</row>
    <row r="304" spans="1:26" x14ac:dyDescent="0.25">
      <c r="A304" s="1">
        <v>45316.477708333332</v>
      </c>
      <c r="B304" s="8" t="s">
        <v>30</v>
      </c>
      <c r="C304">
        <v>-38.218499999999999</v>
      </c>
      <c r="D304">
        <v>104.16670000000001</v>
      </c>
      <c r="E304">
        <v>349</v>
      </c>
      <c r="F304" s="8" t="s">
        <v>26</v>
      </c>
      <c r="G304">
        <v>19.399999999999999</v>
      </c>
      <c r="H304">
        <v>62.7</v>
      </c>
      <c r="I304" s="8" t="s">
        <v>18</v>
      </c>
      <c r="J304">
        <v>19</v>
      </c>
      <c r="K304">
        <v>296</v>
      </c>
      <c r="L304">
        <v>3</v>
      </c>
      <c r="M304" s="8" t="s">
        <v>19</v>
      </c>
      <c r="N304">
        <v>72.3</v>
      </c>
      <c r="O304">
        <v>177</v>
      </c>
      <c r="P304">
        <v>0</v>
      </c>
      <c r="Q304">
        <v>1</v>
      </c>
      <c r="R304">
        <v>2024</v>
      </c>
      <c r="S304">
        <v>4</v>
      </c>
      <c r="T304" s="8" t="s">
        <v>93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0</v>
      </c>
    </row>
    <row r="305" spans="1:26" x14ac:dyDescent="0.25">
      <c r="A305" s="1">
        <v>45604.563842592594</v>
      </c>
      <c r="B305" s="8" t="s">
        <v>35</v>
      </c>
      <c r="C305">
        <v>39.141100000000002</v>
      </c>
      <c r="D305">
        <v>138.17859999999999</v>
      </c>
      <c r="E305">
        <v>159</v>
      </c>
      <c r="F305" s="8" t="s">
        <v>26</v>
      </c>
      <c r="G305">
        <v>27.1</v>
      </c>
      <c r="H305">
        <v>77.5</v>
      </c>
      <c r="I305" s="8" t="s">
        <v>22</v>
      </c>
      <c r="J305">
        <v>33</v>
      </c>
      <c r="K305">
        <v>429</v>
      </c>
      <c r="L305">
        <v>9</v>
      </c>
      <c r="M305" s="8" t="s">
        <v>19</v>
      </c>
      <c r="N305">
        <v>77.900000000000006</v>
      </c>
      <c r="O305">
        <v>200</v>
      </c>
      <c r="P305">
        <v>1</v>
      </c>
      <c r="Q305">
        <v>11</v>
      </c>
      <c r="R305">
        <v>2024</v>
      </c>
      <c r="S305">
        <v>5</v>
      </c>
      <c r="T305" s="8" t="s">
        <v>91</v>
      </c>
      <c r="U305">
        <v>1</v>
      </c>
      <c r="V305">
        <v>1</v>
      </c>
      <c r="W305">
        <v>2</v>
      </c>
      <c r="X305">
        <v>1</v>
      </c>
      <c r="Y305">
        <v>1</v>
      </c>
      <c r="Z305">
        <v>0</v>
      </c>
    </row>
    <row r="306" spans="1:26" x14ac:dyDescent="0.25">
      <c r="A306" s="1">
        <v>45442.045023148145</v>
      </c>
      <c r="B306" s="8" t="s">
        <v>29</v>
      </c>
      <c r="C306">
        <v>-68.800600000000003</v>
      </c>
      <c r="D306">
        <v>159.00399999999999</v>
      </c>
      <c r="E306">
        <v>148</v>
      </c>
      <c r="F306" s="8" t="s">
        <v>26</v>
      </c>
      <c r="G306">
        <v>25</v>
      </c>
      <c r="H306">
        <v>60.7</v>
      </c>
      <c r="I306" s="8" t="s">
        <v>28</v>
      </c>
      <c r="J306">
        <v>43</v>
      </c>
      <c r="K306">
        <v>196</v>
      </c>
      <c r="L306">
        <v>4</v>
      </c>
      <c r="M306" s="8" t="s">
        <v>31</v>
      </c>
      <c r="N306">
        <v>64.599999999999994</v>
      </c>
      <c r="O306">
        <v>240</v>
      </c>
      <c r="P306">
        <v>0</v>
      </c>
      <c r="Q306">
        <v>5</v>
      </c>
      <c r="R306">
        <v>2024</v>
      </c>
      <c r="S306">
        <v>4</v>
      </c>
      <c r="T306" s="8" t="s">
        <v>90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</row>
    <row r="307" spans="1:26" x14ac:dyDescent="0.25">
      <c r="A307" s="1">
        <v>45442.479560185187</v>
      </c>
      <c r="B307" s="8" t="s">
        <v>33</v>
      </c>
      <c r="C307">
        <v>51.159799999999997</v>
      </c>
      <c r="D307">
        <v>-170.93109999999999</v>
      </c>
      <c r="E307">
        <v>354</v>
      </c>
      <c r="F307" s="8" t="s">
        <v>26</v>
      </c>
      <c r="G307">
        <v>26.9</v>
      </c>
      <c r="H307">
        <v>65.5</v>
      </c>
      <c r="I307" s="8" t="s">
        <v>22</v>
      </c>
      <c r="J307">
        <v>14</v>
      </c>
      <c r="K307">
        <v>245</v>
      </c>
      <c r="L307">
        <v>4</v>
      </c>
      <c r="M307" s="8" t="s">
        <v>19</v>
      </c>
      <c r="N307">
        <v>73.400000000000006</v>
      </c>
      <c r="O307">
        <v>151</v>
      </c>
      <c r="P307">
        <v>1</v>
      </c>
      <c r="Q307">
        <v>5</v>
      </c>
      <c r="R307">
        <v>2024</v>
      </c>
      <c r="S307">
        <v>4</v>
      </c>
      <c r="T307" s="8" t="s">
        <v>90</v>
      </c>
      <c r="U307">
        <v>0</v>
      </c>
      <c r="V307">
        <v>1</v>
      </c>
      <c r="W307">
        <v>2</v>
      </c>
      <c r="X307">
        <v>1</v>
      </c>
      <c r="Y307">
        <v>0</v>
      </c>
      <c r="Z307">
        <v>0</v>
      </c>
    </row>
    <row r="308" spans="1:26" x14ac:dyDescent="0.25">
      <c r="A308" s="1">
        <v>45353.992604166669</v>
      </c>
      <c r="B308" s="8" t="s">
        <v>32</v>
      </c>
      <c r="C308">
        <v>-29.5867</v>
      </c>
      <c r="D308">
        <v>41.061199999999999</v>
      </c>
      <c r="E308">
        <v>214</v>
      </c>
      <c r="F308" s="8" t="s">
        <v>26</v>
      </c>
      <c r="G308">
        <v>21.5</v>
      </c>
      <c r="H308">
        <v>69.099999999999994</v>
      </c>
      <c r="I308" s="8" t="s">
        <v>22</v>
      </c>
      <c r="J308">
        <v>49</v>
      </c>
      <c r="K308">
        <v>417</v>
      </c>
      <c r="L308">
        <v>10</v>
      </c>
      <c r="M308" s="8" t="s">
        <v>27</v>
      </c>
      <c r="N308">
        <v>76.7</v>
      </c>
      <c r="O308">
        <v>249</v>
      </c>
      <c r="P308">
        <v>1</v>
      </c>
      <c r="Q308">
        <v>3</v>
      </c>
      <c r="R308">
        <v>2024</v>
      </c>
      <c r="S308">
        <v>6</v>
      </c>
      <c r="T308" s="8" t="s">
        <v>90</v>
      </c>
      <c r="U308">
        <v>1</v>
      </c>
      <c r="V308">
        <v>1</v>
      </c>
      <c r="W308">
        <v>2</v>
      </c>
      <c r="X308">
        <v>1</v>
      </c>
      <c r="Y308">
        <v>0</v>
      </c>
      <c r="Z308">
        <v>1</v>
      </c>
    </row>
    <row r="309" spans="1:26" x14ac:dyDescent="0.25">
      <c r="A309" s="1">
        <v>45533.494849537034</v>
      </c>
      <c r="B309" s="8" t="s">
        <v>32</v>
      </c>
      <c r="C309">
        <v>-51.341200000000001</v>
      </c>
      <c r="D309">
        <v>-112.1636</v>
      </c>
      <c r="E309">
        <v>307</v>
      </c>
      <c r="F309" s="8" t="s">
        <v>17</v>
      </c>
      <c r="G309">
        <v>21</v>
      </c>
      <c r="H309">
        <v>52.8</v>
      </c>
      <c r="I309" s="8" t="s">
        <v>28</v>
      </c>
      <c r="J309">
        <v>21</v>
      </c>
      <c r="K309">
        <v>475</v>
      </c>
      <c r="L309">
        <v>4</v>
      </c>
      <c r="M309" s="8" t="s">
        <v>19</v>
      </c>
      <c r="N309">
        <v>82.8</v>
      </c>
      <c r="O309">
        <v>107</v>
      </c>
      <c r="P309">
        <v>1</v>
      </c>
      <c r="Q309">
        <v>8</v>
      </c>
      <c r="R309">
        <v>2024</v>
      </c>
      <c r="S309">
        <v>4</v>
      </c>
      <c r="T309" s="8" t="s">
        <v>92</v>
      </c>
      <c r="U309">
        <v>0</v>
      </c>
      <c r="V309">
        <v>2</v>
      </c>
      <c r="W309">
        <v>0</v>
      </c>
      <c r="X309">
        <v>0</v>
      </c>
      <c r="Y309">
        <v>0</v>
      </c>
      <c r="Z309">
        <v>0</v>
      </c>
    </row>
    <row r="310" spans="1:26" x14ac:dyDescent="0.25">
      <c r="A310" s="1">
        <v>45438.078506944446</v>
      </c>
      <c r="B310" s="8" t="s">
        <v>35</v>
      </c>
      <c r="C310">
        <v>-49.505699999999997</v>
      </c>
      <c r="D310">
        <v>174.35329999999999</v>
      </c>
      <c r="E310">
        <v>385</v>
      </c>
      <c r="F310" s="8" t="s">
        <v>21</v>
      </c>
      <c r="G310">
        <v>24.3</v>
      </c>
      <c r="H310">
        <v>59.4</v>
      </c>
      <c r="I310" s="8" t="s">
        <v>28</v>
      </c>
      <c r="J310">
        <v>37</v>
      </c>
      <c r="K310">
        <v>239</v>
      </c>
      <c r="L310">
        <v>3</v>
      </c>
      <c r="M310" s="8" t="s">
        <v>19</v>
      </c>
      <c r="N310">
        <v>88.3</v>
      </c>
      <c r="O310">
        <v>148</v>
      </c>
      <c r="P310">
        <v>0</v>
      </c>
      <c r="Q310">
        <v>5</v>
      </c>
      <c r="R310">
        <v>2024</v>
      </c>
      <c r="S310">
        <v>0</v>
      </c>
      <c r="T310" s="8" t="s">
        <v>90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5">
      <c r="A311" s="1">
        <v>45497.05605324074</v>
      </c>
      <c r="B311" s="8" t="s">
        <v>32</v>
      </c>
      <c r="C311">
        <v>0.75770000000000004</v>
      </c>
      <c r="D311">
        <v>120.0181</v>
      </c>
      <c r="E311">
        <v>490</v>
      </c>
      <c r="F311" s="8" t="s">
        <v>17</v>
      </c>
      <c r="G311">
        <v>24</v>
      </c>
      <c r="H311">
        <v>56.1</v>
      </c>
      <c r="I311" s="8" t="s">
        <v>22</v>
      </c>
      <c r="J311">
        <v>29</v>
      </c>
      <c r="K311">
        <v>463</v>
      </c>
      <c r="L311">
        <v>6</v>
      </c>
      <c r="M311" s="8" t="s">
        <v>31</v>
      </c>
      <c r="N311">
        <v>81.099999999999994</v>
      </c>
      <c r="O311">
        <v>134</v>
      </c>
      <c r="P311">
        <v>1</v>
      </c>
      <c r="Q311">
        <v>7</v>
      </c>
      <c r="R311">
        <v>2024</v>
      </c>
      <c r="S311">
        <v>3</v>
      </c>
      <c r="T311" s="8" t="s">
        <v>92</v>
      </c>
      <c r="U311">
        <v>0</v>
      </c>
      <c r="V311">
        <v>2</v>
      </c>
      <c r="W311">
        <v>2</v>
      </c>
      <c r="X311">
        <v>1</v>
      </c>
      <c r="Y311">
        <v>0</v>
      </c>
      <c r="Z311">
        <v>0</v>
      </c>
    </row>
    <row r="312" spans="1:26" x14ac:dyDescent="0.25">
      <c r="A312" s="1">
        <v>45650.431203703702</v>
      </c>
      <c r="B312" s="8" t="s">
        <v>29</v>
      </c>
      <c r="C312">
        <v>-2.2911000000000001</v>
      </c>
      <c r="D312">
        <v>64.273099999999999</v>
      </c>
      <c r="E312">
        <v>133</v>
      </c>
      <c r="F312" s="8" t="s">
        <v>17</v>
      </c>
      <c r="G312">
        <v>19.399999999999999</v>
      </c>
      <c r="H312">
        <v>76</v>
      </c>
      <c r="I312" s="8" t="s">
        <v>18</v>
      </c>
      <c r="J312">
        <v>36</v>
      </c>
      <c r="K312">
        <v>182</v>
      </c>
      <c r="L312">
        <v>3</v>
      </c>
      <c r="M312" s="8" t="s">
        <v>19</v>
      </c>
      <c r="N312">
        <v>70.5</v>
      </c>
      <c r="O312">
        <v>249</v>
      </c>
      <c r="P312">
        <v>1</v>
      </c>
      <c r="Q312">
        <v>12</v>
      </c>
      <c r="R312">
        <v>2024</v>
      </c>
      <c r="S312">
        <v>2</v>
      </c>
      <c r="T312" s="8" t="s">
        <v>93</v>
      </c>
      <c r="U312">
        <v>0</v>
      </c>
      <c r="V312">
        <v>2</v>
      </c>
      <c r="W312">
        <v>1</v>
      </c>
      <c r="X312">
        <v>0</v>
      </c>
      <c r="Y312">
        <v>1</v>
      </c>
      <c r="Z312">
        <v>0</v>
      </c>
    </row>
    <row r="313" spans="1:26" x14ac:dyDescent="0.25">
      <c r="A313" s="1">
        <v>45333.611157407409</v>
      </c>
      <c r="B313" s="8" t="s">
        <v>30</v>
      </c>
      <c r="C313">
        <v>78.432400000000001</v>
      </c>
      <c r="D313">
        <v>125.0181</v>
      </c>
      <c r="E313">
        <v>472</v>
      </c>
      <c r="F313" s="8" t="s">
        <v>26</v>
      </c>
      <c r="G313">
        <v>24.9</v>
      </c>
      <c r="H313">
        <v>63.2</v>
      </c>
      <c r="I313" s="8" t="s">
        <v>18</v>
      </c>
      <c r="J313">
        <v>36</v>
      </c>
      <c r="K313">
        <v>485</v>
      </c>
      <c r="L313">
        <v>9</v>
      </c>
      <c r="M313" s="8" t="s">
        <v>19</v>
      </c>
      <c r="N313">
        <v>78.900000000000006</v>
      </c>
      <c r="O313">
        <v>271</v>
      </c>
      <c r="P313">
        <v>0</v>
      </c>
      <c r="Q313">
        <v>2</v>
      </c>
      <c r="R313">
        <v>2024</v>
      </c>
      <c r="S313">
        <v>0</v>
      </c>
      <c r="T313" s="8" t="s">
        <v>93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0</v>
      </c>
    </row>
    <row r="314" spans="1:26" x14ac:dyDescent="0.25">
      <c r="A314" s="1">
        <v>45406.03806712963</v>
      </c>
      <c r="B314" s="8" t="s">
        <v>16</v>
      </c>
      <c r="C314">
        <v>-2.8329</v>
      </c>
      <c r="D314">
        <v>-29.9102</v>
      </c>
      <c r="E314">
        <v>338</v>
      </c>
      <c r="F314" s="8" t="s">
        <v>21</v>
      </c>
      <c r="G314">
        <v>28.9</v>
      </c>
      <c r="H314">
        <v>55.5</v>
      </c>
      <c r="I314" s="8" t="s">
        <v>18</v>
      </c>
      <c r="J314">
        <v>39</v>
      </c>
      <c r="K314">
        <v>181</v>
      </c>
      <c r="L314">
        <v>2</v>
      </c>
      <c r="M314" s="8" t="s">
        <v>31</v>
      </c>
      <c r="N314">
        <v>88.6</v>
      </c>
      <c r="O314">
        <v>143</v>
      </c>
      <c r="P314">
        <v>0</v>
      </c>
      <c r="Q314">
        <v>4</v>
      </c>
      <c r="R314">
        <v>2024</v>
      </c>
      <c r="S314">
        <v>3</v>
      </c>
      <c r="T314" s="8" t="s">
        <v>90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</row>
    <row r="315" spans="1:26" x14ac:dyDescent="0.25">
      <c r="A315" s="1">
        <v>45299.431064814817</v>
      </c>
      <c r="B315" s="8" t="s">
        <v>30</v>
      </c>
      <c r="C315">
        <v>70.010300000000001</v>
      </c>
      <c r="D315">
        <v>-164.19139999999999</v>
      </c>
      <c r="E315">
        <v>172</v>
      </c>
      <c r="F315" s="8" t="s">
        <v>26</v>
      </c>
      <c r="G315">
        <v>25.5</v>
      </c>
      <c r="H315">
        <v>55.7</v>
      </c>
      <c r="I315" s="8" t="s">
        <v>18</v>
      </c>
      <c r="J315">
        <v>25</v>
      </c>
      <c r="K315">
        <v>259</v>
      </c>
      <c r="L315">
        <v>1</v>
      </c>
      <c r="M315" s="8" t="s">
        <v>27</v>
      </c>
      <c r="N315">
        <v>65.2</v>
      </c>
      <c r="O315">
        <v>255</v>
      </c>
      <c r="P315">
        <v>0</v>
      </c>
      <c r="Q315">
        <v>1</v>
      </c>
      <c r="R315">
        <v>2024</v>
      </c>
      <c r="S315">
        <v>1</v>
      </c>
      <c r="T315" s="8" t="s">
        <v>93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0</v>
      </c>
    </row>
    <row r="316" spans="1:26" x14ac:dyDescent="0.25">
      <c r="A316" s="1">
        <v>45590.126203703701</v>
      </c>
      <c r="B316" s="8" t="s">
        <v>30</v>
      </c>
      <c r="C316">
        <v>11.4885</v>
      </c>
      <c r="D316">
        <v>-172.56899999999999</v>
      </c>
      <c r="E316">
        <v>187</v>
      </c>
      <c r="F316" s="8" t="s">
        <v>17</v>
      </c>
      <c r="G316">
        <v>24.8</v>
      </c>
      <c r="H316">
        <v>52</v>
      </c>
      <c r="I316" s="8" t="s">
        <v>18</v>
      </c>
      <c r="J316">
        <v>31</v>
      </c>
      <c r="K316">
        <v>231</v>
      </c>
      <c r="L316">
        <v>5</v>
      </c>
      <c r="M316" s="8" t="s">
        <v>23</v>
      </c>
      <c r="N316">
        <v>91.6</v>
      </c>
      <c r="O316">
        <v>234</v>
      </c>
      <c r="P316">
        <v>1</v>
      </c>
      <c r="Q316">
        <v>10</v>
      </c>
      <c r="R316">
        <v>2024</v>
      </c>
      <c r="S316">
        <v>5</v>
      </c>
      <c r="T316" s="8" t="s">
        <v>91</v>
      </c>
      <c r="U316">
        <v>1</v>
      </c>
      <c r="V316">
        <v>2</v>
      </c>
      <c r="W316">
        <v>1</v>
      </c>
      <c r="X316">
        <v>0</v>
      </c>
      <c r="Y316">
        <v>0</v>
      </c>
      <c r="Z316">
        <v>0</v>
      </c>
    </row>
    <row r="317" spans="1:26" x14ac:dyDescent="0.25">
      <c r="A317" s="1">
        <v>45638.62767361111</v>
      </c>
      <c r="B317" s="8" t="s">
        <v>32</v>
      </c>
      <c r="C317">
        <v>74.5261</v>
      </c>
      <c r="D317">
        <v>123.6828</v>
      </c>
      <c r="E317">
        <v>439</v>
      </c>
      <c r="F317" s="8" t="s">
        <v>21</v>
      </c>
      <c r="G317">
        <v>23.5</v>
      </c>
      <c r="H317">
        <v>55.1</v>
      </c>
      <c r="I317" s="8" t="s">
        <v>18</v>
      </c>
      <c r="J317">
        <v>47</v>
      </c>
      <c r="K317">
        <v>454</v>
      </c>
      <c r="L317">
        <v>3</v>
      </c>
      <c r="M317" s="8" t="s">
        <v>23</v>
      </c>
      <c r="N317">
        <v>75.5</v>
      </c>
      <c r="O317">
        <v>196</v>
      </c>
      <c r="P317">
        <v>0</v>
      </c>
      <c r="Q317">
        <v>12</v>
      </c>
      <c r="R317">
        <v>2024</v>
      </c>
      <c r="S317">
        <v>4</v>
      </c>
      <c r="T317" s="8" t="s">
        <v>93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1</v>
      </c>
    </row>
    <row r="318" spans="1:26" x14ac:dyDescent="0.25">
      <c r="A318" s="1">
        <v>45626.386574074073</v>
      </c>
      <c r="B318" s="8" t="s">
        <v>16</v>
      </c>
      <c r="C318">
        <v>-12.950900000000001</v>
      </c>
      <c r="D318">
        <v>132.49860000000001</v>
      </c>
      <c r="E318">
        <v>159</v>
      </c>
      <c r="F318" s="8" t="s">
        <v>21</v>
      </c>
      <c r="G318">
        <v>18.100000000000001</v>
      </c>
      <c r="H318">
        <v>76</v>
      </c>
      <c r="I318" s="8" t="s">
        <v>18</v>
      </c>
      <c r="J318">
        <v>18</v>
      </c>
      <c r="K318">
        <v>202</v>
      </c>
      <c r="L318">
        <v>2</v>
      </c>
      <c r="M318" s="8" t="s">
        <v>23</v>
      </c>
      <c r="N318">
        <v>94.4</v>
      </c>
      <c r="O318">
        <v>197</v>
      </c>
      <c r="P318">
        <v>0</v>
      </c>
      <c r="Q318">
        <v>11</v>
      </c>
      <c r="R318">
        <v>2024</v>
      </c>
      <c r="S318">
        <v>6</v>
      </c>
      <c r="T318" s="8" t="s">
        <v>91</v>
      </c>
      <c r="U318">
        <v>1</v>
      </c>
      <c r="V318">
        <v>0</v>
      </c>
      <c r="W318">
        <v>1</v>
      </c>
      <c r="X318">
        <v>0</v>
      </c>
      <c r="Y318">
        <v>1</v>
      </c>
      <c r="Z318">
        <v>0</v>
      </c>
    </row>
    <row r="319" spans="1:26" x14ac:dyDescent="0.25">
      <c r="A319" s="1">
        <v>45425.378761574073</v>
      </c>
      <c r="B319" s="8" t="s">
        <v>16</v>
      </c>
      <c r="C319">
        <v>81.790000000000006</v>
      </c>
      <c r="D319">
        <v>-52.751600000000003</v>
      </c>
      <c r="E319">
        <v>362</v>
      </c>
      <c r="F319" s="8" t="s">
        <v>26</v>
      </c>
      <c r="G319">
        <v>18.3</v>
      </c>
      <c r="H319">
        <v>57.6</v>
      </c>
      <c r="I319" s="8" t="s">
        <v>22</v>
      </c>
      <c r="J319">
        <v>58</v>
      </c>
      <c r="K319">
        <v>437</v>
      </c>
      <c r="L319">
        <v>8</v>
      </c>
      <c r="M319" s="8" t="s">
        <v>31</v>
      </c>
      <c r="N319">
        <v>66.8</v>
      </c>
      <c r="O319">
        <v>123</v>
      </c>
      <c r="P319">
        <v>1</v>
      </c>
      <c r="Q319">
        <v>5</v>
      </c>
      <c r="R319">
        <v>2024</v>
      </c>
      <c r="S319">
        <v>1</v>
      </c>
      <c r="T319" s="8" t="s">
        <v>90</v>
      </c>
      <c r="U319">
        <v>0</v>
      </c>
      <c r="V319">
        <v>1</v>
      </c>
      <c r="W319">
        <v>2</v>
      </c>
      <c r="X319">
        <v>1</v>
      </c>
      <c r="Y319">
        <v>0</v>
      </c>
      <c r="Z319">
        <v>1</v>
      </c>
    </row>
    <row r="320" spans="1:26" x14ac:dyDescent="0.25">
      <c r="A320" s="1">
        <v>45642.254826388889</v>
      </c>
      <c r="B320" s="8" t="s">
        <v>29</v>
      </c>
      <c r="C320">
        <v>47.717500000000001</v>
      </c>
      <c r="D320">
        <v>72.531000000000006</v>
      </c>
      <c r="E320">
        <v>163</v>
      </c>
      <c r="F320" s="8" t="s">
        <v>26</v>
      </c>
      <c r="G320">
        <v>24.6</v>
      </c>
      <c r="H320">
        <v>53.2</v>
      </c>
      <c r="I320" s="8" t="s">
        <v>18</v>
      </c>
      <c r="J320">
        <v>34</v>
      </c>
      <c r="K320">
        <v>473</v>
      </c>
      <c r="L320">
        <v>9</v>
      </c>
      <c r="M320" s="8" t="s">
        <v>27</v>
      </c>
      <c r="N320">
        <v>72.400000000000006</v>
      </c>
      <c r="O320">
        <v>263</v>
      </c>
      <c r="P320">
        <v>0</v>
      </c>
      <c r="Q320">
        <v>12</v>
      </c>
      <c r="R320">
        <v>2024</v>
      </c>
      <c r="S320">
        <v>1</v>
      </c>
      <c r="T320" s="8" t="s">
        <v>93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0</v>
      </c>
    </row>
    <row r="321" spans="1:26" x14ac:dyDescent="0.25">
      <c r="A321" s="1">
        <v>45336.32984953704</v>
      </c>
      <c r="B321" s="8" t="s">
        <v>16</v>
      </c>
      <c r="C321">
        <v>-21.532900000000001</v>
      </c>
      <c r="D321">
        <v>-145.25810000000001</v>
      </c>
      <c r="E321">
        <v>258</v>
      </c>
      <c r="F321" s="8" t="s">
        <v>17</v>
      </c>
      <c r="G321">
        <v>19.899999999999999</v>
      </c>
      <c r="H321">
        <v>51.9</v>
      </c>
      <c r="I321" s="8" t="s">
        <v>22</v>
      </c>
      <c r="J321">
        <v>54</v>
      </c>
      <c r="K321">
        <v>237</v>
      </c>
      <c r="L321">
        <v>10</v>
      </c>
      <c r="M321" s="8" t="s">
        <v>19</v>
      </c>
      <c r="N321">
        <v>92.7</v>
      </c>
      <c r="O321">
        <v>271</v>
      </c>
      <c r="P321">
        <v>1</v>
      </c>
      <c r="Q321">
        <v>2</v>
      </c>
      <c r="R321">
        <v>2024</v>
      </c>
      <c r="S321">
        <v>3</v>
      </c>
      <c r="T321" s="8" t="s">
        <v>93</v>
      </c>
      <c r="U321">
        <v>0</v>
      </c>
      <c r="V321">
        <v>2</v>
      </c>
      <c r="W321">
        <v>2</v>
      </c>
      <c r="X321">
        <v>1</v>
      </c>
      <c r="Y321">
        <v>0</v>
      </c>
      <c r="Z321">
        <v>1</v>
      </c>
    </row>
    <row r="322" spans="1:26" x14ac:dyDescent="0.25">
      <c r="A322" s="1">
        <v>45468.510740740741</v>
      </c>
      <c r="B322" s="8" t="s">
        <v>25</v>
      </c>
      <c r="C322">
        <v>-4.5862999999999996</v>
      </c>
      <c r="D322">
        <v>71.733699999999999</v>
      </c>
      <c r="E322">
        <v>319</v>
      </c>
      <c r="F322" s="8" t="s">
        <v>17</v>
      </c>
      <c r="G322">
        <v>18</v>
      </c>
      <c r="H322">
        <v>63.6</v>
      </c>
      <c r="I322" s="8" t="s">
        <v>18</v>
      </c>
      <c r="J322">
        <v>23</v>
      </c>
      <c r="K322">
        <v>473</v>
      </c>
      <c r="L322">
        <v>7</v>
      </c>
      <c r="M322" s="8" t="s">
        <v>23</v>
      </c>
      <c r="N322">
        <v>83</v>
      </c>
      <c r="O322">
        <v>187</v>
      </c>
      <c r="P322">
        <v>1</v>
      </c>
      <c r="Q322">
        <v>6</v>
      </c>
      <c r="R322">
        <v>2024</v>
      </c>
      <c r="S322">
        <v>2</v>
      </c>
      <c r="T322" s="8" t="s">
        <v>92</v>
      </c>
      <c r="U322">
        <v>0</v>
      </c>
      <c r="V322">
        <v>2</v>
      </c>
      <c r="W322">
        <v>1</v>
      </c>
      <c r="X322">
        <v>0</v>
      </c>
      <c r="Y322">
        <v>0</v>
      </c>
      <c r="Z322">
        <v>0</v>
      </c>
    </row>
    <row r="323" spans="1:26" x14ac:dyDescent="0.25">
      <c r="A323" s="1">
        <v>45518.165972222225</v>
      </c>
      <c r="B323" s="8" t="s">
        <v>25</v>
      </c>
      <c r="C323">
        <v>-26.677499999999998</v>
      </c>
      <c r="D323">
        <v>-77.284700000000001</v>
      </c>
      <c r="E323">
        <v>247</v>
      </c>
      <c r="F323" s="8" t="s">
        <v>26</v>
      </c>
      <c r="G323">
        <v>28.9</v>
      </c>
      <c r="H323">
        <v>60.7</v>
      </c>
      <c r="I323" s="8" t="s">
        <v>28</v>
      </c>
      <c r="J323">
        <v>56</v>
      </c>
      <c r="K323">
        <v>115</v>
      </c>
      <c r="L323">
        <v>10</v>
      </c>
      <c r="M323" s="8" t="s">
        <v>31</v>
      </c>
      <c r="N323">
        <v>61.6</v>
      </c>
      <c r="O323">
        <v>270</v>
      </c>
      <c r="P323">
        <v>0</v>
      </c>
      <c r="Q323">
        <v>8</v>
      </c>
      <c r="R323">
        <v>2024</v>
      </c>
      <c r="S323">
        <v>3</v>
      </c>
      <c r="T323" s="8" t="s">
        <v>92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1</v>
      </c>
    </row>
    <row r="324" spans="1:26" x14ac:dyDescent="0.25">
      <c r="A324" s="1">
        <v>45390.822141203702</v>
      </c>
      <c r="B324" s="8" t="s">
        <v>32</v>
      </c>
      <c r="C324">
        <v>-30.695699999999999</v>
      </c>
      <c r="D324">
        <v>29.254999999999999</v>
      </c>
      <c r="E324">
        <v>134</v>
      </c>
      <c r="F324" s="8" t="s">
        <v>21</v>
      </c>
      <c r="G324">
        <v>19.899999999999999</v>
      </c>
      <c r="H324">
        <v>67.5</v>
      </c>
      <c r="I324" s="8" t="s">
        <v>18</v>
      </c>
      <c r="J324">
        <v>42</v>
      </c>
      <c r="K324">
        <v>421</v>
      </c>
      <c r="L324">
        <v>5</v>
      </c>
      <c r="M324" s="8" t="s">
        <v>31</v>
      </c>
      <c r="N324">
        <v>77.599999999999994</v>
      </c>
      <c r="O324">
        <v>183</v>
      </c>
      <c r="P324">
        <v>0</v>
      </c>
      <c r="Q324">
        <v>4</v>
      </c>
      <c r="R324">
        <v>2024</v>
      </c>
      <c r="S324">
        <v>1</v>
      </c>
      <c r="T324" s="8" t="s">
        <v>90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</row>
    <row r="325" spans="1:26" x14ac:dyDescent="0.25">
      <c r="A325" s="1">
        <v>45603.598506944443</v>
      </c>
      <c r="B325" s="8" t="s">
        <v>29</v>
      </c>
      <c r="C325">
        <v>64.521199999999993</v>
      </c>
      <c r="D325">
        <v>-83.263900000000007</v>
      </c>
      <c r="E325">
        <v>175</v>
      </c>
      <c r="F325" s="8" t="s">
        <v>21</v>
      </c>
      <c r="G325">
        <v>20.9</v>
      </c>
      <c r="H325">
        <v>58.7</v>
      </c>
      <c r="I325" s="8" t="s">
        <v>18</v>
      </c>
      <c r="J325">
        <v>35</v>
      </c>
      <c r="K325">
        <v>274</v>
      </c>
      <c r="L325">
        <v>9</v>
      </c>
      <c r="M325" s="8" t="s">
        <v>31</v>
      </c>
      <c r="N325">
        <v>61.1</v>
      </c>
      <c r="O325">
        <v>240</v>
      </c>
      <c r="P325">
        <v>0</v>
      </c>
      <c r="Q325">
        <v>11</v>
      </c>
      <c r="R325">
        <v>2024</v>
      </c>
      <c r="S325">
        <v>4</v>
      </c>
      <c r="T325" s="8" t="s">
        <v>91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</row>
    <row r="326" spans="1:26" x14ac:dyDescent="0.25">
      <c r="A326" s="1">
        <v>45303.709409722222</v>
      </c>
      <c r="B326" s="8" t="s">
        <v>25</v>
      </c>
      <c r="C326">
        <v>68.180999999999997</v>
      </c>
      <c r="D326">
        <v>-84.905100000000004</v>
      </c>
      <c r="E326">
        <v>179</v>
      </c>
      <c r="F326" s="8" t="s">
        <v>17</v>
      </c>
      <c r="G326">
        <v>24.2</v>
      </c>
      <c r="H326">
        <v>50.2</v>
      </c>
      <c r="I326" s="8" t="s">
        <v>28</v>
      </c>
      <c r="J326">
        <v>31</v>
      </c>
      <c r="K326">
        <v>485</v>
      </c>
      <c r="L326">
        <v>10</v>
      </c>
      <c r="M326" s="8" t="s">
        <v>19</v>
      </c>
      <c r="N326">
        <v>75.8</v>
      </c>
      <c r="O326">
        <v>255</v>
      </c>
      <c r="P326">
        <v>1</v>
      </c>
      <c r="Q326">
        <v>1</v>
      </c>
      <c r="R326">
        <v>2024</v>
      </c>
      <c r="S326">
        <v>5</v>
      </c>
      <c r="T326" s="8" t="s">
        <v>93</v>
      </c>
      <c r="U326">
        <v>1</v>
      </c>
      <c r="V326">
        <v>2</v>
      </c>
      <c r="W326">
        <v>0</v>
      </c>
      <c r="X326">
        <v>0</v>
      </c>
      <c r="Y326">
        <v>0</v>
      </c>
      <c r="Z326">
        <v>0</v>
      </c>
    </row>
    <row r="327" spans="1:26" x14ac:dyDescent="0.25">
      <c r="A327" s="1">
        <v>45442.35359953704</v>
      </c>
      <c r="B327" s="8" t="s">
        <v>24</v>
      </c>
      <c r="C327">
        <v>-81.211600000000004</v>
      </c>
      <c r="D327">
        <v>13.9727</v>
      </c>
      <c r="E327">
        <v>105</v>
      </c>
      <c r="F327" s="8" t="s">
        <v>17</v>
      </c>
      <c r="G327">
        <v>27.1</v>
      </c>
      <c r="H327">
        <v>59.8</v>
      </c>
      <c r="I327" s="8" t="s">
        <v>28</v>
      </c>
      <c r="J327">
        <v>36</v>
      </c>
      <c r="K327">
        <v>409</v>
      </c>
      <c r="L327">
        <v>7</v>
      </c>
      <c r="M327" s="8" t="s">
        <v>27</v>
      </c>
      <c r="N327">
        <v>75.7</v>
      </c>
      <c r="O327">
        <v>290</v>
      </c>
      <c r="P327">
        <v>1</v>
      </c>
      <c r="Q327">
        <v>5</v>
      </c>
      <c r="R327">
        <v>2024</v>
      </c>
      <c r="S327">
        <v>4</v>
      </c>
      <c r="T327" s="8" t="s">
        <v>90</v>
      </c>
      <c r="U327">
        <v>0</v>
      </c>
      <c r="V327">
        <v>2</v>
      </c>
      <c r="W327">
        <v>0</v>
      </c>
      <c r="X327">
        <v>0</v>
      </c>
      <c r="Y327">
        <v>0</v>
      </c>
      <c r="Z327">
        <v>0</v>
      </c>
    </row>
    <row r="328" spans="1:26" x14ac:dyDescent="0.25">
      <c r="A328" s="1">
        <v>45428.315405092595</v>
      </c>
      <c r="B328" s="8" t="s">
        <v>30</v>
      </c>
      <c r="C328">
        <v>-21.308</v>
      </c>
      <c r="D328">
        <v>-14.9017</v>
      </c>
      <c r="E328">
        <v>277</v>
      </c>
      <c r="F328" s="8" t="s">
        <v>21</v>
      </c>
      <c r="G328">
        <v>23.5</v>
      </c>
      <c r="H328">
        <v>63.9</v>
      </c>
      <c r="I328" s="8" t="s">
        <v>22</v>
      </c>
      <c r="J328">
        <v>11</v>
      </c>
      <c r="K328">
        <v>292</v>
      </c>
      <c r="L328">
        <v>8</v>
      </c>
      <c r="M328" s="8" t="s">
        <v>23</v>
      </c>
      <c r="N328">
        <v>67.5</v>
      </c>
      <c r="O328">
        <v>234</v>
      </c>
      <c r="P328">
        <v>1</v>
      </c>
      <c r="Q328">
        <v>5</v>
      </c>
      <c r="R328">
        <v>2024</v>
      </c>
      <c r="S328">
        <v>4</v>
      </c>
      <c r="T328" s="8" t="s">
        <v>90</v>
      </c>
      <c r="U328">
        <v>0</v>
      </c>
      <c r="V328">
        <v>0</v>
      </c>
      <c r="W328">
        <v>2</v>
      </c>
      <c r="X328">
        <v>1</v>
      </c>
      <c r="Y328">
        <v>0</v>
      </c>
      <c r="Z328">
        <v>0</v>
      </c>
    </row>
    <row r="329" spans="1:26" x14ac:dyDescent="0.25">
      <c r="A329" s="1">
        <v>45634.518495370372</v>
      </c>
      <c r="B329" s="8" t="s">
        <v>34</v>
      </c>
      <c r="C329">
        <v>77.2059</v>
      </c>
      <c r="D329">
        <v>-132.04730000000001</v>
      </c>
      <c r="E329">
        <v>427</v>
      </c>
      <c r="F329" s="8" t="s">
        <v>17</v>
      </c>
      <c r="G329">
        <v>26.7</v>
      </c>
      <c r="H329">
        <v>63.8</v>
      </c>
      <c r="I329" s="8" t="s">
        <v>18</v>
      </c>
      <c r="J329">
        <v>54</v>
      </c>
      <c r="K329">
        <v>453</v>
      </c>
      <c r="L329">
        <v>6</v>
      </c>
      <c r="M329" s="8" t="s">
        <v>23</v>
      </c>
      <c r="N329">
        <v>86.7</v>
      </c>
      <c r="O329">
        <v>101</v>
      </c>
      <c r="P329">
        <v>1</v>
      </c>
      <c r="Q329">
        <v>12</v>
      </c>
      <c r="R329">
        <v>2024</v>
      </c>
      <c r="S329">
        <v>0</v>
      </c>
      <c r="T329" s="8" t="s">
        <v>93</v>
      </c>
      <c r="U329">
        <v>0</v>
      </c>
      <c r="V329">
        <v>2</v>
      </c>
      <c r="W329">
        <v>1</v>
      </c>
      <c r="X329">
        <v>0</v>
      </c>
      <c r="Y329">
        <v>0</v>
      </c>
      <c r="Z329">
        <v>1</v>
      </c>
    </row>
    <row r="330" spans="1:26" x14ac:dyDescent="0.25">
      <c r="A330" s="1">
        <v>45379.356956018521</v>
      </c>
      <c r="B330" s="8" t="s">
        <v>33</v>
      </c>
      <c r="C330">
        <v>21.487200000000001</v>
      </c>
      <c r="D330">
        <v>-123.6879</v>
      </c>
      <c r="E330">
        <v>348</v>
      </c>
      <c r="F330" s="8" t="s">
        <v>17</v>
      </c>
      <c r="G330">
        <v>22.7</v>
      </c>
      <c r="H330">
        <v>63.3</v>
      </c>
      <c r="I330" s="8" t="s">
        <v>18</v>
      </c>
      <c r="J330">
        <v>23</v>
      </c>
      <c r="K330">
        <v>134</v>
      </c>
      <c r="L330">
        <v>4</v>
      </c>
      <c r="M330" s="8" t="s">
        <v>31</v>
      </c>
      <c r="N330">
        <v>99.6</v>
      </c>
      <c r="O330">
        <v>251</v>
      </c>
      <c r="P330">
        <v>1</v>
      </c>
      <c r="Q330">
        <v>3</v>
      </c>
      <c r="R330">
        <v>2024</v>
      </c>
      <c r="S330">
        <v>4</v>
      </c>
      <c r="T330" s="8" t="s">
        <v>90</v>
      </c>
      <c r="U330">
        <v>0</v>
      </c>
      <c r="V330">
        <v>2</v>
      </c>
      <c r="W330">
        <v>1</v>
      </c>
      <c r="X330">
        <v>0</v>
      </c>
      <c r="Y330">
        <v>0</v>
      </c>
      <c r="Z330">
        <v>0</v>
      </c>
    </row>
    <row r="331" spans="1:26" x14ac:dyDescent="0.25">
      <c r="A331" s="1">
        <v>45398.897141203706</v>
      </c>
      <c r="B331" s="8" t="s">
        <v>33</v>
      </c>
      <c r="C331">
        <v>47.760300000000001</v>
      </c>
      <c r="D331">
        <v>-137.0932</v>
      </c>
      <c r="E331">
        <v>300</v>
      </c>
      <c r="F331" s="8" t="s">
        <v>17</v>
      </c>
      <c r="G331">
        <v>23.1</v>
      </c>
      <c r="H331">
        <v>78.099999999999994</v>
      </c>
      <c r="I331" s="8" t="s">
        <v>18</v>
      </c>
      <c r="J331">
        <v>53</v>
      </c>
      <c r="K331">
        <v>146</v>
      </c>
      <c r="L331">
        <v>4</v>
      </c>
      <c r="M331" s="8" t="s">
        <v>23</v>
      </c>
      <c r="N331">
        <v>73.3</v>
      </c>
      <c r="O331">
        <v>280</v>
      </c>
      <c r="P331">
        <v>1</v>
      </c>
      <c r="Q331">
        <v>4</v>
      </c>
      <c r="R331">
        <v>2024</v>
      </c>
      <c r="S331">
        <v>2</v>
      </c>
      <c r="T331" s="8" t="s">
        <v>90</v>
      </c>
      <c r="U331">
        <v>0</v>
      </c>
      <c r="V331">
        <v>2</v>
      </c>
      <c r="W331">
        <v>1</v>
      </c>
      <c r="X331">
        <v>0</v>
      </c>
      <c r="Y331">
        <v>1</v>
      </c>
      <c r="Z331">
        <v>1</v>
      </c>
    </row>
    <row r="332" spans="1:26" x14ac:dyDescent="0.25">
      <c r="A332" s="1">
        <v>45616.614236111112</v>
      </c>
      <c r="B332" s="8" t="s">
        <v>35</v>
      </c>
      <c r="C332">
        <v>-4.7971000000000004</v>
      </c>
      <c r="D332">
        <v>56.411000000000001</v>
      </c>
      <c r="E332">
        <v>457</v>
      </c>
      <c r="F332" s="8" t="s">
        <v>26</v>
      </c>
      <c r="G332">
        <v>27.2</v>
      </c>
      <c r="H332">
        <v>69.099999999999994</v>
      </c>
      <c r="I332" s="8" t="s">
        <v>22</v>
      </c>
      <c r="J332">
        <v>55</v>
      </c>
      <c r="K332">
        <v>319</v>
      </c>
      <c r="L332">
        <v>2</v>
      </c>
      <c r="M332" s="8" t="s">
        <v>27</v>
      </c>
      <c r="N332">
        <v>67.7</v>
      </c>
      <c r="O332">
        <v>132</v>
      </c>
      <c r="P332">
        <v>1</v>
      </c>
      <c r="Q332">
        <v>11</v>
      </c>
      <c r="R332">
        <v>2024</v>
      </c>
      <c r="S332">
        <v>3</v>
      </c>
      <c r="T332" s="8" t="s">
        <v>91</v>
      </c>
      <c r="U332">
        <v>0</v>
      </c>
      <c r="V332">
        <v>1</v>
      </c>
      <c r="W332">
        <v>2</v>
      </c>
      <c r="X332">
        <v>1</v>
      </c>
      <c r="Y332">
        <v>0</v>
      </c>
      <c r="Z332">
        <v>1</v>
      </c>
    </row>
    <row r="333" spans="1:26" x14ac:dyDescent="0.25">
      <c r="A333" s="1">
        <v>45463.345775462964</v>
      </c>
      <c r="B333" s="8" t="s">
        <v>35</v>
      </c>
      <c r="C333">
        <v>-11.1333</v>
      </c>
      <c r="D333">
        <v>-40.045400000000001</v>
      </c>
      <c r="E333">
        <v>316</v>
      </c>
      <c r="F333" s="8" t="s">
        <v>17</v>
      </c>
      <c r="G333">
        <v>26.8</v>
      </c>
      <c r="H333">
        <v>53.5</v>
      </c>
      <c r="I333" s="8" t="s">
        <v>28</v>
      </c>
      <c r="J333">
        <v>35</v>
      </c>
      <c r="K333">
        <v>402</v>
      </c>
      <c r="L333">
        <v>10</v>
      </c>
      <c r="M333" s="8" t="s">
        <v>31</v>
      </c>
      <c r="N333">
        <v>93.6</v>
      </c>
      <c r="O333">
        <v>206</v>
      </c>
      <c r="P333">
        <v>1</v>
      </c>
      <c r="Q333">
        <v>6</v>
      </c>
      <c r="R333">
        <v>2024</v>
      </c>
      <c r="S333">
        <v>4</v>
      </c>
      <c r="T333" s="8" t="s">
        <v>92</v>
      </c>
      <c r="U333">
        <v>0</v>
      </c>
      <c r="V333">
        <v>2</v>
      </c>
      <c r="W333">
        <v>0</v>
      </c>
      <c r="X333">
        <v>0</v>
      </c>
      <c r="Y333">
        <v>0</v>
      </c>
      <c r="Z333">
        <v>0</v>
      </c>
    </row>
    <row r="334" spans="1:26" x14ac:dyDescent="0.25">
      <c r="A334" s="1">
        <v>45515.653171296297</v>
      </c>
      <c r="B334" s="8" t="s">
        <v>25</v>
      </c>
      <c r="C334">
        <v>15.5083</v>
      </c>
      <c r="D334">
        <v>115.4388</v>
      </c>
      <c r="E334">
        <v>207</v>
      </c>
      <c r="F334" s="8" t="s">
        <v>21</v>
      </c>
      <c r="G334">
        <v>19.2</v>
      </c>
      <c r="H334">
        <v>59.7</v>
      </c>
      <c r="I334" s="8" t="s">
        <v>18</v>
      </c>
      <c r="J334">
        <v>56</v>
      </c>
      <c r="K334">
        <v>484</v>
      </c>
      <c r="L334">
        <v>7</v>
      </c>
      <c r="M334" s="8" t="s">
        <v>27</v>
      </c>
      <c r="N334">
        <v>72.599999999999994</v>
      </c>
      <c r="O334">
        <v>285</v>
      </c>
      <c r="P334">
        <v>0</v>
      </c>
      <c r="Q334">
        <v>8</v>
      </c>
      <c r="R334">
        <v>2024</v>
      </c>
      <c r="S334">
        <v>0</v>
      </c>
      <c r="T334" s="8" t="s">
        <v>92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1</v>
      </c>
    </row>
    <row r="335" spans="1:26" x14ac:dyDescent="0.25">
      <c r="A335" s="1">
        <v>45595.530914351853</v>
      </c>
      <c r="B335" s="8" t="s">
        <v>24</v>
      </c>
      <c r="C335">
        <v>-70.6858</v>
      </c>
      <c r="D335">
        <v>54.468299999999999</v>
      </c>
      <c r="E335">
        <v>333</v>
      </c>
      <c r="F335" s="8" t="s">
        <v>26</v>
      </c>
      <c r="G335">
        <v>27.5</v>
      </c>
      <c r="H335">
        <v>55.8</v>
      </c>
      <c r="I335" s="8" t="s">
        <v>22</v>
      </c>
      <c r="J335">
        <v>36</v>
      </c>
      <c r="K335">
        <v>141</v>
      </c>
      <c r="L335">
        <v>2</v>
      </c>
      <c r="M335" s="8" t="s">
        <v>27</v>
      </c>
      <c r="N335">
        <v>67</v>
      </c>
      <c r="O335">
        <v>264</v>
      </c>
      <c r="P335">
        <v>1</v>
      </c>
      <c r="Q335">
        <v>10</v>
      </c>
      <c r="R335">
        <v>2024</v>
      </c>
      <c r="S335">
        <v>3</v>
      </c>
      <c r="T335" s="8" t="s">
        <v>91</v>
      </c>
      <c r="U335">
        <v>0</v>
      </c>
      <c r="V335">
        <v>1</v>
      </c>
      <c r="W335">
        <v>2</v>
      </c>
      <c r="X335">
        <v>1</v>
      </c>
      <c r="Y335">
        <v>0</v>
      </c>
      <c r="Z335">
        <v>0</v>
      </c>
    </row>
    <row r="336" spans="1:26" x14ac:dyDescent="0.25">
      <c r="A336" s="1">
        <v>45373.458564814813</v>
      </c>
      <c r="B336" s="8" t="s">
        <v>24</v>
      </c>
      <c r="C336">
        <v>-18.427800000000001</v>
      </c>
      <c r="D336">
        <v>101.4997</v>
      </c>
      <c r="E336">
        <v>327</v>
      </c>
      <c r="F336" s="8" t="s">
        <v>17</v>
      </c>
      <c r="G336">
        <v>22.6</v>
      </c>
      <c r="H336">
        <v>57.4</v>
      </c>
      <c r="I336" s="8" t="s">
        <v>18</v>
      </c>
      <c r="J336">
        <v>38</v>
      </c>
      <c r="K336">
        <v>432</v>
      </c>
      <c r="L336">
        <v>4</v>
      </c>
      <c r="M336" s="8" t="s">
        <v>27</v>
      </c>
      <c r="N336">
        <v>68.400000000000006</v>
      </c>
      <c r="O336">
        <v>171</v>
      </c>
      <c r="P336">
        <v>1</v>
      </c>
      <c r="Q336">
        <v>3</v>
      </c>
      <c r="R336">
        <v>2024</v>
      </c>
      <c r="S336">
        <v>5</v>
      </c>
      <c r="T336" s="8" t="s">
        <v>90</v>
      </c>
      <c r="U336">
        <v>1</v>
      </c>
      <c r="V336">
        <v>2</v>
      </c>
      <c r="W336">
        <v>1</v>
      </c>
      <c r="X336">
        <v>0</v>
      </c>
      <c r="Y336">
        <v>0</v>
      </c>
      <c r="Z336">
        <v>0</v>
      </c>
    </row>
    <row r="337" spans="1:26" x14ac:dyDescent="0.25">
      <c r="A337" s="1">
        <v>45424.569502314815</v>
      </c>
      <c r="B337" s="8" t="s">
        <v>33</v>
      </c>
      <c r="C337">
        <v>43.752299999999998</v>
      </c>
      <c r="D337">
        <v>149.83340000000001</v>
      </c>
      <c r="E337">
        <v>197</v>
      </c>
      <c r="F337" s="8" t="s">
        <v>21</v>
      </c>
      <c r="G337">
        <v>20</v>
      </c>
      <c r="H337">
        <v>69.599999999999994</v>
      </c>
      <c r="I337" s="8" t="s">
        <v>18</v>
      </c>
      <c r="J337">
        <v>42</v>
      </c>
      <c r="K337">
        <v>314</v>
      </c>
      <c r="L337">
        <v>3</v>
      </c>
      <c r="M337" s="8" t="s">
        <v>27</v>
      </c>
      <c r="N337">
        <v>87.2</v>
      </c>
      <c r="O337">
        <v>201</v>
      </c>
      <c r="P337">
        <v>0</v>
      </c>
      <c r="Q337">
        <v>5</v>
      </c>
      <c r="R337">
        <v>2024</v>
      </c>
      <c r="S337">
        <v>0</v>
      </c>
      <c r="T337" s="8" t="s">
        <v>90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</row>
    <row r="338" spans="1:26" x14ac:dyDescent="0.25">
      <c r="A338" s="1">
        <v>45611.339085648149</v>
      </c>
      <c r="B338" s="8" t="s">
        <v>16</v>
      </c>
      <c r="C338">
        <v>18.5151</v>
      </c>
      <c r="D338">
        <v>24.355899999999998</v>
      </c>
      <c r="E338">
        <v>356</v>
      </c>
      <c r="F338" s="8" t="s">
        <v>17</v>
      </c>
      <c r="G338">
        <v>23.4</v>
      </c>
      <c r="H338">
        <v>72.8</v>
      </c>
      <c r="I338" s="8" t="s">
        <v>18</v>
      </c>
      <c r="J338">
        <v>39</v>
      </c>
      <c r="K338">
        <v>486</v>
      </c>
      <c r="L338">
        <v>9</v>
      </c>
      <c r="M338" s="8" t="s">
        <v>31</v>
      </c>
      <c r="N338">
        <v>99.2</v>
      </c>
      <c r="O338">
        <v>282</v>
      </c>
      <c r="P338">
        <v>1</v>
      </c>
      <c r="Q338">
        <v>11</v>
      </c>
      <c r="R338">
        <v>2024</v>
      </c>
      <c r="S338">
        <v>5</v>
      </c>
      <c r="T338" s="8" t="s">
        <v>91</v>
      </c>
      <c r="U338">
        <v>1</v>
      </c>
      <c r="V338">
        <v>2</v>
      </c>
      <c r="W338">
        <v>1</v>
      </c>
      <c r="X338">
        <v>0</v>
      </c>
      <c r="Y338">
        <v>0</v>
      </c>
      <c r="Z338">
        <v>0</v>
      </c>
    </row>
    <row r="339" spans="1:26" x14ac:dyDescent="0.25">
      <c r="A339" s="1">
        <v>45572.258090277777</v>
      </c>
      <c r="B339" s="8" t="s">
        <v>25</v>
      </c>
      <c r="C339">
        <v>84.677400000000006</v>
      </c>
      <c r="D339">
        <v>61.015300000000003</v>
      </c>
      <c r="E339">
        <v>359</v>
      </c>
      <c r="F339" s="8" t="s">
        <v>17</v>
      </c>
      <c r="G339">
        <v>29.2</v>
      </c>
      <c r="H339">
        <v>54.5</v>
      </c>
      <c r="I339" s="8" t="s">
        <v>18</v>
      </c>
      <c r="J339">
        <v>50</v>
      </c>
      <c r="K339">
        <v>268</v>
      </c>
      <c r="L339">
        <v>1</v>
      </c>
      <c r="M339" s="8" t="s">
        <v>19</v>
      </c>
      <c r="N339">
        <v>67.400000000000006</v>
      </c>
      <c r="O339">
        <v>249</v>
      </c>
      <c r="P339">
        <v>1</v>
      </c>
      <c r="Q339">
        <v>10</v>
      </c>
      <c r="R339">
        <v>2024</v>
      </c>
      <c r="S339">
        <v>1</v>
      </c>
      <c r="T339" s="8" t="s">
        <v>91</v>
      </c>
      <c r="U339">
        <v>0</v>
      </c>
      <c r="V339">
        <v>2</v>
      </c>
      <c r="W339">
        <v>1</v>
      </c>
      <c r="X339">
        <v>0</v>
      </c>
      <c r="Y339">
        <v>0</v>
      </c>
      <c r="Z339">
        <v>1</v>
      </c>
    </row>
    <row r="340" spans="1:26" x14ac:dyDescent="0.25">
      <c r="A340" s="1">
        <v>45544.145972222221</v>
      </c>
      <c r="B340" s="8" t="s">
        <v>33</v>
      </c>
      <c r="C340">
        <v>49.586399999999998</v>
      </c>
      <c r="D340">
        <v>-154.42240000000001</v>
      </c>
      <c r="E340">
        <v>377</v>
      </c>
      <c r="F340" s="8" t="s">
        <v>26</v>
      </c>
      <c r="G340">
        <v>18.100000000000001</v>
      </c>
      <c r="H340">
        <v>55</v>
      </c>
      <c r="I340" s="8" t="s">
        <v>18</v>
      </c>
      <c r="J340">
        <v>59</v>
      </c>
      <c r="K340">
        <v>476</v>
      </c>
      <c r="L340">
        <v>6</v>
      </c>
      <c r="M340" s="8" t="s">
        <v>23</v>
      </c>
      <c r="N340">
        <v>70.2</v>
      </c>
      <c r="O340">
        <v>268</v>
      </c>
      <c r="P340">
        <v>0</v>
      </c>
      <c r="Q340">
        <v>9</v>
      </c>
      <c r="R340">
        <v>2024</v>
      </c>
      <c r="S340">
        <v>1</v>
      </c>
      <c r="T340" s="8" t="s">
        <v>91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1</v>
      </c>
    </row>
    <row r="341" spans="1:26" x14ac:dyDescent="0.25">
      <c r="A341" s="1">
        <v>45525.838287037041</v>
      </c>
      <c r="B341" s="8" t="s">
        <v>20</v>
      </c>
      <c r="C341">
        <v>-51.319000000000003</v>
      </c>
      <c r="D341">
        <v>-46.584099999999999</v>
      </c>
      <c r="E341">
        <v>228</v>
      </c>
      <c r="F341" s="8" t="s">
        <v>17</v>
      </c>
      <c r="G341">
        <v>24.2</v>
      </c>
      <c r="H341">
        <v>59.2</v>
      </c>
      <c r="I341" s="8" t="s">
        <v>22</v>
      </c>
      <c r="J341">
        <v>26</v>
      </c>
      <c r="K341">
        <v>321</v>
      </c>
      <c r="L341">
        <v>5</v>
      </c>
      <c r="M341" s="8" t="s">
        <v>27</v>
      </c>
      <c r="N341">
        <v>96.3</v>
      </c>
      <c r="O341">
        <v>132</v>
      </c>
      <c r="P341">
        <v>1</v>
      </c>
      <c r="Q341">
        <v>8</v>
      </c>
      <c r="R341">
        <v>2024</v>
      </c>
      <c r="S341">
        <v>3</v>
      </c>
      <c r="T341" s="8" t="s">
        <v>92</v>
      </c>
      <c r="U341">
        <v>0</v>
      </c>
      <c r="V341">
        <v>2</v>
      </c>
      <c r="W341">
        <v>2</v>
      </c>
      <c r="X341">
        <v>1</v>
      </c>
      <c r="Y341">
        <v>0</v>
      </c>
      <c r="Z341">
        <v>0</v>
      </c>
    </row>
    <row r="342" spans="1:26" x14ac:dyDescent="0.25">
      <c r="A342" s="1">
        <v>45308.148564814815</v>
      </c>
      <c r="B342" s="8" t="s">
        <v>24</v>
      </c>
      <c r="C342">
        <v>-12.9902</v>
      </c>
      <c r="D342">
        <v>176.1206</v>
      </c>
      <c r="E342">
        <v>399</v>
      </c>
      <c r="F342" s="8" t="s">
        <v>26</v>
      </c>
      <c r="G342">
        <v>23.4</v>
      </c>
      <c r="H342">
        <v>71.7</v>
      </c>
      <c r="I342" s="8" t="s">
        <v>22</v>
      </c>
      <c r="J342">
        <v>12</v>
      </c>
      <c r="K342">
        <v>239</v>
      </c>
      <c r="L342">
        <v>1</v>
      </c>
      <c r="M342" s="8" t="s">
        <v>19</v>
      </c>
      <c r="N342">
        <v>67.599999999999994</v>
      </c>
      <c r="O342">
        <v>156</v>
      </c>
      <c r="P342">
        <v>1</v>
      </c>
      <c r="Q342">
        <v>1</v>
      </c>
      <c r="R342">
        <v>2024</v>
      </c>
      <c r="S342">
        <v>3</v>
      </c>
      <c r="T342" s="8" t="s">
        <v>93</v>
      </c>
      <c r="U342">
        <v>0</v>
      </c>
      <c r="V342">
        <v>1</v>
      </c>
      <c r="W342">
        <v>2</v>
      </c>
      <c r="X342">
        <v>1</v>
      </c>
      <c r="Y342">
        <v>0</v>
      </c>
      <c r="Z342">
        <v>0</v>
      </c>
    </row>
    <row r="343" spans="1:26" x14ac:dyDescent="0.25">
      <c r="A343" s="1">
        <v>45628.505543981482</v>
      </c>
      <c r="B343" s="8" t="s">
        <v>33</v>
      </c>
      <c r="C343">
        <v>6.8181000000000003</v>
      </c>
      <c r="D343">
        <v>52.368499999999997</v>
      </c>
      <c r="E343">
        <v>157</v>
      </c>
      <c r="F343" s="8" t="s">
        <v>21</v>
      </c>
      <c r="G343">
        <v>29.8</v>
      </c>
      <c r="H343">
        <v>54</v>
      </c>
      <c r="I343" s="8" t="s">
        <v>28</v>
      </c>
      <c r="J343">
        <v>33</v>
      </c>
      <c r="K343">
        <v>151</v>
      </c>
      <c r="L343">
        <v>10</v>
      </c>
      <c r="M343" s="8" t="s">
        <v>23</v>
      </c>
      <c r="N343">
        <v>81.2</v>
      </c>
      <c r="O343">
        <v>192</v>
      </c>
      <c r="P343">
        <v>0</v>
      </c>
      <c r="Q343">
        <v>12</v>
      </c>
      <c r="R343">
        <v>2024</v>
      </c>
      <c r="S343">
        <v>1</v>
      </c>
      <c r="T343" s="8" t="s">
        <v>93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s="1">
        <v>45614.327928240738</v>
      </c>
      <c r="B344" s="8" t="s">
        <v>24</v>
      </c>
      <c r="C344">
        <v>-3.0379999999999998</v>
      </c>
      <c r="D344">
        <v>106.5694</v>
      </c>
      <c r="E344">
        <v>327</v>
      </c>
      <c r="F344" s="8" t="s">
        <v>21</v>
      </c>
      <c r="G344">
        <v>21.2</v>
      </c>
      <c r="H344">
        <v>52.6</v>
      </c>
      <c r="I344" s="8" t="s">
        <v>28</v>
      </c>
      <c r="J344">
        <v>48</v>
      </c>
      <c r="K344">
        <v>209</v>
      </c>
      <c r="L344">
        <v>8</v>
      </c>
      <c r="M344" s="8" t="s">
        <v>31</v>
      </c>
      <c r="N344">
        <v>98.6</v>
      </c>
      <c r="O344">
        <v>104</v>
      </c>
      <c r="P344">
        <v>0</v>
      </c>
      <c r="Q344">
        <v>11</v>
      </c>
      <c r="R344">
        <v>2024</v>
      </c>
      <c r="S344">
        <v>1</v>
      </c>
      <c r="T344" s="8" t="s">
        <v>91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 x14ac:dyDescent="0.25">
      <c r="A345" s="1">
        <v>45411.496134259258</v>
      </c>
      <c r="B345" s="8" t="s">
        <v>30</v>
      </c>
      <c r="C345">
        <v>35.514099999999999</v>
      </c>
      <c r="D345">
        <v>90.808700000000002</v>
      </c>
      <c r="E345">
        <v>215</v>
      </c>
      <c r="F345" s="8" t="s">
        <v>17</v>
      </c>
      <c r="G345">
        <v>21.7</v>
      </c>
      <c r="H345">
        <v>73.400000000000006</v>
      </c>
      <c r="I345" s="8" t="s">
        <v>18</v>
      </c>
      <c r="J345">
        <v>17</v>
      </c>
      <c r="K345">
        <v>146</v>
      </c>
      <c r="L345">
        <v>9</v>
      </c>
      <c r="M345" s="8" t="s">
        <v>19</v>
      </c>
      <c r="N345">
        <v>70.400000000000006</v>
      </c>
      <c r="O345">
        <v>296</v>
      </c>
      <c r="P345">
        <v>1</v>
      </c>
      <c r="Q345">
        <v>4</v>
      </c>
      <c r="R345">
        <v>2024</v>
      </c>
      <c r="S345">
        <v>1</v>
      </c>
      <c r="T345" s="8" t="s">
        <v>90</v>
      </c>
      <c r="U345">
        <v>0</v>
      </c>
      <c r="V345">
        <v>2</v>
      </c>
      <c r="W345">
        <v>1</v>
      </c>
      <c r="X345">
        <v>0</v>
      </c>
      <c r="Y345">
        <v>0</v>
      </c>
      <c r="Z345">
        <v>0</v>
      </c>
    </row>
    <row r="346" spans="1:26" x14ac:dyDescent="0.25">
      <c r="A346" s="1">
        <v>45441.28460648148</v>
      </c>
      <c r="B346" s="8" t="s">
        <v>25</v>
      </c>
      <c r="C346">
        <v>-40.872399999999999</v>
      </c>
      <c r="D346">
        <v>-42.324300000000001</v>
      </c>
      <c r="E346">
        <v>213</v>
      </c>
      <c r="F346" s="8" t="s">
        <v>17</v>
      </c>
      <c r="G346">
        <v>20.2</v>
      </c>
      <c r="H346">
        <v>63.7</v>
      </c>
      <c r="I346" s="8" t="s">
        <v>28</v>
      </c>
      <c r="J346">
        <v>16</v>
      </c>
      <c r="K346">
        <v>248</v>
      </c>
      <c r="L346">
        <v>10</v>
      </c>
      <c r="M346" s="8" t="s">
        <v>19</v>
      </c>
      <c r="N346">
        <v>68.8</v>
      </c>
      <c r="O346">
        <v>136</v>
      </c>
      <c r="P346">
        <v>1</v>
      </c>
      <c r="Q346">
        <v>5</v>
      </c>
      <c r="R346">
        <v>2024</v>
      </c>
      <c r="S346">
        <v>3</v>
      </c>
      <c r="T346" s="8" t="s">
        <v>90</v>
      </c>
      <c r="U346">
        <v>0</v>
      </c>
      <c r="V346">
        <v>2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s="1">
        <v>45606.242604166669</v>
      </c>
      <c r="B347" s="8" t="s">
        <v>16</v>
      </c>
      <c r="C347">
        <v>44.634700000000002</v>
      </c>
      <c r="D347">
        <v>-110.63039999999999</v>
      </c>
      <c r="E347">
        <v>226</v>
      </c>
      <c r="F347" s="8" t="s">
        <v>21</v>
      </c>
      <c r="G347">
        <v>21.4</v>
      </c>
      <c r="H347">
        <v>58</v>
      </c>
      <c r="I347" s="8" t="s">
        <v>18</v>
      </c>
      <c r="J347">
        <v>47</v>
      </c>
      <c r="K347">
        <v>348</v>
      </c>
      <c r="L347">
        <v>7</v>
      </c>
      <c r="M347" s="8" t="s">
        <v>31</v>
      </c>
      <c r="N347">
        <v>85.7</v>
      </c>
      <c r="O347">
        <v>136</v>
      </c>
      <c r="P347">
        <v>0</v>
      </c>
      <c r="Q347">
        <v>11</v>
      </c>
      <c r="R347">
        <v>2024</v>
      </c>
      <c r="S347">
        <v>0</v>
      </c>
      <c r="T347" s="8" t="s">
        <v>91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1</v>
      </c>
    </row>
    <row r="348" spans="1:26" x14ac:dyDescent="0.25">
      <c r="A348" s="1">
        <v>45599.848356481481</v>
      </c>
      <c r="B348" s="8" t="s">
        <v>35</v>
      </c>
      <c r="C348">
        <v>76.546800000000005</v>
      </c>
      <c r="D348">
        <v>-13.524900000000001</v>
      </c>
      <c r="E348">
        <v>334</v>
      </c>
      <c r="F348" s="8" t="s">
        <v>26</v>
      </c>
      <c r="G348">
        <v>24.2</v>
      </c>
      <c r="H348">
        <v>76.2</v>
      </c>
      <c r="I348" s="8" t="s">
        <v>28</v>
      </c>
      <c r="J348">
        <v>24</v>
      </c>
      <c r="K348">
        <v>402</v>
      </c>
      <c r="L348">
        <v>7</v>
      </c>
      <c r="M348" s="8" t="s">
        <v>27</v>
      </c>
      <c r="N348">
        <v>71.5</v>
      </c>
      <c r="O348">
        <v>105</v>
      </c>
      <c r="P348">
        <v>0</v>
      </c>
      <c r="Q348">
        <v>11</v>
      </c>
      <c r="R348">
        <v>2024</v>
      </c>
      <c r="S348">
        <v>0</v>
      </c>
      <c r="T348" s="8" t="s">
        <v>91</v>
      </c>
      <c r="U348">
        <v>0</v>
      </c>
      <c r="V348">
        <v>1</v>
      </c>
      <c r="W348">
        <v>0</v>
      </c>
      <c r="X348">
        <v>0</v>
      </c>
      <c r="Y348">
        <v>1</v>
      </c>
      <c r="Z348">
        <v>0</v>
      </c>
    </row>
    <row r="349" spans="1:26" x14ac:dyDescent="0.25">
      <c r="A349" s="1">
        <v>45539.448067129626</v>
      </c>
      <c r="B349" s="8" t="s">
        <v>30</v>
      </c>
      <c r="C349">
        <v>72.820599999999999</v>
      </c>
      <c r="D349">
        <v>90.516900000000007</v>
      </c>
      <c r="E349">
        <v>319</v>
      </c>
      <c r="F349" s="8" t="s">
        <v>21</v>
      </c>
      <c r="G349">
        <v>25.5</v>
      </c>
      <c r="H349">
        <v>51.7</v>
      </c>
      <c r="I349" s="8" t="s">
        <v>18</v>
      </c>
      <c r="J349">
        <v>32</v>
      </c>
      <c r="K349">
        <v>350</v>
      </c>
      <c r="L349">
        <v>2</v>
      </c>
      <c r="M349" s="8" t="s">
        <v>19</v>
      </c>
      <c r="N349">
        <v>69.7</v>
      </c>
      <c r="O349">
        <v>254</v>
      </c>
      <c r="P349">
        <v>0</v>
      </c>
      <c r="Q349">
        <v>9</v>
      </c>
      <c r="R349">
        <v>2024</v>
      </c>
      <c r="S349">
        <v>3</v>
      </c>
      <c r="T349" s="8" t="s">
        <v>91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</row>
    <row r="350" spans="1:26" x14ac:dyDescent="0.25">
      <c r="A350" s="1">
        <v>45560.911909722221</v>
      </c>
      <c r="B350" s="8" t="s">
        <v>32</v>
      </c>
      <c r="C350">
        <v>81.255399999999995</v>
      </c>
      <c r="D350">
        <v>4.8415999999999997</v>
      </c>
      <c r="E350">
        <v>411</v>
      </c>
      <c r="F350" s="8" t="s">
        <v>21</v>
      </c>
      <c r="G350">
        <v>20.5</v>
      </c>
      <c r="H350">
        <v>77.400000000000006</v>
      </c>
      <c r="I350" s="8" t="s">
        <v>22</v>
      </c>
      <c r="J350">
        <v>51</v>
      </c>
      <c r="K350">
        <v>211</v>
      </c>
      <c r="L350">
        <v>5</v>
      </c>
      <c r="M350" s="8" t="s">
        <v>31</v>
      </c>
      <c r="N350">
        <v>76.900000000000006</v>
      </c>
      <c r="O350">
        <v>244</v>
      </c>
      <c r="P350">
        <v>1</v>
      </c>
      <c r="Q350">
        <v>9</v>
      </c>
      <c r="R350">
        <v>2024</v>
      </c>
      <c r="S350">
        <v>3</v>
      </c>
      <c r="T350" s="8" t="s">
        <v>91</v>
      </c>
      <c r="U350">
        <v>0</v>
      </c>
      <c r="V350">
        <v>0</v>
      </c>
      <c r="W350">
        <v>2</v>
      </c>
      <c r="X350">
        <v>1</v>
      </c>
      <c r="Y350">
        <v>1</v>
      </c>
      <c r="Z350">
        <v>1</v>
      </c>
    </row>
    <row r="351" spans="1:26" x14ac:dyDescent="0.25">
      <c r="A351" s="1">
        <v>45497.271041666667</v>
      </c>
      <c r="B351" s="8" t="s">
        <v>20</v>
      </c>
      <c r="C351">
        <v>74.910700000000006</v>
      </c>
      <c r="D351">
        <v>17.8019</v>
      </c>
      <c r="E351">
        <v>208</v>
      </c>
      <c r="F351" s="8" t="s">
        <v>17</v>
      </c>
      <c r="G351">
        <v>28.8</v>
      </c>
      <c r="H351">
        <v>64.900000000000006</v>
      </c>
      <c r="I351" s="8" t="s">
        <v>28</v>
      </c>
      <c r="J351">
        <v>40</v>
      </c>
      <c r="K351">
        <v>437</v>
      </c>
      <c r="L351">
        <v>6</v>
      </c>
      <c r="M351" s="8" t="s">
        <v>23</v>
      </c>
      <c r="N351">
        <v>64.599999999999994</v>
      </c>
      <c r="O351">
        <v>185</v>
      </c>
      <c r="P351">
        <v>1</v>
      </c>
      <c r="Q351">
        <v>7</v>
      </c>
      <c r="R351">
        <v>2024</v>
      </c>
      <c r="S351">
        <v>3</v>
      </c>
      <c r="T351" s="8" t="s">
        <v>92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s="1">
        <v>45384.571597222224</v>
      </c>
      <c r="B352" s="8" t="s">
        <v>34</v>
      </c>
      <c r="C352">
        <v>20.446000000000002</v>
      </c>
      <c r="D352">
        <v>149.3776</v>
      </c>
      <c r="E352">
        <v>328</v>
      </c>
      <c r="F352" s="8" t="s">
        <v>26</v>
      </c>
      <c r="G352">
        <v>22.8</v>
      </c>
      <c r="H352">
        <v>73.599999999999994</v>
      </c>
      <c r="I352" s="8" t="s">
        <v>28</v>
      </c>
      <c r="J352">
        <v>12</v>
      </c>
      <c r="K352">
        <v>349</v>
      </c>
      <c r="L352">
        <v>9</v>
      </c>
      <c r="M352" s="8" t="s">
        <v>31</v>
      </c>
      <c r="N352">
        <v>93.3</v>
      </c>
      <c r="O352">
        <v>162</v>
      </c>
      <c r="P352">
        <v>0</v>
      </c>
      <c r="Q352">
        <v>4</v>
      </c>
      <c r="R352">
        <v>2024</v>
      </c>
      <c r="S352">
        <v>2</v>
      </c>
      <c r="T352" s="8" t="s">
        <v>90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s="1">
        <v>45355.280324074076</v>
      </c>
      <c r="B353" s="8" t="s">
        <v>33</v>
      </c>
      <c r="C353">
        <v>-60.710099999999997</v>
      </c>
      <c r="D353">
        <v>-29.484200000000001</v>
      </c>
      <c r="E353">
        <v>219</v>
      </c>
      <c r="F353" s="8" t="s">
        <v>17</v>
      </c>
      <c r="G353">
        <v>22.9</v>
      </c>
      <c r="H353">
        <v>56.6</v>
      </c>
      <c r="I353" s="8" t="s">
        <v>22</v>
      </c>
      <c r="J353">
        <v>49</v>
      </c>
      <c r="K353">
        <v>372</v>
      </c>
      <c r="L353">
        <v>6</v>
      </c>
      <c r="M353" s="8" t="s">
        <v>31</v>
      </c>
      <c r="N353">
        <v>64.400000000000006</v>
      </c>
      <c r="O353">
        <v>300</v>
      </c>
      <c r="P353">
        <v>1</v>
      </c>
      <c r="Q353">
        <v>3</v>
      </c>
      <c r="R353">
        <v>2024</v>
      </c>
      <c r="S353">
        <v>1</v>
      </c>
      <c r="T353" s="8" t="s">
        <v>90</v>
      </c>
      <c r="U353">
        <v>0</v>
      </c>
      <c r="V353">
        <v>2</v>
      </c>
      <c r="W353">
        <v>2</v>
      </c>
      <c r="X353">
        <v>1</v>
      </c>
      <c r="Y353">
        <v>0</v>
      </c>
      <c r="Z353">
        <v>1</v>
      </c>
    </row>
    <row r="354" spans="1:26" x14ac:dyDescent="0.25">
      <c r="A354" s="1">
        <v>45636.527662037035</v>
      </c>
      <c r="B354" s="8" t="s">
        <v>32</v>
      </c>
      <c r="C354">
        <v>74.231399999999994</v>
      </c>
      <c r="D354">
        <v>-113.7355</v>
      </c>
      <c r="E354">
        <v>438</v>
      </c>
      <c r="F354" s="8" t="s">
        <v>21</v>
      </c>
      <c r="G354">
        <v>25.7</v>
      </c>
      <c r="H354">
        <v>71.2</v>
      </c>
      <c r="I354" s="8" t="s">
        <v>18</v>
      </c>
      <c r="J354">
        <v>21</v>
      </c>
      <c r="K354">
        <v>445</v>
      </c>
      <c r="L354">
        <v>5</v>
      </c>
      <c r="M354" s="8" t="s">
        <v>23</v>
      </c>
      <c r="N354">
        <v>90.4</v>
      </c>
      <c r="O354">
        <v>154</v>
      </c>
      <c r="P354">
        <v>0</v>
      </c>
      <c r="Q354">
        <v>12</v>
      </c>
      <c r="R354">
        <v>2024</v>
      </c>
      <c r="S354">
        <v>2</v>
      </c>
      <c r="T354" s="8" t="s">
        <v>93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</row>
    <row r="355" spans="1:26" x14ac:dyDescent="0.25">
      <c r="A355" s="1">
        <v>45296.141041666669</v>
      </c>
      <c r="B355" s="8" t="s">
        <v>25</v>
      </c>
      <c r="C355">
        <v>16.973700000000001</v>
      </c>
      <c r="D355">
        <v>-7.8197999999999999</v>
      </c>
      <c r="E355">
        <v>145</v>
      </c>
      <c r="F355" s="8" t="s">
        <v>21</v>
      </c>
      <c r="G355">
        <v>23.3</v>
      </c>
      <c r="H355">
        <v>70.3</v>
      </c>
      <c r="I355" s="8" t="s">
        <v>18</v>
      </c>
      <c r="J355">
        <v>44</v>
      </c>
      <c r="K355">
        <v>421</v>
      </c>
      <c r="L355">
        <v>2</v>
      </c>
      <c r="M355" s="8" t="s">
        <v>19</v>
      </c>
      <c r="N355">
        <v>93.9</v>
      </c>
      <c r="O355">
        <v>286</v>
      </c>
      <c r="P355">
        <v>0</v>
      </c>
      <c r="Q355">
        <v>1</v>
      </c>
      <c r="R355">
        <v>2024</v>
      </c>
      <c r="S355">
        <v>5</v>
      </c>
      <c r="T355" s="8" t="s">
        <v>93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0</v>
      </c>
    </row>
    <row r="356" spans="1:26" x14ac:dyDescent="0.25">
      <c r="A356" s="1">
        <v>45309.717916666668</v>
      </c>
      <c r="B356" s="8" t="s">
        <v>35</v>
      </c>
      <c r="C356">
        <v>35.805500000000002</v>
      </c>
      <c r="D356">
        <v>-41.153199999999998</v>
      </c>
      <c r="E356">
        <v>299</v>
      </c>
      <c r="F356" s="8" t="s">
        <v>26</v>
      </c>
      <c r="G356">
        <v>22.4</v>
      </c>
      <c r="H356">
        <v>64.2</v>
      </c>
      <c r="I356" s="8" t="s">
        <v>28</v>
      </c>
      <c r="J356">
        <v>54</v>
      </c>
      <c r="K356">
        <v>303</v>
      </c>
      <c r="L356">
        <v>1</v>
      </c>
      <c r="M356" s="8" t="s">
        <v>27</v>
      </c>
      <c r="N356">
        <v>88.1</v>
      </c>
      <c r="O356">
        <v>125</v>
      </c>
      <c r="P356">
        <v>0</v>
      </c>
      <c r="Q356">
        <v>1</v>
      </c>
      <c r="R356">
        <v>2024</v>
      </c>
      <c r="S356">
        <v>4</v>
      </c>
      <c r="T356" s="8" t="s">
        <v>93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1</v>
      </c>
    </row>
    <row r="357" spans="1:26" x14ac:dyDescent="0.25">
      <c r="A357" s="1">
        <v>45422.251064814816</v>
      </c>
      <c r="B357" s="8" t="s">
        <v>34</v>
      </c>
      <c r="C357">
        <v>6.7866999999999997</v>
      </c>
      <c r="D357">
        <v>-133.6343</v>
      </c>
      <c r="E357">
        <v>356</v>
      </c>
      <c r="F357" s="8" t="s">
        <v>26</v>
      </c>
      <c r="G357">
        <v>18.899999999999999</v>
      </c>
      <c r="H357">
        <v>71.7</v>
      </c>
      <c r="I357" s="8" t="s">
        <v>28</v>
      </c>
      <c r="J357">
        <v>25</v>
      </c>
      <c r="K357">
        <v>368</v>
      </c>
      <c r="L357">
        <v>1</v>
      </c>
      <c r="M357" s="8" t="s">
        <v>27</v>
      </c>
      <c r="N357">
        <v>66.099999999999994</v>
      </c>
      <c r="O357">
        <v>228</v>
      </c>
      <c r="P357">
        <v>0</v>
      </c>
      <c r="Q357">
        <v>5</v>
      </c>
      <c r="R357">
        <v>2024</v>
      </c>
      <c r="S357">
        <v>5</v>
      </c>
      <c r="T357" s="8" t="s">
        <v>90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s="1">
        <v>45591.249930555554</v>
      </c>
      <c r="B358" s="8" t="s">
        <v>33</v>
      </c>
      <c r="C358">
        <v>6.1840000000000002</v>
      </c>
      <c r="D358">
        <v>36.189799999999998</v>
      </c>
      <c r="E358">
        <v>137</v>
      </c>
      <c r="F358" s="8" t="s">
        <v>26</v>
      </c>
      <c r="G358">
        <v>22.8</v>
      </c>
      <c r="H358">
        <v>50.6</v>
      </c>
      <c r="I358" s="8" t="s">
        <v>18</v>
      </c>
      <c r="J358">
        <v>24</v>
      </c>
      <c r="K358">
        <v>465</v>
      </c>
      <c r="L358">
        <v>6</v>
      </c>
      <c r="M358" s="8" t="s">
        <v>23</v>
      </c>
      <c r="N358">
        <v>61.3</v>
      </c>
      <c r="O358">
        <v>226</v>
      </c>
      <c r="P358">
        <v>0</v>
      </c>
      <c r="Q358">
        <v>10</v>
      </c>
      <c r="R358">
        <v>2024</v>
      </c>
      <c r="S358">
        <v>6</v>
      </c>
      <c r="T358" s="8" t="s">
        <v>91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0</v>
      </c>
    </row>
    <row r="359" spans="1:26" x14ac:dyDescent="0.25">
      <c r="A359" s="1">
        <v>45403.676307870373</v>
      </c>
      <c r="B359" s="8" t="s">
        <v>32</v>
      </c>
      <c r="C359">
        <v>-75.060500000000005</v>
      </c>
      <c r="D359">
        <v>-52.525599999999997</v>
      </c>
      <c r="E359">
        <v>231</v>
      </c>
      <c r="F359" s="8" t="s">
        <v>26</v>
      </c>
      <c r="G359">
        <v>24.3</v>
      </c>
      <c r="H359">
        <v>57.8</v>
      </c>
      <c r="I359" s="8" t="s">
        <v>28</v>
      </c>
      <c r="J359">
        <v>56</v>
      </c>
      <c r="K359">
        <v>368</v>
      </c>
      <c r="L359">
        <v>7</v>
      </c>
      <c r="M359" s="8" t="s">
        <v>23</v>
      </c>
      <c r="N359">
        <v>87.2</v>
      </c>
      <c r="O359">
        <v>203</v>
      </c>
      <c r="P359">
        <v>0</v>
      </c>
      <c r="Q359">
        <v>4</v>
      </c>
      <c r="R359">
        <v>2024</v>
      </c>
      <c r="S359">
        <v>0</v>
      </c>
      <c r="T359" s="8" t="s">
        <v>90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1</v>
      </c>
    </row>
    <row r="360" spans="1:26" x14ac:dyDescent="0.25">
      <c r="A360" s="1">
        <v>45549.07739583333</v>
      </c>
      <c r="B360" s="8" t="s">
        <v>30</v>
      </c>
      <c r="C360">
        <v>-77.891000000000005</v>
      </c>
      <c r="D360">
        <v>-96.7804</v>
      </c>
      <c r="E360">
        <v>336</v>
      </c>
      <c r="F360" s="8" t="s">
        <v>26</v>
      </c>
      <c r="G360">
        <v>19.7</v>
      </c>
      <c r="H360">
        <v>66.7</v>
      </c>
      <c r="I360" s="8" t="s">
        <v>28</v>
      </c>
      <c r="J360">
        <v>54</v>
      </c>
      <c r="K360">
        <v>163</v>
      </c>
      <c r="L360">
        <v>7</v>
      </c>
      <c r="M360" s="8" t="s">
        <v>31</v>
      </c>
      <c r="N360">
        <v>71.400000000000006</v>
      </c>
      <c r="O360">
        <v>122</v>
      </c>
      <c r="P360">
        <v>0</v>
      </c>
      <c r="Q360">
        <v>9</v>
      </c>
      <c r="R360">
        <v>2024</v>
      </c>
      <c r="S360">
        <v>6</v>
      </c>
      <c r="T360" s="8" t="s">
        <v>91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1</v>
      </c>
    </row>
    <row r="361" spans="1:26" x14ac:dyDescent="0.25">
      <c r="A361" s="1">
        <v>45424.743761574071</v>
      </c>
      <c r="B361" s="8" t="s">
        <v>25</v>
      </c>
      <c r="C361">
        <v>-47.154000000000003</v>
      </c>
      <c r="D361">
        <v>6.9020999999999999</v>
      </c>
      <c r="E361">
        <v>290</v>
      </c>
      <c r="F361" s="8" t="s">
        <v>21</v>
      </c>
      <c r="G361">
        <v>27.6</v>
      </c>
      <c r="H361">
        <v>71.8</v>
      </c>
      <c r="I361" s="8" t="s">
        <v>22</v>
      </c>
      <c r="J361">
        <v>50</v>
      </c>
      <c r="K361">
        <v>460</v>
      </c>
      <c r="L361">
        <v>7</v>
      </c>
      <c r="M361" s="8" t="s">
        <v>31</v>
      </c>
      <c r="N361">
        <v>95.9</v>
      </c>
      <c r="O361">
        <v>118</v>
      </c>
      <c r="P361">
        <v>1</v>
      </c>
      <c r="Q361">
        <v>5</v>
      </c>
      <c r="R361">
        <v>2024</v>
      </c>
      <c r="S361">
        <v>0</v>
      </c>
      <c r="T361" s="8" t="s">
        <v>90</v>
      </c>
      <c r="U361">
        <v>0</v>
      </c>
      <c r="V361">
        <v>0</v>
      </c>
      <c r="W361">
        <v>2</v>
      </c>
      <c r="X361">
        <v>1</v>
      </c>
      <c r="Y361">
        <v>0</v>
      </c>
      <c r="Z361">
        <v>1</v>
      </c>
    </row>
    <row r="362" spans="1:26" x14ac:dyDescent="0.25">
      <c r="A362" s="1">
        <v>45538.379837962966</v>
      </c>
      <c r="B362" s="8" t="s">
        <v>35</v>
      </c>
      <c r="C362">
        <v>76.171499999999995</v>
      </c>
      <c r="D362">
        <v>-7.1000000000000004E-3</v>
      </c>
      <c r="E362">
        <v>427</v>
      </c>
      <c r="F362" s="8" t="s">
        <v>17</v>
      </c>
      <c r="G362">
        <v>23.2</v>
      </c>
      <c r="H362">
        <v>70.099999999999994</v>
      </c>
      <c r="I362" s="8" t="s">
        <v>22</v>
      </c>
      <c r="J362">
        <v>17</v>
      </c>
      <c r="K362">
        <v>320</v>
      </c>
      <c r="L362">
        <v>4</v>
      </c>
      <c r="M362" s="8" t="s">
        <v>23</v>
      </c>
      <c r="N362">
        <v>73</v>
      </c>
      <c r="O362">
        <v>162</v>
      </c>
      <c r="P362">
        <v>1</v>
      </c>
      <c r="Q362">
        <v>9</v>
      </c>
      <c r="R362">
        <v>2024</v>
      </c>
      <c r="S362">
        <v>2</v>
      </c>
      <c r="T362" s="8" t="s">
        <v>91</v>
      </c>
      <c r="U362">
        <v>0</v>
      </c>
      <c r="V362">
        <v>2</v>
      </c>
      <c r="W362">
        <v>2</v>
      </c>
      <c r="X362">
        <v>1</v>
      </c>
      <c r="Y362">
        <v>0</v>
      </c>
      <c r="Z362">
        <v>0</v>
      </c>
    </row>
    <row r="363" spans="1:26" x14ac:dyDescent="0.25">
      <c r="A363" s="1">
        <v>45418.386550925927</v>
      </c>
      <c r="B363" s="8" t="s">
        <v>25</v>
      </c>
      <c r="C363">
        <v>-85.828299999999999</v>
      </c>
      <c r="D363">
        <v>163.45750000000001</v>
      </c>
      <c r="E363">
        <v>439</v>
      </c>
      <c r="F363" s="8" t="s">
        <v>26</v>
      </c>
      <c r="G363">
        <v>26.4</v>
      </c>
      <c r="H363">
        <v>71.3</v>
      </c>
      <c r="I363" s="8" t="s">
        <v>28</v>
      </c>
      <c r="J363">
        <v>41</v>
      </c>
      <c r="K363">
        <v>491</v>
      </c>
      <c r="L363">
        <v>7</v>
      </c>
      <c r="M363" s="8" t="s">
        <v>27</v>
      </c>
      <c r="N363">
        <v>67.400000000000006</v>
      </c>
      <c r="O363">
        <v>273</v>
      </c>
      <c r="P363">
        <v>0</v>
      </c>
      <c r="Q363">
        <v>5</v>
      </c>
      <c r="R363">
        <v>2024</v>
      </c>
      <c r="S363">
        <v>1</v>
      </c>
      <c r="T363" s="8" t="s">
        <v>90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s="1">
        <v>45300.369953703703</v>
      </c>
      <c r="B364" s="8" t="s">
        <v>16</v>
      </c>
      <c r="C364">
        <v>6.0090000000000003</v>
      </c>
      <c r="D364">
        <v>-33.838000000000001</v>
      </c>
      <c r="E364">
        <v>461</v>
      </c>
      <c r="F364" s="8" t="s">
        <v>26</v>
      </c>
      <c r="G364">
        <v>18.600000000000001</v>
      </c>
      <c r="H364">
        <v>74.599999999999994</v>
      </c>
      <c r="I364" s="8" t="s">
        <v>22</v>
      </c>
      <c r="J364">
        <v>23</v>
      </c>
      <c r="K364">
        <v>185</v>
      </c>
      <c r="L364">
        <v>4</v>
      </c>
      <c r="M364" s="8" t="s">
        <v>27</v>
      </c>
      <c r="N364">
        <v>77.8</v>
      </c>
      <c r="O364">
        <v>215</v>
      </c>
      <c r="P364">
        <v>1</v>
      </c>
      <c r="Q364">
        <v>1</v>
      </c>
      <c r="R364">
        <v>2024</v>
      </c>
      <c r="S364">
        <v>2</v>
      </c>
      <c r="T364" s="8" t="s">
        <v>93</v>
      </c>
      <c r="U364">
        <v>0</v>
      </c>
      <c r="V364">
        <v>1</v>
      </c>
      <c r="W364">
        <v>2</v>
      </c>
      <c r="X364">
        <v>1</v>
      </c>
      <c r="Y364">
        <v>0</v>
      </c>
      <c r="Z364">
        <v>0</v>
      </c>
    </row>
    <row r="365" spans="1:26" x14ac:dyDescent="0.25">
      <c r="A365" s="1">
        <v>45541.126851851855</v>
      </c>
      <c r="B365" s="8" t="s">
        <v>25</v>
      </c>
      <c r="C365">
        <v>3.8184</v>
      </c>
      <c r="D365">
        <v>139.48759999999999</v>
      </c>
      <c r="E365">
        <v>414</v>
      </c>
      <c r="F365" s="8" t="s">
        <v>26</v>
      </c>
      <c r="G365">
        <v>29</v>
      </c>
      <c r="H365">
        <v>70.599999999999994</v>
      </c>
      <c r="I365" s="8" t="s">
        <v>22</v>
      </c>
      <c r="J365">
        <v>25</v>
      </c>
      <c r="K365">
        <v>291</v>
      </c>
      <c r="L365">
        <v>4</v>
      </c>
      <c r="M365" s="8" t="s">
        <v>27</v>
      </c>
      <c r="N365">
        <v>92.9</v>
      </c>
      <c r="O365">
        <v>154</v>
      </c>
      <c r="P365">
        <v>1</v>
      </c>
      <c r="Q365">
        <v>9</v>
      </c>
      <c r="R365">
        <v>2024</v>
      </c>
      <c r="S365">
        <v>5</v>
      </c>
      <c r="T365" s="8" t="s">
        <v>91</v>
      </c>
      <c r="U365">
        <v>1</v>
      </c>
      <c r="V365">
        <v>1</v>
      </c>
      <c r="W365">
        <v>2</v>
      </c>
      <c r="X365">
        <v>1</v>
      </c>
      <c r="Y365">
        <v>0</v>
      </c>
      <c r="Z365">
        <v>0</v>
      </c>
    </row>
    <row r="366" spans="1:26" x14ac:dyDescent="0.25">
      <c r="A366" s="1">
        <v>45509.697754629633</v>
      </c>
      <c r="B366" s="8" t="s">
        <v>20</v>
      </c>
      <c r="C366">
        <v>66.341700000000003</v>
      </c>
      <c r="D366">
        <v>-154.12430000000001</v>
      </c>
      <c r="E366">
        <v>498</v>
      </c>
      <c r="F366" s="8" t="s">
        <v>17</v>
      </c>
      <c r="G366">
        <v>23.8</v>
      </c>
      <c r="H366">
        <v>55.9</v>
      </c>
      <c r="I366" s="8" t="s">
        <v>18</v>
      </c>
      <c r="J366">
        <v>16</v>
      </c>
      <c r="K366">
        <v>381</v>
      </c>
      <c r="L366">
        <v>7</v>
      </c>
      <c r="M366" s="8" t="s">
        <v>19</v>
      </c>
      <c r="N366">
        <v>67.2</v>
      </c>
      <c r="O366">
        <v>131</v>
      </c>
      <c r="P366">
        <v>1</v>
      </c>
      <c r="Q366">
        <v>8</v>
      </c>
      <c r="R366">
        <v>2024</v>
      </c>
      <c r="S366">
        <v>1</v>
      </c>
      <c r="T366" s="8" t="s">
        <v>92</v>
      </c>
      <c r="U366">
        <v>0</v>
      </c>
      <c r="V366">
        <v>2</v>
      </c>
      <c r="W366">
        <v>1</v>
      </c>
      <c r="X366">
        <v>0</v>
      </c>
      <c r="Y366">
        <v>0</v>
      </c>
      <c r="Z366">
        <v>0</v>
      </c>
    </row>
    <row r="367" spans="1:26" x14ac:dyDescent="0.25">
      <c r="A367" s="1">
        <v>45520.448599537034</v>
      </c>
      <c r="B367" s="8" t="s">
        <v>29</v>
      </c>
      <c r="C367">
        <v>-61.862299999999998</v>
      </c>
      <c r="D367">
        <v>113.63039999999999</v>
      </c>
      <c r="E367">
        <v>334</v>
      </c>
      <c r="F367" s="8" t="s">
        <v>26</v>
      </c>
      <c r="G367">
        <v>22.5</v>
      </c>
      <c r="H367">
        <v>57.1</v>
      </c>
      <c r="I367" s="8" t="s">
        <v>28</v>
      </c>
      <c r="J367">
        <v>43</v>
      </c>
      <c r="K367">
        <v>381</v>
      </c>
      <c r="L367">
        <v>6</v>
      </c>
      <c r="M367" s="8" t="s">
        <v>19</v>
      </c>
      <c r="N367">
        <v>73.8</v>
      </c>
      <c r="O367">
        <v>157</v>
      </c>
      <c r="P367">
        <v>0</v>
      </c>
      <c r="Q367">
        <v>8</v>
      </c>
      <c r="R367">
        <v>2024</v>
      </c>
      <c r="S367">
        <v>5</v>
      </c>
      <c r="T367" s="8" t="s">
        <v>92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s="1">
        <v>45485.115937499999</v>
      </c>
      <c r="B368" s="8" t="s">
        <v>30</v>
      </c>
      <c r="C368">
        <v>44.502000000000002</v>
      </c>
      <c r="D368">
        <v>66.581900000000005</v>
      </c>
      <c r="E368">
        <v>144</v>
      </c>
      <c r="F368" s="8" t="s">
        <v>17</v>
      </c>
      <c r="G368">
        <v>23</v>
      </c>
      <c r="H368">
        <v>70.3</v>
      </c>
      <c r="I368" s="8" t="s">
        <v>22</v>
      </c>
      <c r="J368">
        <v>54</v>
      </c>
      <c r="K368">
        <v>152</v>
      </c>
      <c r="L368">
        <v>1</v>
      </c>
      <c r="M368" s="8" t="s">
        <v>31</v>
      </c>
      <c r="N368">
        <v>84.3</v>
      </c>
      <c r="O368">
        <v>242</v>
      </c>
      <c r="P368">
        <v>1</v>
      </c>
      <c r="Q368">
        <v>7</v>
      </c>
      <c r="R368">
        <v>2024</v>
      </c>
      <c r="S368">
        <v>5</v>
      </c>
      <c r="T368" s="8" t="s">
        <v>92</v>
      </c>
      <c r="U368">
        <v>1</v>
      </c>
      <c r="V368">
        <v>2</v>
      </c>
      <c r="W368">
        <v>2</v>
      </c>
      <c r="X368">
        <v>1</v>
      </c>
      <c r="Y368">
        <v>0</v>
      </c>
      <c r="Z368">
        <v>1</v>
      </c>
    </row>
    <row r="369" spans="1:26" x14ac:dyDescent="0.25">
      <c r="A369" s="1">
        <v>45315.364166666666</v>
      </c>
      <c r="B369" s="8" t="s">
        <v>33</v>
      </c>
      <c r="C369">
        <v>-12.288500000000001</v>
      </c>
      <c r="D369">
        <v>38.428699999999999</v>
      </c>
      <c r="E369">
        <v>231</v>
      </c>
      <c r="F369" s="8" t="s">
        <v>26</v>
      </c>
      <c r="G369">
        <v>28.2</v>
      </c>
      <c r="H369">
        <v>67.2</v>
      </c>
      <c r="I369" s="8" t="s">
        <v>28</v>
      </c>
      <c r="J369">
        <v>50</v>
      </c>
      <c r="K369">
        <v>221</v>
      </c>
      <c r="L369">
        <v>1</v>
      </c>
      <c r="M369" s="8" t="s">
        <v>19</v>
      </c>
      <c r="N369">
        <v>84.8</v>
      </c>
      <c r="O369">
        <v>270</v>
      </c>
      <c r="P369">
        <v>0</v>
      </c>
      <c r="Q369">
        <v>1</v>
      </c>
      <c r="R369">
        <v>2024</v>
      </c>
      <c r="S369">
        <v>3</v>
      </c>
      <c r="T369" s="8" t="s">
        <v>93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1</v>
      </c>
    </row>
    <row r="370" spans="1:26" x14ac:dyDescent="0.25">
      <c r="A370" s="1">
        <v>45304.907997685186</v>
      </c>
      <c r="B370" s="8" t="s">
        <v>34</v>
      </c>
      <c r="C370">
        <v>-40.827500000000001</v>
      </c>
      <c r="D370">
        <v>-46.7423</v>
      </c>
      <c r="E370">
        <v>324</v>
      </c>
      <c r="F370" s="8" t="s">
        <v>17</v>
      </c>
      <c r="G370">
        <v>25.5</v>
      </c>
      <c r="H370">
        <v>65.2</v>
      </c>
      <c r="I370" s="8" t="s">
        <v>28</v>
      </c>
      <c r="J370">
        <v>51</v>
      </c>
      <c r="K370">
        <v>233</v>
      </c>
      <c r="L370">
        <v>9</v>
      </c>
      <c r="M370" s="8" t="s">
        <v>27</v>
      </c>
      <c r="N370">
        <v>90.2</v>
      </c>
      <c r="O370">
        <v>145</v>
      </c>
      <c r="P370">
        <v>1</v>
      </c>
      <c r="Q370">
        <v>1</v>
      </c>
      <c r="R370">
        <v>2024</v>
      </c>
      <c r="S370">
        <v>6</v>
      </c>
      <c r="T370" s="8" t="s">
        <v>93</v>
      </c>
      <c r="U370">
        <v>1</v>
      </c>
      <c r="V370">
        <v>2</v>
      </c>
      <c r="W370">
        <v>0</v>
      </c>
      <c r="X370">
        <v>0</v>
      </c>
      <c r="Y370">
        <v>0</v>
      </c>
      <c r="Z370">
        <v>1</v>
      </c>
    </row>
    <row r="371" spans="1:26" x14ac:dyDescent="0.25">
      <c r="A371" s="1">
        <v>45398.335787037038</v>
      </c>
      <c r="B371" s="8" t="s">
        <v>20</v>
      </c>
      <c r="C371">
        <v>-76.575699999999998</v>
      </c>
      <c r="D371">
        <v>-52.268999999999998</v>
      </c>
      <c r="E371">
        <v>246</v>
      </c>
      <c r="F371" s="8" t="s">
        <v>26</v>
      </c>
      <c r="G371">
        <v>19.399999999999999</v>
      </c>
      <c r="H371">
        <v>56.3</v>
      </c>
      <c r="I371" s="8" t="s">
        <v>28</v>
      </c>
      <c r="J371">
        <v>16</v>
      </c>
      <c r="K371">
        <v>406</v>
      </c>
      <c r="L371">
        <v>9</v>
      </c>
      <c r="M371" s="8" t="s">
        <v>23</v>
      </c>
      <c r="N371">
        <v>65.7</v>
      </c>
      <c r="O371">
        <v>140</v>
      </c>
      <c r="P371">
        <v>0</v>
      </c>
      <c r="Q371">
        <v>4</v>
      </c>
      <c r="R371">
        <v>2024</v>
      </c>
      <c r="S371">
        <v>2</v>
      </c>
      <c r="T371" s="8" t="s">
        <v>90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s="1">
        <v>45334.140324074076</v>
      </c>
      <c r="B372" s="8" t="s">
        <v>30</v>
      </c>
      <c r="C372">
        <v>-79.278999999999996</v>
      </c>
      <c r="D372">
        <v>69.567999999999998</v>
      </c>
      <c r="E372">
        <v>283</v>
      </c>
      <c r="F372" s="8" t="s">
        <v>17</v>
      </c>
      <c r="G372">
        <v>27.7</v>
      </c>
      <c r="H372">
        <v>52.4</v>
      </c>
      <c r="I372" s="8" t="s">
        <v>22</v>
      </c>
      <c r="J372">
        <v>16</v>
      </c>
      <c r="K372">
        <v>280</v>
      </c>
      <c r="L372">
        <v>8</v>
      </c>
      <c r="M372" s="8" t="s">
        <v>27</v>
      </c>
      <c r="N372">
        <v>96</v>
      </c>
      <c r="O372">
        <v>297</v>
      </c>
      <c r="P372">
        <v>1</v>
      </c>
      <c r="Q372">
        <v>2</v>
      </c>
      <c r="R372">
        <v>2024</v>
      </c>
      <c r="S372">
        <v>1</v>
      </c>
      <c r="T372" s="8" t="s">
        <v>93</v>
      </c>
      <c r="U372">
        <v>0</v>
      </c>
      <c r="V372">
        <v>2</v>
      </c>
      <c r="W372">
        <v>2</v>
      </c>
      <c r="X372">
        <v>1</v>
      </c>
      <c r="Y372">
        <v>0</v>
      </c>
      <c r="Z372">
        <v>0</v>
      </c>
    </row>
    <row r="373" spans="1:26" x14ac:dyDescent="0.25">
      <c r="A373" s="1">
        <v>45420.162812499999</v>
      </c>
      <c r="B373" s="8" t="s">
        <v>24</v>
      </c>
      <c r="C373">
        <v>84.345100000000002</v>
      </c>
      <c r="D373">
        <v>-106.877</v>
      </c>
      <c r="E373">
        <v>453</v>
      </c>
      <c r="F373" s="8" t="s">
        <v>17</v>
      </c>
      <c r="G373">
        <v>21.8</v>
      </c>
      <c r="H373">
        <v>66.400000000000006</v>
      </c>
      <c r="I373" s="8" t="s">
        <v>28</v>
      </c>
      <c r="J373">
        <v>48</v>
      </c>
      <c r="K373">
        <v>305</v>
      </c>
      <c r="L373">
        <v>2</v>
      </c>
      <c r="M373" s="8" t="s">
        <v>31</v>
      </c>
      <c r="N373">
        <v>68.900000000000006</v>
      </c>
      <c r="O373">
        <v>212</v>
      </c>
      <c r="P373">
        <v>1</v>
      </c>
      <c r="Q373">
        <v>5</v>
      </c>
      <c r="R373">
        <v>2024</v>
      </c>
      <c r="S373">
        <v>3</v>
      </c>
      <c r="T373" s="8" t="s">
        <v>90</v>
      </c>
      <c r="U373">
        <v>0</v>
      </c>
      <c r="V373">
        <v>2</v>
      </c>
      <c r="W373">
        <v>0</v>
      </c>
      <c r="X373">
        <v>0</v>
      </c>
      <c r="Y373">
        <v>0</v>
      </c>
      <c r="Z373">
        <v>1</v>
      </c>
    </row>
    <row r="374" spans="1:26" x14ac:dyDescent="0.25">
      <c r="A374" s="1">
        <v>45633.535370370373</v>
      </c>
      <c r="B374" s="8" t="s">
        <v>24</v>
      </c>
      <c r="C374">
        <v>-19.072099999999999</v>
      </c>
      <c r="D374">
        <v>161.72460000000001</v>
      </c>
      <c r="E374">
        <v>392</v>
      </c>
      <c r="F374" s="8" t="s">
        <v>26</v>
      </c>
      <c r="G374">
        <v>30</v>
      </c>
      <c r="H374">
        <v>72.099999999999994</v>
      </c>
      <c r="I374" s="8" t="s">
        <v>18</v>
      </c>
      <c r="J374">
        <v>52</v>
      </c>
      <c r="K374">
        <v>329</v>
      </c>
      <c r="L374">
        <v>4</v>
      </c>
      <c r="M374" s="8" t="s">
        <v>27</v>
      </c>
      <c r="N374">
        <v>66.599999999999994</v>
      </c>
      <c r="O374">
        <v>174</v>
      </c>
      <c r="P374">
        <v>0</v>
      </c>
      <c r="Q374">
        <v>12</v>
      </c>
      <c r="R374">
        <v>2024</v>
      </c>
      <c r="S374">
        <v>6</v>
      </c>
      <c r="T374" s="8" t="s">
        <v>93</v>
      </c>
      <c r="U374">
        <v>1</v>
      </c>
      <c r="V374">
        <v>1</v>
      </c>
      <c r="W374">
        <v>1</v>
      </c>
      <c r="X374">
        <v>0</v>
      </c>
      <c r="Y374">
        <v>0</v>
      </c>
      <c r="Z374">
        <v>1</v>
      </c>
    </row>
    <row r="375" spans="1:26" x14ac:dyDescent="0.25">
      <c r="A375" s="1">
        <v>45622.025173611109</v>
      </c>
      <c r="B375" s="8" t="s">
        <v>20</v>
      </c>
      <c r="C375">
        <v>-69.031099999999995</v>
      </c>
      <c r="D375">
        <v>-32.957500000000003</v>
      </c>
      <c r="E375">
        <v>343</v>
      </c>
      <c r="F375" s="8" t="s">
        <v>21</v>
      </c>
      <c r="G375">
        <v>25.2</v>
      </c>
      <c r="H375">
        <v>72.599999999999994</v>
      </c>
      <c r="I375" s="8" t="s">
        <v>28</v>
      </c>
      <c r="J375">
        <v>21</v>
      </c>
      <c r="K375">
        <v>400</v>
      </c>
      <c r="L375">
        <v>9</v>
      </c>
      <c r="M375" s="8" t="s">
        <v>23</v>
      </c>
      <c r="N375">
        <v>87.7</v>
      </c>
      <c r="O375">
        <v>300</v>
      </c>
      <c r="P375">
        <v>0</v>
      </c>
      <c r="Q375">
        <v>11</v>
      </c>
      <c r="R375">
        <v>2024</v>
      </c>
      <c r="S375">
        <v>2</v>
      </c>
      <c r="T375" s="8" t="s">
        <v>91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s="1">
        <v>45419.344027777777</v>
      </c>
      <c r="B376" s="8" t="s">
        <v>29</v>
      </c>
      <c r="C376">
        <v>87.779300000000006</v>
      </c>
      <c r="D376">
        <v>-108.9268</v>
      </c>
      <c r="E376">
        <v>144</v>
      </c>
      <c r="F376" s="8" t="s">
        <v>17</v>
      </c>
      <c r="G376">
        <v>25.8</v>
      </c>
      <c r="H376">
        <v>65.599999999999994</v>
      </c>
      <c r="I376" s="8" t="s">
        <v>18</v>
      </c>
      <c r="J376">
        <v>23</v>
      </c>
      <c r="K376">
        <v>362</v>
      </c>
      <c r="L376">
        <v>10</v>
      </c>
      <c r="M376" s="8" t="s">
        <v>27</v>
      </c>
      <c r="N376">
        <v>88.9</v>
      </c>
      <c r="O376">
        <v>199</v>
      </c>
      <c r="P376">
        <v>1</v>
      </c>
      <c r="Q376">
        <v>5</v>
      </c>
      <c r="R376">
        <v>2024</v>
      </c>
      <c r="S376">
        <v>2</v>
      </c>
      <c r="T376" s="8" t="s">
        <v>90</v>
      </c>
      <c r="U376">
        <v>0</v>
      </c>
      <c r="V376">
        <v>2</v>
      </c>
      <c r="W376">
        <v>1</v>
      </c>
      <c r="X376">
        <v>0</v>
      </c>
      <c r="Y376">
        <v>0</v>
      </c>
      <c r="Z376">
        <v>0</v>
      </c>
    </row>
    <row r="377" spans="1:26" x14ac:dyDescent="0.25">
      <c r="A377" s="1">
        <v>45601.915648148148</v>
      </c>
      <c r="B377" s="8" t="s">
        <v>25</v>
      </c>
      <c r="C377">
        <v>-48.363300000000002</v>
      </c>
      <c r="D377">
        <v>-36.293599999999998</v>
      </c>
      <c r="E377">
        <v>151</v>
      </c>
      <c r="F377" s="8" t="s">
        <v>17</v>
      </c>
      <c r="G377">
        <v>22.1</v>
      </c>
      <c r="H377">
        <v>59.7</v>
      </c>
      <c r="I377" s="8" t="s">
        <v>28</v>
      </c>
      <c r="J377">
        <v>58</v>
      </c>
      <c r="K377">
        <v>338</v>
      </c>
      <c r="L377">
        <v>1</v>
      </c>
      <c r="M377" s="8" t="s">
        <v>27</v>
      </c>
      <c r="N377">
        <v>81.5</v>
      </c>
      <c r="O377">
        <v>248</v>
      </c>
      <c r="P377">
        <v>1</v>
      </c>
      <c r="Q377">
        <v>11</v>
      </c>
      <c r="R377">
        <v>2024</v>
      </c>
      <c r="S377">
        <v>2</v>
      </c>
      <c r="T377" s="8" t="s">
        <v>91</v>
      </c>
      <c r="U377">
        <v>0</v>
      </c>
      <c r="V377">
        <v>2</v>
      </c>
      <c r="W377">
        <v>0</v>
      </c>
      <c r="X377">
        <v>0</v>
      </c>
      <c r="Y377">
        <v>0</v>
      </c>
      <c r="Z377">
        <v>1</v>
      </c>
    </row>
    <row r="378" spans="1:26" x14ac:dyDescent="0.25">
      <c r="A378" s="1">
        <v>45350.492222222223</v>
      </c>
      <c r="B378" s="8" t="s">
        <v>16</v>
      </c>
      <c r="C378">
        <v>-36.410400000000003</v>
      </c>
      <c r="D378">
        <v>-4.335</v>
      </c>
      <c r="E378">
        <v>389</v>
      </c>
      <c r="F378" s="8" t="s">
        <v>21</v>
      </c>
      <c r="G378">
        <v>27.2</v>
      </c>
      <c r="H378">
        <v>59.8</v>
      </c>
      <c r="I378" s="8" t="s">
        <v>22</v>
      </c>
      <c r="J378">
        <v>20</v>
      </c>
      <c r="K378">
        <v>129</v>
      </c>
      <c r="L378">
        <v>8</v>
      </c>
      <c r="M378" s="8" t="s">
        <v>27</v>
      </c>
      <c r="N378">
        <v>80.8</v>
      </c>
      <c r="O378">
        <v>164</v>
      </c>
      <c r="P378">
        <v>1</v>
      </c>
      <c r="Q378">
        <v>2</v>
      </c>
      <c r="R378">
        <v>2024</v>
      </c>
      <c r="S378">
        <v>3</v>
      </c>
      <c r="T378" s="8" t="s">
        <v>93</v>
      </c>
      <c r="U378">
        <v>0</v>
      </c>
      <c r="V378">
        <v>0</v>
      </c>
      <c r="W378">
        <v>2</v>
      </c>
      <c r="X378">
        <v>1</v>
      </c>
      <c r="Y378">
        <v>0</v>
      </c>
      <c r="Z378">
        <v>0</v>
      </c>
    </row>
    <row r="379" spans="1:26" x14ac:dyDescent="0.25">
      <c r="A379" s="1">
        <v>45398.961273148147</v>
      </c>
      <c r="B379" s="8" t="s">
        <v>30</v>
      </c>
      <c r="C379">
        <v>-39.225000000000001</v>
      </c>
      <c r="D379">
        <v>-156.4228</v>
      </c>
      <c r="E379">
        <v>355</v>
      </c>
      <c r="F379" s="8" t="s">
        <v>17</v>
      </c>
      <c r="G379">
        <v>19.2</v>
      </c>
      <c r="H379">
        <v>62.2</v>
      </c>
      <c r="I379" s="8" t="s">
        <v>28</v>
      </c>
      <c r="J379">
        <v>10</v>
      </c>
      <c r="K379">
        <v>137</v>
      </c>
      <c r="L379">
        <v>2</v>
      </c>
      <c r="M379" s="8" t="s">
        <v>27</v>
      </c>
      <c r="N379">
        <v>67</v>
      </c>
      <c r="O379">
        <v>269</v>
      </c>
      <c r="P379">
        <v>1</v>
      </c>
      <c r="Q379">
        <v>4</v>
      </c>
      <c r="R379">
        <v>2024</v>
      </c>
      <c r="S379">
        <v>2</v>
      </c>
      <c r="T379" s="8" t="s">
        <v>90</v>
      </c>
      <c r="U379">
        <v>0</v>
      </c>
      <c r="V379">
        <v>2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s="1">
        <v>45624.025393518517</v>
      </c>
      <c r="B380" s="8" t="s">
        <v>24</v>
      </c>
      <c r="C380">
        <v>84.040700000000001</v>
      </c>
      <c r="D380">
        <v>-74.709800000000001</v>
      </c>
      <c r="E380">
        <v>493</v>
      </c>
      <c r="F380" s="8" t="s">
        <v>17</v>
      </c>
      <c r="G380">
        <v>20.7</v>
      </c>
      <c r="H380">
        <v>70.900000000000006</v>
      </c>
      <c r="I380" s="8" t="s">
        <v>28</v>
      </c>
      <c r="J380">
        <v>52</v>
      </c>
      <c r="K380">
        <v>478</v>
      </c>
      <c r="L380">
        <v>1</v>
      </c>
      <c r="M380" s="8" t="s">
        <v>27</v>
      </c>
      <c r="N380">
        <v>62.5</v>
      </c>
      <c r="O380">
        <v>103</v>
      </c>
      <c r="P380">
        <v>1</v>
      </c>
      <c r="Q380">
        <v>11</v>
      </c>
      <c r="R380">
        <v>2024</v>
      </c>
      <c r="S380">
        <v>4</v>
      </c>
      <c r="T380" s="8" t="s">
        <v>91</v>
      </c>
      <c r="U380">
        <v>0</v>
      </c>
      <c r="V380">
        <v>2</v>
      </c>
      <c r="W380">
        <v>0</v>
      </c>
      <c r="X380">
        <v>0</v>
      </c>
      <c r="Y380">
        <v>0</v>
      </c>
      <c r="Z380">
        <v>1</v>
      </c>
    </row>
    <row r="381" spans="1:26" x14ac:dyDescent="0.25">
      <c r="A381" s="1">
        <v>45331.278252314813</v>
      </c>
      <c r="B381" s="8" t="s">
        <v>25</v>
      </c>
      <c r="C381">
        <v>-68.532399999999996</v>
      </c>
      <c r="D381">
        <v>127.5394</v>
      </c>
      <c r="E381">
        <v>181</v>
      </c>
      <c r="F381" s="8" t="s">
        <v>26</v>
      </c>
      <c r="G381">
        <v>22.9</v>
      </c>
      <c r="H381">
        <v>70.3</v>
      </c>
      <c r="I381" s="8" t="s">
        <v>18</v>
      </c>
      <c r="J381">
        <v>49</v>
      </c>
      <c r="K381">
        <v>441</v>
      </c>
      <c r="L381">
        <v>7</v>
      </c>
      <c r="M381" s="8" t="s">
        <v>19</v>
      </c>
      <c r="N381">
        <v>94.7</v>
      </c>
      <c r="O381">
        <v>168</v>
      </c>
      <c r="P381">
        <v>0</v>
      </c>
      <c r="Q381">
        <v>2</v>
      </c>
      <c r="R381">
        <v>2024</v>
      </c>
      <c r="S381">
        <v>5</v>
      </c>
      <c r="T381" s="8" t="s">
        <v>93</v>
      </c>
      <c r="U381">
        <v>1</v>
      </c>
      <c r="V381">
        <v>1</v>
      </c>
      <c r="W381">
        <v>1</v>
      </c>
      <c r="X381">
        <v>0</v>
      </c>
      <c r="Y381">
        <v>0</v>
      </c>
      <c r="Z381">
        <v>1</v>
      </c>
    </row>
    <row r="382" spans="1:26" x14ac:dyDescent="0.25">
      <c r="A382" s="1">
        <v>45426.559282407405</v>
      </c>
      <c r="B382" s="8" t="s">
        <v>20</v>
      </c>
      <c r="C382">
        <v>-8.4586000000000006</v>
      </c>
      <c r="D382">
        <v>44.477899999999998</v>
      </c>
      <c r="E382">
        <v>342</v>
      </c>
      <c r="F382" s="8" t="s">
        <v>21</v>
      </c>
      <c r="G382">
        <v>22.6</v>
      </c>
      <c r="H382">
        <v>55.5</v>
      </c>
      <c r="I382" s="8" t="s">
        <v>18</v>
      </c>
      <c r="J382">
        <v>35</v>
      </c>
      <c r="K382">
        <v>119</v>
      </c>
      <c r="L382">
        <v>3</v>
      </c>
      <c r="M382" s="8" t="s">
        <v>19</v>
      </c>
      <c r="N382">
        <v>73.900000000000006</v>
      </c>
      <c r="O382">
        <v>199</v>
      </c>
      <c r="P382">
        <v>0</v>
      </c>
      <c r="Q382">
        <v>5</v>
      </c>
      <c r="R382">
        <v>2024</v>
      </c>
      <c r="S382">
        <v>2</v>
      </c>
      <c r="T382" s="8" t="s">
        <v>90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</row>
    <row r="383" spans="1:26" x14ac:dyDescent="0.25">
      <c r="A383" s="1">
        <v>45532.564837962964</v>
      </c>
      <c r="B383" s="8" t="s">
        <v>25</v>
      </c>
      <c r="C383">
        <v>14.0092</v>
      </c>
      <c r="D383">
        <v>-131.97579999999999</v>
      </c>
      <c r="E383">
        <v>376</v>
      </c>
      <c r="F383" s="8" t="s">
        <v>17</v>
      </c>
      <c r="G383">
        <v>20.5</v>
      </c>
      <c r="H383">
        <v>55.5</v>
      </c>
      <c r="I383" s="8" t="s">
        <v>28</v>
      </c>
      <c r="J383">
        <v>34</v>
      </c>
      <c r="K383">
        <v>315</v>
      </c>
      <c r="L383">
        <v>9</v>
      </c>
      <c r="M383" s="8" t="s">
        <v>19</v>
      </c>
      <c r="N383">
        <v>70.7</v>
      </c>
      <c r="O383">
        <v>297</v>
      </c>
      <c r="P383">
        <v>1</v>
      </c>
      <c r="Q383">
        <v>8</v>
      </c>
      <c r="R383">
        <v>2024</v>
      </c>
      <c r="S383">
        <v>3</v>
      </c>
      <c r="T383" s="8" t="s">
        <v>92</v>
      </c>
      <c r="U383">
        <v>0</v>
      </c>
      <c r="V383">
        <v>2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s="1">
        <v>45343.118842592594</v>
      </c>
      <c r="B384" s="8" t="s">
        <v>29</v>
      </c>
      <c r="C384">
        <v>3.6602000000000001</v>
      </c>
      <c r="D384">
        <v>107.779</v>
      </c>
      <c r="E384">
        <v>464</v>
      </c>
      <c r="F384" s="8" t="s">
        <v>21</v>
      </c>
      <c r="G384">
        <v>20.8</v>
      </c>
      <c r="H384">
        <v>50.1</v>
      </c>
      <c r="I384" s="8" t="s">
        <v>22</v>
      </c>
      <c r="J384">
        <v>16</v>
      </c>
      <c r="K384">
        <v>441</v>
      </c>
      <c r="L384">
        <v>7</v>
      </c>
      <c r="M384" s="8" t="s">
        <v>19</v>
      </c>
      <c r="N384">
        <v>91.1</v>
      </c>
      <c r="O384">
        <v>240</v>
      </c>
      <c r="P384">
        <v>1</v>
      </c>
      <c r="Q384">
        <v>2</v>
      </c>
      <c r="R384">
        <v>2024</v>
      </c>
      <c r="S384">
        <v>3</v>
      </c>
      <c r="T384" s="8" t="s">
        <v>93</v>
      </c>
      <c r="U384">
        <v>0</v>
      </c>
      <c r="V384">
        <v>0</v>
      </c>
      <c r="W384">
        <v>2</v>
      </c>
      <c r="X384">
        <v>1</v>
      </c>
      <c r="Y384">
        <v>0</v>
      </c>
      <c r="Z384">
        <v>0</v>
      </c>
    </row>
    <row r="385" spans="1:26" x14ac:dyDescent="0.25">
      <c r="A385" s="1">
        <v>45590.246261574073</v>
      </c>
      <c r="B385" s="8" t="s">
        <v>33</v>
      </c>
      <c r="C385">
        <v>29.341999999999999</v>
      </c>
      <c r="D385">
        <v>-68.568200000000004</v>
      </c>
      <c r="E385">
        <v>452</v>
      </c>
      <c r="F385" s="8" t="s">
        <v>21</v>
      </c>
      <c r="G385">
        <v>26.7</v>
      </c>
      <c r="H385">
        <v>64.099999999999994</v>
      </c>
      <c r="I385" s="8" t="s">
        <v>28</v>
      </c>
      <c r="J385">
        <v>36</v>
      </c>
      <c r="K385">
        <v>152</v>
      </c>
      <c r="L385">
        <v>1</v>
      </c>
      <c r="M385" s="8" t="s">
        <v>19</v>
      </c>
      <c r="N385">
        <v>90.1</v>
      </c>
      <c r="O385">
        <v>231</v>
      </c>
      <c r="P385">
        <v>0</v>
      </c>
      <c r="Q385">
        <v>10</v>
      </c>
      <c r="R385">
        <v>2024</v>
      </c>
      <c r="S385">
        <v>5</v>
      </c>
      <c r="T385" s="8" t="s">
        <v>91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s="1">
        <v>45491.979768518519</v>
      </c>
      <c r="B386" s="8" t="s">
        <v>25</v>
      </c>
      <c r="C386">
        <v>-20.6524</v>
      </c>
      <c r="D386">
        <v>-102.5762</v>
      </c>
      <c r="E386">
        <v>228</v>
      </c>
      <c r="F386" s="8" t="s">
        <v>26</v>
      </c>
      <c r="G386">
        <v>28.7</v>
      </c>
      <c r="H386">
        <v>65</v>
      </c>
      <c r="I386" s="8" t="s">
        <v>22</v>
      </c>
      <c r="J386">
        <v>26</v>
      </c>
      <c r="K386">
        <v>271</v>
      </c>
      <c r="L386">
        <v>3</v>
      </c>
      <c r="M386" s="8" t="s">
        <v>27</v>
      </c>
      <c r="N386">
        <v>66</v>
      </c>
      <c r="O386">
        <v>290</v>
      </c>
      <c r="P386">
        <v>1</v>
      </c>
      <c r="Q386">
        <v>7</v>
      </c>
      <c r="R386">
        <v>2024</v>
      </c>
      <c r="S386">
        <v>4</v>
      </c>
      <c r="T386" s="8" t="s">
        <v>92</v>
      </c>
      <c r="U386">
        <v>0</v>
      </c>
      <c r="V386">
        <v>1</v>
      </c>
      <c r="W386">
        <v>2</v>
      </c>
      <c r="X386">
        <v>1</v>
      </c>
      <c r="Y386">
        <v>0</v>
      </c>
      <c r="Z386">
        <v>0</v>
      </c>
    </row>
    <row r="387" spans="1:26" x14ac:dyDescent="0.25">
      <c r="A387" s="1">
        <v>45350.977696759262</v>
      </c>
      <c r="B387" s="8" t="s">
        <v>24</v>
      </c>
      <c r="C387">
        <v>-88.695999999999998</v>
      </c>
      <c r="D387">
        <v>117.39019999999999</v>
      </c>
      <c r="E387">
        <v>288</v>
      </c>
      <c r="F387" s="8" t="s">
        <v>26</v>
      </c>
      <c r="G387">
        <v>27.1</v>
      </c>
      <c r="H387">
        <v>69.400000000000006</v>
      </c>
      <c r="I387" s="8" t="s">
        <v>22</v>
      </c>
      <c r="J387">
        <v>37</v>
      </c>
      <c r="K387">
        <v>144</v>
      </c>
      <c r="L387">
        <v>2</v>
      </c>
      <c r="M387" s="8" t="s">
        <v>19</v>
      </c>
      <c r="N387">
        <v>63.6</v>
      </c>
      <c r="O387">
        <v>126</v>
      </c>
      <c r="P387">
        <v>1</v>
      </c>
      <c r="Q387">
        <v>2</v>
      </c>
      <c r="R387">
        <v>2024</v>
      </c>
      <c r="S387">
        <v>3</v>
      </c>
      <c r="T387" s="8" t="s">
        <v>93</v>
      </c>
      <c r="U387">
        <v>0</v>
      </c>
      <c r="V387">
        <v>1</v>
      </c>
      <c r="W387">
        <v>2</v>
      </c>
      <c r="X387">
        <v>1</v>
      </c>
      <c r="Y387">
        <v>0</v>
      </c>
      <c r="Z387">
        <v>0</v>
      </c>
    </row>
    <row r="388" spans="1:26" x14ac:dyDescent="0.25">
      <c r="A388" s="1">
        <v>45486.65347222222</v>
      </c>
      <c r="B388" s="8" t="s">
        <v>24</v>
      </c>
      <c r="C388">
        <v>-27.031500000000001</v>
      </c>
      <c r="D388">
        <v>40.245100000000001</v>
      </c>
      <c r="E388">
        <v>133</v>
      </c>
      <c r="F388" s="8" t="s">
        <v>17</v>
      </c>
      <c r="G388">
        <v>18.600000000000001</v>
      </c>
      <c r="H388">
        <v>79.400000000000006</v>
      </c>
      <c r="I388" s="8" t="s">
        <v>28</v>
      </c>
      <c r="J388">
        <v>14</v>
      </c>
      <c r="K388">
        <v>314</v>
      </c>
      <c r="L388">
        <v>10</v>
      </c>
      <c r="M388" s="8" t="s">
        <v>31</v>
      </c>
      <c r="N388">
        <v>98.8</v>
      </c>
      <c r="O388">
        <v>109</v>
      </c>
      <c r="P388">
        <v>1</v>
      </c>
      <c r="Q388">
        <v>7</v>
      </c>
      <c r="R388">
        <v>2024</v>
      </c>
      <c r="S388">
        <v>6</v>
      </c>
      <c r="T388" s="8" t="s">
        <v>92</v>
      </c>
      <c r="U388">
        <v>1</v>
      </c>
      <c r="V388">
        <v>2</v>
      </c>
      <c r="W388">
        <v>0</v>
      </c>
      <c r="X388">
        <v>0</v>
      </c>
      <c r="Y388">
        <v>1</v>
      </c>
      <c r="Z388">
        <v>0</v>
      </c>
    </row>
    <row r="389" spans="1:26" x14ac:dyDescent="0.25">
      <c r="A389" s="1">
        <v>45464.175636574073</v>
      </c>
      <c r="B389" s="8" t="s">
        <v>20</v>
      </c>
      <c r="C389">
        <v>25.513500000000001</v>
      </c>
      <c r="D389">
        <v>-147.3897</v>
      </c>
      <c r="E389">
        <v>117</v>
      </c>
      <c r="F389" s="8" t="s">
        <v>21</v>
      </c>
      <c r="G389">
        <v>29.7</v>
      </c>
      <c r="H389">
        <v>63.7</v>
      </c>
      <c r="I389" s="8" t="s">
        <v>28</v>
      </c>
      <c r="J389">
        <v>17</v>
      </c>
      <c r="K389">
        <v>159</v>
      </c>
      <c r="L389">
        <v>8</v>
      </c>
      <c r="M389" s="8" t="s">
        <v>19</v>
      </c>
      <c r="N389">
        <v>77</v>
      </c>
      <c r="O389">
        <v>106</v>
      </c>
      <c r="P389">
        <v>0</v>
      </c>
      <c r="Q389">
        <v>6</v>
      </c>
      <c r="R389">
        <v>2024</v>
      </c>
      <c r="S389">
        <v>5</v>
      </c>
      <c r="T389" s="8" t="s">
        <v>92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25">
      <c r="A390" s="1">
        <v>45564.74895833333</v>
      </c>
      <c r="B390" s="8" t="s">
        <v>30</v>
      </c>
      <c r="C390">
        <v>68.401399999999995</v>
      </c>
      <c r="D390">
        <v>-52.086199999999998</v>
      </c>
      <c r="E390">
        <v>428</v>
      </c>
      <c r="F390" s="8" t="s">
        <v>17</v>
      </c>
      <c r="G390">
        <v>28.4</v>
      </c>
      <c r="H390">
        <v>74.2</v>
      </c>
      <c r="I390" s="8" t="s">
        <v>28</v>
      </c>
      <c r="J390">
        <v>54</v>
      </c>
      <c r="K390">
        <v>492</v>
      </c>
      <c r="L390">
        <v>1</v>
      </c>
      <c r="M390" s="8" t="s">
        <v>19</v>
      </c>
      <c r="N390">
        <v>86.2</v>
      </c>
      <c r="O390">
        <v>286</v>
      </c>
      <c r="P390">
        <v>1</v>
      </c>
      <c r="Q390">
        <v>9</v>
      </c>
      <c r="R390">
        <v>2024</v>
      </c>
      <c r="S390">
        <v>0</v>
      </c>
      <c r="T390" s="8" t="s">
        <v>91</v>
      </c>
      <c r="U390">
        <v>0</v>
      </c>
      <c r="V390">
        <v>2</v>
      </c>
      <c r="W390">
        <v>0</v>
      </c>
      <c r="X390">
        <v>0</v>
      </c>
      <c r="Y390">
        <v>0</v>
      </c>
      <c r="Z390">
        <v>1</v>
      </c>
    </row>
    <row r="391" spans="1:26" x14ac:dyDescent="0.25">
      <c r="A391" s="1">
        <v>45448.314363425925</v>
      </c>
      <c r="B391" s="8" t="s">
        <v>32</v>
      </c>
      <c r="C391">
        <v>-7.1543000000000001</v>
      </c>
      <c r="D391">
        <v>-132.8372</v>
      </c>
      <c r="E391">
        <v>381</v>
      </c>
      <c r="F391" s="8" t="s">
        <v>26</v>
      </c>
      <c r="G391">
        <v>18</v>
      </c>
      <c r="H391">
        <v>53</v>
      </c>
      <c r="I391" s="8" t="s">
        <v>28</v>
      </c>
      <c r="J391">
        <v>25</v>
      </c>
      <c r="K391">
        <v>398</v>
      </c>
      <c r="L391">
        <v>9</v>
      </c>
      <c r="M391" s="8" t="s">
        <v>23</v>
      </c>
      <c r="N391">
        <v>94.6</v>
      </c>
      <c r="O391">
        <v>100</v>
      </c>
      <c r="P391">
        <v>0</v>
      </c>
      <c r="Q391">
        <v>6</v>
      </c>
      <c r="R391">
        <v>2024</v>
      </c>
      <c r="S391">
        <v>3</v>
      </c>
      <c r="T391" s="8" t="s">
        <v>92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</row>
    <row r="392" spans="1:26" x14ac:dyDescent="0.25">
      <c r="A392" s="1">
        <v>45645.894803240742</v>
      </c>
      <c r="B392" s="8" t="s">
        <v>25</v>
      </c>
      <c r="C392">
        <v>-78.276300000000006</v>
      </c>
      <c r="D392">
        <v>151.39429999999999</v>
      </c>
      <c r="E392">
        <v>166</v>
      </c>
      <c r="F392" s="8" t="s">
        <v>17</v>
      </c>
      <c r="G392">
        <v>22.5</v>
      </c>
      <c r="H392">
        <v>53.8</v>
      </c>
      <c r="I392" s="8" t="s">
        <v>28</v>
      </c>
      <c r="J392">
        <v>57</v>
      </c>
      <c r="K392">
        <v>442</v>
      </c>
      <c r="L392">
        <v>6</v>
      </c>
      <c r="M392" s="8" t="s">
        <v>23</v>
      </c>
      <c r="N392">
        <v>72.099999999999994</v>
      </c>
      <c r="O392">
        <v>284</v>
      </c>
      <c r="P392">
        <v>1</v>
      </c>
      <c r="Q392">
        <v>12</v>
      </c>
      <c r="R392">
        <v>2024</v>
      </c>
      <c r="S392">
        <v>4</v>
      </c>
      <c r="T392" s="8" t="s">
        <v>93</v>
      </c>
      <c r="U392">
        <v>0</v>
      </c>
      <c r="V392">
        <v>2</v>
      </c>
      <c r="W392">
        <v>0</v>
      </c>
      <c r="X392">
        <v>0</v>
      </c>
      <c r="Y392">
        <v>0</v>
      </c>
      <c r="Z392">
        <v>1</v>
      </c>
    </row>
    <row r="393" spans="1:26" x14ac:dyDescent="0.25">
      <c r="A393" s="1">
        <v>45405.785717592589</v>
      </c>
      <c r="B393" s="8" t="s">
        <v>30</v>
      </c>
      <c r="C393">
        <v>33.966500000000003</v>
      </c>
      <c r="D393">
        <v>-46.542299999999997</v>
      </c>
      <c r="E393">
        <v>225</v>
      </c>
      <c r="F393" s="8" t="s">
        <v>21</v>
      </c>
      <c r="G393">
        <v>26.1</v>
      </c>
      <c r="H393">
        <v>75.8</v>
      </c>
      <c r="I393" s="8" t="s">
        <v>22</v>
      </c>
      <c r="J393">
        <v>41</v>
      </c>
      <c r="K393">
        <v>286</v>
      </c>
      <c r="L393">
        <v>3</v>
      </c>
      <c r="M393" s="8" t="s">
        <v>31</v>
      </c>
      <c r="N393">
        <v>72.900000000000006</v>
      </c>
      <c r="O393">
        <v>224</v>
      </c>
      <c r="P393">
        <v>1</v>
      </c>
      <c r="Q393">
        <v>4</v>
      </c>
      <c r="R393">
        <v>2024</v>
      </c>
      <c r="S393">
        <v>2</v>
      </c>
      <c r="T393" s="8" t="s">
        <v>90</v>
      </c>
      <c r="U393">
        <v>0</v>
      </c>
      <c r="V393">
        <v>0</v>
      </c>
      <c r="W393">
        <v>2</v>
      </c>
      <c r="X393">
        <v>1</v>
      </c>
      <c r="Y393">
        <v>1</v>
      </c>
      <c r="Z393">
        <v>0</v>
      </c>
    </row>
    <row r="394" spans="1:26" x14ac:dyDescent="0.25">
      <c r="A394" s="1">
        <v>45339.839872685188</v>
      </c>
      <c r="B394" s="8" t="s">
        <v>30</v>
      </c>
      <c r="C394">
        <v>-59.689900000000002</v>
      </c>
      <c r="D394">
        <v>143.0428</v>
      </c>
      <c r="E394">
        <v>364</v>
      </c>
      <c r="F394" s="8" t="s">
        <v>17</v>
      </c>
      <c r="G394">
        <v>18.8</v>
      </c>
      <c r="H394">
        <v>68.2</v>
      </c>
      <c r="I394" s="8" t="s">
        <v>18</v>
      </c>
      <c r="J394">
        <v>41</v>
      </c>
      <c r="K394">
        <v>373</v>
      </c>
      <c r="L394">
        <v>1</v>
      </c>
      <c r="M394" s="8" t="s">
        <v>23</v>
      </c>
      <c r="N394">
        <v>88.7</v>
      </c>
      <c r="O394">
        <v>215</v>
      </c>
      <c r="P394">
        <v>1</v>
      </c>
      <c r="Q394">
        <v>2</v>
      </c>
      <c r="R394">
        <v>2024</v>
      </c>
      <c r="S394">
        <v>6</v>
      </c>
      <c r="T394" s="8" t="s">
        <v>93</v>
      </c>
      <c r="U394">
        <v>1</v>
      </c>
      <c r="V394">
        <v>2</v>
      </c>
      <c r="W394">
        <v>1</v>
      </c>
      <c r="X394">
        <v>0</v>
      </c>
      <c r="Y394">
        <v>0</v>
      </c>
      <c r="Z394">
        <v>0</v>
      </c>
    </row>
    <row r="395" spans="1:26" x14ac:dyDescent="0.25">
      <c r="A395" s="1">
        <v>45494.259074074071</v>
      </c>
      <c r="B395" s="8" t="s">
        <v>16</v>
      </c>
      <c r="C395">
        <v>25.704699999999999</v>
      </c>
      <c r="D395">
        <v>150.6302</v>
      </c>
      <c r="E395">
        <v>318</v>
      </c>
      <c r="F395" s="8" t="s">
        <v>21</v>
      </c>
      <c r="G395">
        <v>25.3</v>
      </c>
      <c r="H395">
        <v>74.599999999999994</v>
      </c>
      <c r="I395" s="8" t="s">
        <v>28</v>
      </c>
      <c r="J395">
        <v>32</v>
      </c>
      <c r="K395">
        <v>486</v>
      </c>
      <c r="L395">
        <v>9</v>
      </c>
      <c r="M395" s="8" t="s">
        <v>23</v>
      </c>
      <c r="N395">
        <v>68.099999999999994</v>
      </c>
      <c r="O395">
        <v>277</v>
      </c>
      <c r="P395">
        <v>0</v>
      </c>
      <c r="Q395">
        <v>7</v>
      </c>
      <c r="R395">
        <v>2024</v>
      </c>
      <c r="S395">
        <v>0</v>
      </c>
      <c r="T395" s="8" t="s">
        <v>92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25">
      <c r="A396" s="1">
        <v>45385.225162037037</v>
      </c>
      <c r="B396" s="8" t="s">
        <v>30</v>
      </c>
      <c r="C396">
        <v>15.4009</v>
      </c>
      <c r="D396">
        <v>52.353700000000003</v>
      </c>
      <c r="E396">
        <v>417</v>
      </c>
      <c r="F396" s="8" t="s">
        <v>21</v>
      </c>
      <c r="G396">
        <v>20</v>
      </c>
      <c r="H396">
        <v>61</v>
      </c>
      <c r="I396" s="8" t="s">
        <v>22</v>
      </c>
      <c r="J396">
        <v>54</v>
      </c>
      <c r="K396">
        <v>300</v>
      </c>
      <c r="L396">
        <v>4</v>
      </c>
      <c r="M396" s="8" t="s">
        <v>27</v>
      </c>
      <c r="N396">
        <v>74.5</v>
      </c>
      <c r="O396">
        <v>156</v>
      </c>
      <c r="P396">
        <v>1</v>
      </c>
      <c r="Q396">
        <v>4</v>
      </c>
      <c r="R396">
        <v>2024</v>
      </c>
      <c r="S396">
        <v>3</v>
      </c>
      <c r="T396" s="8" t="s">
        <v>90</v>
      </c>
      <c r="U396">
        <v>0</v>
      </c>
      <c r="V396">
        <v>0</v>
      </c>
      <c r="W396">
        <v>2</v>
      </c>
      <c r="X396">
        <v>1</v>
      </c>
      <c r="Y396">
        <v>0</v>
      </c>
      <c r="Z396">
        <v>1</v>
      </c>
    </row>
    <row r="397" spans="1:26" x14ac:dyDescent="0.25">
      <c r="A397" s="1">
        <v>45587.44703703704</v>
      </c>
      <c r="B397" s="8" t="s">
        <v>16</v>
      </c>
      <c r="C397">
        <v>-86.779899999999998</v>
      </c>
      <c r="D397">
        <v>-102.14960000000001</v>
      </c>
      <c r="E397">
        <v>180</v>
      </c>
      <c r="F397" s="8" t="s">
        <v>17</v>
      </c>
      <c r="G397">
        <v>18.5</v>
      </c>
      <c r="H397">
        <v>52.1</v>
      </c>
      <c r="I397" s="8" t="s">
        <v>28</v>
      </c>
      <c r="J397">
        <v>10</v>
      </c>
      <c r="K397">
        <v>182</v>
      </c>
      <c r="L397">
        <v>5</v>
      </c>
      <c r="M397" s="8" t="s">
        <v>31</v>
      </c>
      <c r="N397">
        <v>99</v>
      </c>
      <c r="O397">
        <v>279</v>
      </c>
      <c r="P397">
        <v>1</v>
      </c>
      <c r="Q397">
        <v>10</v>
      </c>
      <c r="R397">
        <v>2024</v>
      </c>
      <c r="S397">
        <v>2</v>
      </c>
      <c r="T397" s="8" t="s">
        <v>91</v>
      </c>
      <c r="U397">
        <v>0</v>
      </c>
      <c r="V397">
        <v>2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 s="1">
        <v>45410.527025462965</v>
      </c>
      <c r="B398" s="8" t="s">
        <v>32</v>
      </c>
      <c r="C398">
        <v>40.340600000000002</v>
      </c>
      <c r="D398">
        <v>159.07230000000001</v>
      </c>
      <c r="E398">
        <v>134</v>
      </c>
      <c r="F398" s="8" t="s">
        <v>17</v>
      </c>
      <c r="G398">
        <v>24.1</v>
      </c>
      <c r="H398">
        <v>68.2</v>
      </c>
      <c r="I398" s="8" t="s">
        <v>22</v>
      </c>
      <c r="J398">
        <v>35</v>
      </c>
      <c r="K398">
        <v>187</v>
      </c>
      <c r="L398">
        <v>6</v>
      </c>
      <c r="M398" s="8" t="s">
        <v>31</v>
      </c>
      <c r="N398">
        <v>99.9</v>
      </c>
      <c r="O398">
        <v>102</v>
      </c>
      <c r="P398">
        <v>1</v>
      </c>
      <c r="Q398">
        <v>4</v>
      </c>
      <c r="R398">
        <v>2024</v>
      </c>
      <c r="S398">
        <v>0</v>
      </c>
      <c r="T398" s="8" t="s">
        <v>90</v>
      </c>
      <c r="U398">
        <v>0</v>
      </c>
      <c r="V398">
        <v>2</v>
      </c>
      <c r="W398">
        <v>2</v>
      </c>
      <c r="X398">
        <v>1</v>
      </c>
      <c r="Y398">
        <v>0</v>
      </c>
      <c r="Z398">
        <v>0</v>
      </c>
    </row>
    <row r="399" spans="1:26" x14ac:dyDescent="0.25">
      <c r="A399" s="1">
        <v>45563.507835648146</v>
      </c>
      <c r="B399" s="8" t="s">
        <v>32</v>
      </c>
      <c r="C399">
        <v>40.400500000000001</v>
      </c>
      <c r="D399">
        <v>-149.15209999999999</v>
      </c>
      <c r="E399">
        <v>237</v>
      </c>
      <c r="F399" s="8" t="s">
        <v>21</v>
      </c>
      <c r="G399">
        <v>28.1</v>
      </c>
      <c r="H399">
        <v>75.5</v>
      </c>
      <c r="I399" s="8" t="s">
        <v>18</v>
      </c>
      <c r="J399">
        <v>18</v>
      </c>
      <c r="K399">
        <v>349</v>
      </c>
      <c r="L399">
        <v>2</v>
      </c>
      <c r="M399" s="8" t="s">
        <v>23</v>
      </c>
      <c r="N399">
        <v>90.5</v>
      </c>
      <c r="O399">
        <v>189</v>
      </c>
      <c r="P399">
        <v>0</v>
      </c>
      <c r="Q399">
        <v>9</v>
      </c>
      <c r="R399">
        <v>2024</v>
      </c>
      <c r="S399">
        <v>6</v>
      </c>
      <c r="T399" s="8" t="s">
        <v>91</v>
      </c>
      <c r="U399">
        <v>1</v>
      </c>
      <c r="V399">
        <v>0</v>
      </c>
      <c r="W399">
        <v>1</v>
      </c>
      <c r="X399">
        <v>0</v>
      </c>
      <c r="Y399">
        <v>1</v>
      </c>
      <c r="Z399">
        <v>0</v>
      </c>
    </row>
    <row r="400" spans="1:26" x14ac:dyDescent="0.25">
      <c r="A400" s="1">
        <v>45544.493923611109</v>
      </c>
      <c r="B400" s="8" t="s">
        <v>34</v>
      </c>
      <c r="C400">
        <v>-85.135199999999998</v>
      </c>
      <c r="D400">
        <v>73.251099999999994</v>
      </c>
      <c r="E400">
        <v>259</v>
      </c>
      <c r="F400" s="8" t="s">
        <v>17</v>
      </c>
      <c r="G400">
        <v>26.6</v>
      </c>
      <c r="H400">
        <v>53</v>
      </c>
      <c r="I400" s="8" t="s">
        <v>28</v>
      </c>
      <c r="J400">
        <v>28</v>
      </c>
      <c r="K400">
        <v>118</v>
      </c>
      <c r="L400">
        <v>4</v>
      </c>
      <c r="M400" s="8" t="s">
        <v>27</v>
      </c>
      <c r="N400">
        <v>60.2</v>
      </c>
      <c r="O400">
        <v>249</v>
      </c>
      <c r="P400">
        <v>1</v>
      </c>
      <c r="Q400">
        <v>9</v>
      </c>
      <c r="R400">
        <v>2024</v>
      </c>
      <c r="S400">
        <v>1</v>
      </c>
      <c r="T400" s="8" t="s">
        <v>91</v>
      </c>
      <c r="U400">
        <v>0</v>
      </c>
      <c r="V400">
        <v>2</v>
      </c>
      <c r="W400">
        <v>0</v>
      </c>
      <c r="X400">
        <v>0</v>
      </c>
      <c r="Y400">
        <v>0</v>
      </c>
      <c r="Z400">
        <v>0</v>
      </c>
    </row>
    <row r="401" spans="1:26" x14ac:dyDescent="0.25">
      <c r="A401" s="1">
        <v>45567.909201388888</v>
      </c>
      <c r="B401" s="8" t="s">
        <v>33</v>
      </c>
      <c r="C401">
        <v>-1.28</v>
      </c>
      <c r="D401">
        <v>1.0167999999999999</v>
      </c>
      <c r="E401">
        <v>463</v>
      </c>
      <c r="F401" s="8" t="s">
        <v>21</v>
      </c>
      <c r="G401">
        <v>19.8</v>
      </c>
      <c r="H401">
        <v>54.5</v>
      </c>
      <c r="I401" s="8" t="s">
        <v>22</v>
      </c>
      <c r="J401">
        <v>12</v>
      </c>
      <c r="K401">
        <v>408</v>
      </c>
      <c r="L401">
        <v>8</v>
      </c>
      <c r="M401" s="8" t="s">
        <v>27</v>
      </c>
      <c r="N401">
        <v>71.2</v>
      </c>
      <c r="O401">
        <v>229</v>
      </c>
      <c r="P401">
        <v>1</v>
      </c>
      <c r="Q401">
        <v>10</v>
      </c>
      <c r="R401">
        <v>2024</v>
      </c>
      <c r="S401">
        <v>3</v>
      </c>
      <c r="T401" s="8" t="s">
        <v>91</v>
      </c>
      <c r="U401">
        <v>0</v>
      </c>
      <c r="V401">
        <v>0</v>
      </c>
      <c r="W401">
        <v>2</v>
      </c>
      <c r="X401">
        <v>1</v>
      </c>
      <c r="Y401">
        <v>0</v>
      </c>
      <c r="Z401">
        <v>0</v>
      </c>
    </row>
    <row r="402" spans="1:26" x14ac:dyDescent="0.25">
      <c r="A402" s="1">
        <v>45417.237615740742</v>
      </c>
      <c r="B402" s="8" t="s">
        <v>24</v>
      </c>
      <c r="C402">
        <v>45.261699999999998</v>
      </c>
      <c r="D402">
        <v>-152.39519999999999</v>
      </c>
      <c r="E402">
        <v>290</v>
      </c>
      <c r="F402" s="8" t="s">
        <v>26</v>
      </c>
      <c r="G402">
        <v>23.7</v>
      </c>
      <c r="H402">
        <v>53.5</v>
      </c>
      <c r="I402" s="8" t="s">
        <v>18</v>
      </c>
      <c r="J402">
        <v>44</v>
      </c>
      <c r="K402">
        <v>237</v>
      </c>
      <c r="L402">
        <v>5</v>
      </c>
      <c r="M402" s="8" t="s">
        <v>31</v>
      </c>
      <c r="N402">
        <v>85.8</v>
      </c>
      <c r="O402">
        <v>270</v>
      </c>
      <c r="P402">
        <v>0</v>
      </c>
      <c r="Q402">
        <v>5</v>
      </c>
      <c r="R402">
        <v>2024</v>
      </c>
      <c r="S402">
        <v>0</v>
      </c>
      <c r="T402" s="8" t="s">
        <v>90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0</v>
      </c>
    </row>
    <row r="403" spans="1:26" x14ac:dyDescent="0.25">
      <c r="A403" s="1">
        <v>45433.106585648151</v>
      </c>
      <c r="B403" s="8" t="s">
        <v>32</v>
      </c>
      <c r="C403">
        <v>-14.7713</v>
      </c>
      <c r="D403">
        <v>-117.3565</v>
      </c>
      <c r="E403">
        <v>345</v>
      </c>
      <c r="F403" s="8" t="s">
        <v>17</v>
      </c>
      <c r="G403">
        <v>21.3</v>
      </c>
      <c r="H403">
        <v>53.6</v>
      </c>
      <c r="I403" s="8" t="s">
        <v>28</v>
      </c>
      <c r="J403">
        <v>35</v>
      </c>
      <c r="K403">
        <v>388</v>
      </c>
      <c r="L403">
        <v>4</v>
      </c>
      <c r="M403" s="8" t="s">
        <v>23</v>
      </c>
      <c r="N403">
        <v>83.5</v>
      </c>
      <c r="O403">
        <v>159</v>
      </c>
      <c r="P403">
        <v>1</v>
      </c>
      <c r="Q403">
        <v>5</v>
      </c>
      <c r="R403">
        <v>2024</v>
      </c>
      <c r="S403">
        <v>2</v>
      </c>
      <c r="T403" s="8" t="s">
        <v>90</v>
      </c>
      <c r="U403">
        <v>0</v>
      </c>
      <c r="V403">
        <v>2</v>
      </c>
      <c r="W403">
        <v>0</v>
      </c>
      <c r="X403">
        <v>0</v>
      </c>
      <c r="Y403">
        <v>0</v>
      </c>
      <c r="Z403">
        <v>0</v>
      </c>
    </row>
    <row r="404" spans="1:26" x14ac:dyDescent="0.25">
      <c r="A404" s="1">
        <v>45366.930104166669</v>
      </c>
      <c r="B404" s="8" t="s">
        <v>20</v>
      </c>
      <c r="C404">
        <v>51.422499999999999</v>
      </c>
      <c r="D404">
        <v>112.33620000000001</v>
      </c>
      <c r="E404">
        <v>165</v>
      </c>
      <c r="F404" s="8" t="s">
        <v>17</v>
      </c>
      <c r="G404">
        <v>25.6</v>
      </c>
      <c r="H404">
        <v>61.7</v>
      </c>
      <c r="I404" s="8" t="s">
        <v>18</v>
      </c>
      <c r="J404">
        <v>50</v>
      </c>
      <c r="K404">
        <v>149</v>
      </c>
      <c r="L404">
        <v>10</v>
      </c>
      <c r="M404" s="8" t="s">
        <v>27</v>
      </c>
      <c r="N404">
        <v>62.6</v>
      </c>
      <c r="O404">
        <v>252</v>
      </c>
      <c r="P404">
        <v>1</v>
      </c>
      <c r="Q404">
        <v>3</v>
      </c>
      <c r="R404">
        <v>2024</v>
      </c>
      <c r="S404">
        <v>5</v>
      </c>
      <c r="T404" s="8" t="s">
        <v>90</v>
      </c>
      <c r="U404">
        <v>1</v>
      </c>
      <c r="V404">
        <v>2</v>
      </c>
      <c r="W404">
        <v>1</v>
      </c>
      <c r="X404">
        <v>0</v>
      </c>
      <c r="Y404">
        <v>0</v>
      </c>
      <c r="Z404">
        <v>1</v>
      </c>
    </row>
    <row r="405" spans="1:26" x14ac:dyDescent="0.25">
      <c r="A405" s="1">
        <v>45329.823495370372</v>
      </c>
      <c r="B405" s="8" t="s">
        <v>33</v>
      </c>
      <c r="C405">
        <v>-15.299099999999999</v>
      </c>
      <c r="D405">
        <v>-95.011200000000002</v>
      </c>
      <c r="E405">
        <v>259</v>
      </c>
      <c r="F405" s="8" t="s">
        <v>21</v>
      </c>
      <c r="G405">
        <v>27</v>
      </c>
      <c r="H405">
        <v>79.7</v>
      </c>
      <c r="I405" s="8" t="s">
        <v>22</v>
      </c>
      <c r="J405">
        <v>15</v>
      </c>
      <c r="K405">
        <v>167</v>
      </c>
      <c r="L405">
        <v>9</v>
      </c>
      <c r="M405" s="8" t="s">
        <v>27</v>
      </c>
      <c r="N405">
        <v>88.6</v>
      </c>
      <c r="O405">
        <v>147</v>
      </c>
      <c r="P405">
        <v>1</v>
      </c>
      <c r="Q405">
        <v>2</v>
      </c>
      <c r="R405">
        <v>2024</v>
      </c>
      <c r="S405">
        <v>3</v>
      </c>
      <c r="T405" s="8" t="s">
        <v>93</v>
      </c>
      <c r="U405">
        <v>0</v>
      </c>
      <c r="V405">
        <v>0</v>
      </c>
      <c r="W405">
        <v>2</v>
      </c>
      <c r="X405">
        <v>1</v>
      </c>
      <c r="Y405">
        <v>1</v>
      </c>
      <c r="Z405">
        <v>0</v>
      </c>
    </row>
    <row r="406" spans="1:26" x14ac:dyDescent="0.25">
      <c r="A406" s="1">
        <v>45423.221365740741</v>
      </c>
      <c r="B406" s="8" t="s">
        <v>16</v>
      </c>
      <c r="C406">
        <v>86.6678</v>
      </c>
      <c r="D406">
        <v>-139.69550000000001</v>
      </c>
      <c r="E406">
        <v>330</v>
      </c>
      <c r="F406" s="8" t="s">
        <v>26</v>
      </c>
      <c r="G406">
        <v>26.9</v>
      </c>
      <c r="H406">
        <v>62.9</v>
      </c>
      <c r="I406" s="8" t="s">
        <v>18</v>
      </c>
      <c r="J406">
        <v>47</v>
      </c>
      <c r="K406">
        <v>382</v>
      </c>
      <c r="L406">
        <v>6</v>
      </c>
      <c r="M406" s="8" t="s">
        <v>23</v>
      </c>
      <c r="N406">
        <v>90.3</v>
      </c>
      <c r="O406">
        <v>115</v>
      </c>
      <c r="P406">
        <v>0</v>
      </c>
      <c r="Q406">
        <v>5</v>
      </c>
      <c r="R406">
        <v>2024</v>
      </c>
      <c r="S406">
        <v>6</v>
      </c>
      <c r="T406" s="8" t="s">
        <v>90</v>
      </c>
      <c r="U406">
        <v>1</v>
      </c>
      <c r="V406">
        <v>1</v>
      </c>
      <c r="W406">
        <v>1</v>
      </c>
      <c r="X406">
        <v>0</v>
      </c>
      <c r="Y406">
        <v>0</v>
      </c>
      <c r="Z406">
        <v>1</v>
      </c>
    </row>
    <row r="407" spans="1:26" x14ac:dyDescent="0.25">
      <c r="A407" s="1">
        <v>45322.23028935185</v>
      </c>
      <c r="B407" s="8" t="s">
        <v>34</v>
      </c>
      <c r="C407">
        <v>44.544199999999996</v>
      </c>
      <c r="D407">
        <v>-73.434600000000003</v>
      </c>
      <c r="E407">
        <v>467</v>
      </c>
      <c r="F407" s="8" t="s">
        <v>26</v>
      </c>
      <c r="G407">
        <v>19.3</v>
      </c>
      <c r="H407">
        <v>62.1</v>
      </c>
      <c r="I407" s="8" t="s">
        <v>18</v>
      </c>
      <c r="J407">
        <v>39</v>
      </c>
      <c r="K407">
        <v>180</v>
      </c>
      <c r="L407">
        <v>8</v>
      </c>
      <c r="M407" s="8" t="s">
        <v>31</v>
      </c>
      <c r="N407">
        <v>63.8</v>
      </c>
      <c r="O407">
        <v>145</v>
      </c>
      <c r="P407">
        <v>0</v>
      </c>
      <c r="Q407">
        <v>1</v>
      </c>
      <c r="R407">
        <v>2024</v>
      </c>
      <c r="S407">
        <v>3</v>
      </c>
      <c r="T407" s="8" t="s">
        <v>93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0</v>
      </c>
    </row>
    <row r="408" spans="1:26" x14ac:dyDescent="0.25">
      <c r="A408" s="1">
        <v>45597.061203703706</v>
      </c>
      <c r="B408" s="8" t="s">
        <v>33</v>
      </c>
      <c r="C408">
        <v>-48.450299999999999</v>
      </c>
      <c r="D408">
        <v>-99.997799999999998</v>
      </c>
      <c r="E408">
        <v>329</v>
      </c>
      <c r="F408" s="8" t="s">
        <v>21</v>
      </c>
      <c r="G408">
        <v>26.7</v>
      </c>
      <c r="H408">
        <v>56.2</v>
      </c>
      <c r="I408" s="8" t="s">
        <v>18</v>
      </c>
      <c r="J408">
        <v>16</v>
      </c>
      <c r="K408">
        <v>261</v>
      </c>
      <c r="L408">
        <v>9</v>
      </c>
      <c r="M408" s="8" t="s">
        <v>27</v>
      </c>
      <c r="N408">
        <v>90.7</v>
      </c>
      <c r="O408">
        <v>104</v>
      </c>
      <c r="P408">
        <v>0</v>
      </c>
      <c r="Q408">
        <v>11</v>
      </c>
      <c r="R408">
        <v>2024</v>
      </c>
      <c r="S408">
        <v>5</v>
      </c>
      <c r="T408" s="8" t="s">
        <v>91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</row>
    <row r="409" spans="1:26" x14ac:dyDescent="0.25">
      <c r="A409" s="1">
        <v>45354.178483796299</v>
      </c>
      <c r="B409" s="8" t="s">
        <v>25</v>
      </c>
      <c r="C409">
        <v>-37.3934</v>
      </c>
      <c r="D409">
        <v>31.409300000000002</v>
      </c>
      <c r="E409">
        <v>122</v>
      </c>
      <c r="F409" s="8" t="s">
        <v>26</v>
      </c>
      <c r="G409">
        <v>22.9</v>
      </c>
      <c r="H409">
        <v>64</v>
      </c>
      <c r="I409" s="8" t="s">
        <v>22</v>
      </c>
      <c r="J409">
        <v>24</v>
      </c>
      <c r="K409">
        <v>409</v>
      </c>
      <c r="L409">
        <v>5</v>
      </c>
      <c r="M409" s="8" t="s">
        <v>31</v>
      </c>
      <c r="N409">
        <v>99.7</v>
      </c>
      <c r="O409">
        <v>184</v>
      </c>
      <c r="P409">
        <v>1</v>
      </c>
      <c r="Q409">
        <v>3</v>
      </c>
      <c r="R409">
        <v>2024</v>
      </c>
      <c r="S409">
        <v>0</v>
      </c>
      <c r="T409" s="8" t="s">
        <v>90</v>
      </c>
      <c r="U409">
        <v>0</v>
      </c>
      <c r="V409">
        <v>1</v>
      </c>
      <c r="W409">
        <v>2</v>
      </c>
      <c r="X409">
        <v>1</v>
      </c>
      <c r="Y409">
        <v>0</v>
      </c>
      <c r="Z409">
        <v>0</v>
      </c>
    </row>
    <row r="410" spans="1:26" x14ac:dyDescent="0.25">
      <c r="A410" s="1">
        <v>45360.007337962961</v>
      </c>
      <c r="B410" s="8" t="s">
        <v>33</v>
      </c>
      <c r="C410">
        <v>34.071199999999997</v>
      </c>
      <c r="D410">
        <v>123.02370000000001</v>
      </c>
      <c r="E410">
        <v>146</v>
      </c>
      <c r="F410" s="8" t="s">
        <v>21</v>
      </c>
      <c r="G410">
        <v>24.2</v>
      </c>
      <c r="H410">
        <v>69.099999999999994</v>
      </c>
      <c r="I410" s="8" t="s">
        <v>28</v>
      </c>
      <c r="J410">
        <v>58</v>
      </c>
      <c r="K410">
        <v>301</v>
      </c>
      <c r="L410">
        <v>2</v>
      </c>
      <c r="M410" s="8" t="s">
        <v>19</v>
      </c>
      <c r="N410">
        <v>82</v>
      </c>
      <c r="O410">
        <v>238</v>
      </c>
      <c r="P410">
        <v>0</v>
      </c>
      <c r="Q410">
        <v>3</v>
      </c>
      <c r="R410">
        <v>2024</v>
      </c>
      <c r="S410">
        <v>6</v>
      </c>
      <c r="T410" s="8" t="s">
        <v>90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 x14ac:dyDescent="0.25">
      <c r="A411" s="1">
        <v>45399.728148148148</v>
      </c>
      <c r="B411" s="8" t="s">
        <v>24</v>
      </c>
      <c r="C411">
        <v>-21.563300000000002</v>
      </c>
      <c r="D411">
        <v>-12.848699999999999</v>
      </c>
      <c r="E411">
        <v>419</v>
      </c>
      <c r="F411" s="8" t="s">
        <v>26</v>
      </c>
      <c r="G411">
        <v>26.1</v>
      </c>
      <c r="H411">
        <v>62</v>
      </c>
      <c r="I411" s="8" t="s">
        <v>22</v>
      </c>
      <c r="J411">
        <v>19</v>
      </c>
      <c r="K411">
        <v>484</v>
      </c>
      <c r="L411">
        <v>8</v>
      </c>
      <c r="M411" s="8" t="s">
        <v>19</v>
      </c>
      <c r="N411">
        <v>96.4</v>
      </c>
      <c r="O411">
        <v>262</v>
      </c>
      <c r="P411">
        <v>1</v>
      </c>
      <c r="Q411">
        <v>4</v>
      </c>
      <c r="R411">
        <v>2024</v>
      </c>
      <c r="S411">
        <v>3</v>
      </c>
      <c r="T411" s="8" t="s">
        <v>90</v>
      </c>
      <c r="U411">
        <v>0</v>
      </c>
      <c r="V411">
        <v>1</v>
      </c>
      <c r="W411">
        <v>2</v>
      </c>
      <c r="X411">
        <v>1</v>
      </c>
      <c r="Y411">
        <v>0</v>
      </c>
      <c r="Z411">
        <v>0</v>
      </c>
    </row>
    <row r="412" spans="1:26" x14ac:dyDescent="0.25">
      <c r="A412" s="1">
        <v>45556.439641203702</v>
      </c>
      <c r="B412" s="8" t="s">
        <v>16</v>
      </c>
      <c r="C412">
        <v>-33.375599999999999</v>
      </c>
      <c r="D412">
        <v>7.8261000000000003</v>
      </c>
      <c r="E412">
        <v>143</v>
      </c>
      <c r="F412" s="8" t="s">
        <v>21</v>
      </c>
      <c r="G412">
        <v>20.100000000000001</v>
      </c>
      <c r="H412">
        <v>57</v>
      </c>
      <c r="I412" s="8" t="s">
        <v>18</v>
      </c>
      <c r="J412">
        <v>41</v>
      </c>
      <c r="K412">
        <v>143</v>
      </c>
      <c r="L412">
        <v>9</v>
      </c>
      <c r="M412" s="8" t="s">
        <v>19</v>
      </c>
      <c r="N412">
        <v>62.1</v>
      </c>
      <c r="O412">
        <v>106</v>
      </c>
      <c r="P412">
        <v>0</v>
      </c>
      <c r="Q412">
        <v>9</v>
      </c>
      <c r="R412">
        <v>2024</v>
      </c>
      <c r="S412">
        <v>6</v>
      </c>
      <c r="T412" s="8" t="s">
        <v>91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</row>
    <row r="413" spans="1:26" x14ac:dyDescent="0.25">
      <c r="A413" s="1">
        <v>45333.438773148147</v>
      </c>
      <c r="B413" s="8" t="s">
        <v>24</v>
      </c>
      <c r="C413">
        <v>-61.848999999999997</v>
      </c>
      <c r="D413">
        <v>-123.7835</v>
      </c>
      <c r="E413">
        <v>445</v>
      </c>
      <c r="F413" s="8" t="s">
        <v>26</v>
      </c>
      <c r="G413">
        <v>19.8</v>
      </c>
      <c r="H413">
        <v>54.1</v>
      </c>
      <c r="I413" s="8" t="s">
        <v>28</v>
      </c>
      <c r="J413">
        <v>39</v>
      </c>
      <c r="K413">
        <v>375</v>
      </c>
      <c r="L413">
        <v>2</v>
      </c>
      <c r="M413" s="8" t="s">
        <v>23</v>
      </c>
      <c r="N413">
        <v>88.3</v>
      </c>
      <c r="O413">
        <v>247</v>
      </c>
      <c r="P413">
        <v>0</v>
      </c>
      <c r="Q413">
        <v>2</v>
      </c>
      <c r="R413">
        <v>2024</v>
      </c>
      <c r="S413">
        <v>0</v>
      </c>
      <c r="T413" s="8" t="s">
        <v>93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</row>
    <row r="414" spans="1:26" x14ac:dyDescent="0.25">
      <c r="A414" s="1">
        <v>45458.499756944446</v>
      </c>
      <c r="B414" s="8" t="s">
        <v>34</v>
      </c>
      <c r="C414">
        <v>88.568600000000004</v>
      </c>
      <c r="D414">
        <v>-161.73820000000001</v>
      </c>
      <c r="E414">
        <v>450</v>
      </c>
      <c r="F414" s="8" t="s">
        <v>17</v>
      </c>
      <c r="G414">
        <v>18.7</v>
      </c>
      <c r="H414">
        <v>56.4</v>
      </c>
      <c r="I414" s="8" t="s">
        <v>18</v>
      </c>
      <c r="J414">
        <v>12</v>
      </c>
      <c r="K414">
        <v>140</v>
      </c>
      <c r="L414">
        <v>8</v>
      </c>
      <c r="M414" s="8" t="s">
        <v>31</v>
      </c>
      <c r="N414">
        <v>61.9</v>
      </c>
      <c r="O414">
        <v>160</v>
      </c>
      <c r="P414">
        <v>1</v>
      </c>
      <c r="Q414">
        <v>6</v>
      </c>
      <c r="R414">
        <v>2024</v>
      </c>
      <c r="S414">
        <v>6</v>
      </c>
      <c r="T414" s="8" t="s">
        <v>92</v>
      </c>
      <c r="U414">
        <v>1</v>
      </c>
      <c r="V414">
        <v>2</v>
      </c>
      <c r="W414">
        <v>1</v>
      </c>
      <c r="X414">
        <v>0</v>
      </c>
      <c r="Y414">
        <v>0</v>
      </c>
      <c r="Z414">
        <v>0</v>
      </c>
    </row>
    <row r="415" spans="1:26" x14ac:dyDescent="0.25">
      <c r="A415" s="1">
        <v>45513.125393518516</v>
      </c>
      <c r="B415" s="8" t="s">
        <v>30</v>
      </c>
      <c r="C415">
        <v>-69.408000000000001</v>
      </c>
      <c r="D415">
        <v>-8.1702999999999992</v>
      </c>
      <c r="E415">
        <v>451</v>
      </c>
      <c r="F415" s="8" t="s">
        <v>26</v>
      </c>
      <c r="G415">
        <v>22.5</v>
      </c>
      <c r="H415">
        <v>51.6</v>
      </c>
      <c r="I415" s="8" t="s">
        <v>18</v>
      </c>
      <c r="J415">
        <v>28</v>
      </c>
      <c r="K415">
        <v>421</v>
      </c>
      <c r="L415">
        <v>6</v>
      </c>
      <c r="M415" s="8" t="s">
        <v>19</v>
      </c>
      <c r="N415">
        <v>68.8</v>
      </c>
      <c r="O415">
        <v>107</v>
      </c>
      <c r="P415">
        <v>0</v>
      </c>
      <c r="Q415">
        <v>8</v>
      </c>
      <c r="R415">
        <v>2024</v>
      </c>
      <c r="S415">
        <v>5</v>
      </c>
      <c r="T415" s="8" t="s">
        <v>92</v>
      </c>
      <c r="U415">
        <v>1</v>
      </c>
      <c r="V415">
        <v>1</v>
      </c>
      <c r="W415">
        <v>1</v>
      </c>
      <c r="X415">
        <v>0</v>
      </c>
      <c r="Y415">
        <v>0</v>
      </c>
      <c r="Z415">
        <v>0</v>
      </c>
    </row>
    <row r="416" spans="1:26" x14ac:dyDescent="0.25">
      <c r="A416" s="1">
        <v>45495.039120370369</v>
      </c>
      <c r="B416" s="8" t="s">
        <v>29</v>
      </c>
      <c r="C416">
        <v>-49.1524</v>
      </c>
      <c r="D416">
        <v>14.116400000000001</v>
      </c>
      <c r="E416">
        <v>425</v>
      </c>
      <c r="F416" s="8" t="s">
        <v>17</v>
      </c>
      <c r="G416">
        <v>22.4</v>
      </c>
      <c r="H416">
        <v>65.900000000000006</v>
      </c>
      <c r="I416" s="8" t="s">
        <v>28</v>
      </c>
      <c r="J416">
        <v>30</v>
      </c>
      <c r="K416">
        <v>452</v>
      </c>
      <c r="L416">
        <v>10</v>
      </c>
      <c r="M416" s="8" t="s">
        <v>27</v>
      </c>
      <c r="N416">
        <v>91.4</v>
      </c>
      <c r="O416">
        <v>163</v>
      </c>
      <c r="P416">
        <v>1</v>
      </c>
      <c r="Q416">
        <v>7</v>
      </c>
      <c r="R416">
        <v>2024</v>
      </c>
      <c r="S416">
        <v>1</v>
      </c>
      <c r="T416" s="8" t="s">
        <v>92</v>
      </c>
      <c r="U416">
        <v>0</v>
      </c>
      <c r="V416">
        <v>2</v>
      </c>
      <c r="W416">
        <v>0</v>
      </c>
      <c r="X416">
        <v>0</v>
      </c>
      <c r="Y416">
        <v>0</v>
      </c>
      <c r="Z416">
        <v>0</v>
      </c>
    </row>
    <row r="417" spans="1:26" x14ac:dyDescent="0.25">
      <c r="A417" s="1">
        <v>45521.317384259259</v>
      </c>
      <c r="B417" s="8" t="s">
        <v>32</v>
      </c>
      <c r="C417">
        <v>27.786999999999999</v>
      </c>
      <c r="D417">
        <v>8.2287999999999997</v>
      </c>
      <c r="E417">
        <v>235</v>
      </c>
      <c r="F417" s="8" t="s">
        <v>26</v>
      </c>
      <c r="G417">
        <v>25.8</v>
      </c>
      <c r="H417">
        <v>62.6</v>
      </c>
      <c r="I417" s="8" t="s">
        <v>22</v>
      </c>
      <c r="J417">
        <v>51</v>
      </c>
      <c r="K417">
        <v>171</v>
      </c>
      <c r="L417">
        <v>6</v>
      </c>
      <c r="M417" s="8" t="s">
        <v>31</v>
      </c>
      <c r="N417">
        <v>87.5</v>
      </c>
      <c r="O417">
        <v>207</v>
      </c>
      <c r="P417">
        <v>1</v>
      </c>
      <c r="Q417">
        <v>8</v>
      </c>
      <c r="R417">
        <v>2024</v>
      </c>
      <c r="S417">
        <v>6</v>
      </c>
      <c r="T417" s="8" t="s">
        <v>92</v>
      </c>
      <c r="U417">
        <v>1</v>
      </c>
      <c r="V417">
        <v>1</v>
      </c>
      <c r="W417">
        <v>2</v>
      </c>
      <c r="X417">
        <v>1</v>
      </c>
      <c r="Y417">
        <v>0</v>
      </c>
      <c r="Z417">
        <v>1</v>
      </c>
    </row>
    <row r="418" spans="1:26" x14ac:dyDescent="0.25">
      <c r="A418" s="1">
        <v>45637.991319444445</v>
      </c>
      <c r="B418" s="8" t="s">
        <v>16</v>
      </c>
      <c r="C418">
        <v>-13.8485</v>
      </c>
      <c r="D418">
        <v>119.2071</v>
      </c>
      <c r="E418">
        <v>181</v>
      </c>
      <c r="F418" s="8" t="s">
        <v>21</v>
      </c>
      <c r="G418">
        <v>29.7</v>
      </c>
      <c r="H418">
        <v>51.8</v>
      </c>
      <c r="I418" s="8" t="s">
        <v>28</v>
      </c>
      <c r="J418">
        <v>38</v>
      </c>
      <c r="K418">
        <v>388</v>
      </c>
      <c r="L418">
        <v>10</v>
      </c>
      <c r="M418" s="8" t="s">
        <v>19</v>
      </c>
      <c r="N418">
        <v>92.4</v>
      </c>
      <c r="O418">
        <v>292</v>
      </c>
      <c r="P418">
        <v>0</v>
      </c>
      <c r="Q418">
        <v>12</v>
      </c>
      <c r="R418">
        <v>2024</v>
      </c>
      <c r="S418">
        <v>3</v>
      </c>
      <c r="T418" s="8" t="s">
        <v>93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25">
      <c r="A419" s="1">
        <v>45547.004618055558</v>
      </c>
      <c r="B419" s="8" t="s">
        <v>33</v>
      </c>
      <c r="C419">
        <v>25.500299999999999</v>
      </c>
      <c r="D419">
        <v>-47.571800000000003</v>
      </c>
      <c r="E419">
        <v>370</v>
      </c>
      <c r="F419" s="8" t="s">
        <v>26</v>
      </c>
      <c r="G419">
        <v>23.5</v>
      </c>
      <c r="H419">
        <v>74.400000000000006</v>
      </c>
      <c r="I419" s="8" t="s">
        <v>22</v>
      </c>
      <c r="J419">
        <v>60</v>
      </c>
      <c r="K419">
        <v>105</v>
      </c>
      <c r="L419">
        <v>1</v>
      </c>
      <c r="M419" s="8" t="s">
        <v>19</v>
      </c>
      <c r="N419">
        <v>99.5</v>
      </c>
      <c r="O419">
        <v>128</v>
      </c>
      <c r="P419">
        <v>1</v>
      </c>
      <c r="Q419">
        <v>9</v>
      </c>
      <c r="R419">
        <v>2024</v>
      </c>
      <c r="S419">
        <v>4</v>
      </c>
      <c r="T419" s="8" t="s">
        <v>91</v>
      </c>
      <c r="U419">
        <v>0</v>
      </c>
      <c r="V419">
        <v>1</v>
      </c>
      <c r="W419">
        <v>2</v>
      </c>
      <c r="X419">
        <v>1</v>
      </c>
      <c r="Y419">
        <v>0</v>
      </c>
      <c r="Z419">
        <v>1</v>
      </c>
    </row>
    <row r="420" spans="1:26" x14ac:dyDescent="0.25">
      <c r="A420" s="1">
        <v>45481.588530092595</v>
      </c>
      <c r="B420" s="8" t="s">
        <v>33</v>
      </c>
      <c r="C420">
        <v>69.410600000000002</v>
      </c>
      <c r="D420">
        <v>61.736800000000002</v>
      </c>
      <c r="E420">
        <v>102</v>
      </c>
      <c r="F420" s="8" t="s">
        <v>17</v>
      </c>
      <c r="G420">
        <v>25.6</v>
      </c>
      <c r="H420">
        <v>76</v>
      </c>
      <c r="I420" s="8" t="s">
        <v>22</v>
      </c>
      <c r="J420">
        <v>50</v>
      </c>
      <c r="K420">
        <v>444</v>
      </c>
      <c r="L420">
        <v>9</v>
      </c>
      <c r="M420" s="8" t="s">
        <v>27</v>
      </c>
      <c r="N420">
        <v>88.3</v>
      </c>
      <c r="O420">
        <v>105</v>
      </c>
      <c r="P420">
        <v>1</v>
      </c>
      <c r="Q420">
        <v>7</v>
      </c>
      <c r="R420">
        <v>2024</v>
      </c>
      <c r="S420">
        <v>1</v>
      </c>
      <c r="T420" s="8" t="s">
        <v>92</v>
      </c>
      <c r="U420">
        <v>0</v>
      </c>
      <c r="V420">
        <v>2</v>
      </c>
      <c r="W420">
        <v>2</v>
      </c>
      <c r="X420">
        <v>1</v>
      </c>
      <c r="Y420">
        <v>1</v>
      </c>
      <c r="Z420">
        <v>1</v>
      </c>
    </row>
    <row r="421" spans="1:26" x14ac:dyDescent="0.25">
      <c r="A421" s="1">
        <v>45357.551793981482</v>
      </c>
      <c r="B421" s="8" t="s">
        <v>33</v>
      </c>
      <c r="C421">
        <v>-6.8963999999999999</v>
      </c>
      <c r="D421">
        <v>-35.541800000000002</v>
      </c>
      <c r="E421">
        <v>200</v>
      </c>
      <c r="F421" s="8" t="s">
        <v>26</v>
      </c>
      <c r="G421">
        <v>18.5</v>
      </c>
      <c r="H421">
        <v>77.7</v>
      </c>
      <c r="I421" s="8" t="s">
        <v>18</v>
      </c>
      <c r="J421">
        <v>24</v>
      </c>
      <c r="K421">
        <v>158</v>
      </c>
      <c r="L421">
        <v>4</v>
      </c>
      <c r="M421" s="8" t="s">
        <v>19</v>
      </c>
      <c r="N421">
        <v>82.5</v>
      </c>
      <c r="O421">
        <v>234</v>
      </c>
      <c r="P421">
        <v>0</v>
      </c>
      <c r="Q421">
        <v>3</v>
      </c>
      <c r="R421">
        <v>2024</v>
      </c>
      <c r="S421">
        <v>3</v>
      </c>
      <c r="T421" s="8" t="s">
        <v>90</v>
      </c>
      <c r="U421">
        <v>0</v>
      </c>
      <c r="V421">
        <v>1</v>
      </c>
      <c r="W421">
        <v>1</v>
      </c>
      <c r="X421">
        <v>0</v>
      </c>
      <c r="Y421">
        <v>1</v>
      </c>
      <c r="Z421">
        <v>0</v>
      </c>
    </row>
    <row r="422" spans="1:26" x14ac:dyDescent="0.25">
      <c r="A422" s="1">
        <v>45595.20517361111</v>
      </c>
      <c r="B422" s="8" t="s">
        <v>20</v>
      </c>
      <c r="C422">
        <v>-0.1148</v>
      </c>
      <c r="D422">
        <v>-127.6784</v>
      </c>
      <c r="E422">
        <v>292</v>
      </c>
      <c r="F422" s="8" t="s">
        <v>21</v>
      </c>
      <c r="G422">
        <v>23.2</v>
      </c>
      <c r="H422">
        <v>68.099999999999994</v>
      </c>
      <c r="I422" s="8" t="s">
        <v>22</v>
      </c>
      <c r="J422">
        <v>41</v>
      </c>
      <c r="K422">
        <v>440</v>
      </c>
      <c r="L422">
        <v>10</v>
      </c>
      <c r="M422" s="8" t="s">
        <v>31</v>
      </c>
      <c r="N422">
        <v>88.9</v>
      </c>
      <c r="O422">
        <v>160</v>
      </c>
      <c r="P422">
        <v>1</v>
      </c>
      <c r="Q422">
        <v>10</v>
      </c>
      <c r="R422">
        <v>2024</v>
      </c>
      <c r="S422">
        <v>3</v>
      </c>
      <c r="T422" s="8" t="s">
        <v>91</v>
      </c>
      <c r="U422">
        <v>0</v>
      </c>
      <c r="V422">
        <v>0</v>
      </c>
      <c r="W422">
        <v>2</v>
      </c>
      <c r="X422">
        <v>1</v>
      </c>
      <c r="Y422">
        <v>0</v>
      </c>
      <c r="Z422">
        <v>0</v>
      </c>
    </row>
    <row r="423" spans="1:26" x14ac:dyDescent="0.25">
      <c r="A423" s="1">
        <v>45572.454629629632</v>
      </c>
      <c r="B423" s="8" t="s">
        <v>34</v>
      </c>
      <c r="C423">
        <v>-41.427900000000001</v>
      </c>
      <c r="D423">
        <v>178.86940000000001</v>
      </c>
      <c r="E423">
        <v>401</v>
      </c>
      <c r="F423" s="8" t="s">
        <v>21</v>
      </c>
      <c r="G423">
        <v>28.2</v>
      </c>
      <c r="H423">
        <v>51</v>
      </c>
      <c r="I423" s="8" t="s">
        <v>28</v>
      </c>
      <c r="J423">
        <v>51</v>
      </c>
      <c r="K423">
        <v>327</v>
      </c>
      <c r="L423">
        <v>3</v>
      </c>
      <c r="M423" s="8" t="s">
        <v>19</v>
      </c>
      <c r="N423">
        <v>85.6</v>
      </c>
      <c r="O423">
        <v>138</v>
      </c>
      <c r="P423">
        <v>0</v>
      </c>
      <c r="Q423">
        <v>10</v>
      </c>
      <c r="R423">
        <v>2024</v>
      </c>
      <c r="S423">
        <v>1</v>
      </c>
      <c r="T423" s="8" t="s">
        <v>91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 x14ac:dyDescent="0.25">
      <c r="A424" s="1">
        <v>45449.953252314815</v>
      </c>
      <c r="B424" s="8" t="s">
        <v>33</v>
      </c>
      <c r="C424">
        <v>-0.93330000000000002</v>
      </c>
      <c r="D424">
        <v>124.84950000000001</v>
      </c>
      <c r="E424">
        <v>305</v>
      </c>
      <c r="F424" s="8" t="s">
        <v>17</v>
      </c>
      <c r="G424">
        <v>27.4</v>
      </c>
      <c r="H424">
        <v>50.8</v>
      </c>
      <c r="I424" s="8" t="s">
        <v>28</v>
      </c>
      <c r="J424">
        <v>34</v>
      </c>
      <c r="K424">
        <v>474</v>
      </c>
      <c r="L424">
        <v>1</v>
      </c>
      <c r="M424" s="8" t="s">
        <v>31</v>
      </c>
      <c r="N424">
        <v>82</v>
      </c>
      <c r="O424">
        <v>226</v>
      </c>
      <c r="P424">
        <v>1</v>
      </c>
      <c r="Q424">
        <v>6</v>
      </c>
      <c r="R424">
        <v>2024</v>
      </c>
      <c r="S424">
        <v>4</v>
      </c>
      <c r="T424" s="8" t="s">
        <v>92</v>
      </c>
      <c r="U424">
        <v>0</v>
      </c>
      <c r="V424">
        <v>2</v>
      </c>
      <c r="W424">
        <v>0</v>
      </c>
      <c r="X424">
        <v>0</v>
      </c>
      <c r="Y424">
        <v>0</v>
      </c>
      <c r="Z424">
        <v>0</v>
      </c>
    </row>
    <row r="425" spans="1:26" x14ac:dyDescent="0.25">
      <c r="A425" s="1">
        <v>45402.010115740741</v>
      </c>
      <c r="B425" s="8" t="s">
        <v>33</v>
      </c>
      <c r="C425">
        <v>-58.217500000000001</v>
      </c>
      <c r="D425">
        <v>7.2698999999999998</v>
      </c>
      <c r="E425">
        <v>441</v>
      </c>
      <c r="F425" s="8" t="s">
        <v>21</v>
      </c>
      <c r="G425">
        <v>25</v>
      </c>
      <c r="H425">
        <v>75.400000000000006</v>
      </c>
      <c r="I425" s="8" t="s">
        <v>22</v>
      </c>
      <c r="J425">
        <v>58</v>
      </c>
      <c r="K425">
        <v>149</v>
      </c>
      <c r="L425">
        <v>10</v>
      </c>
      <c r="M425" s="8" t="s">
        <v>27</v>
      </c>
      <c r="N425">
        <v>61.3</v>
      </c>
      <c r="O425">
        <v>247</v>
      </c>
      <c r="P425">
        <v>1</v>
      </c>
      <c r="Q425">
        <v>4</v>
      </c>
      <c r="R425">
        <v>2024</v>
      </c>
      <c r="S425">
        <v>6</v>
      </c>
      <c r="T425" s="8" t="s">
        <v>90</v>
      </c>
      <c r="U425">
        <v>1</v>
      </c>
      <c r="V425">
        <v>0</v>
      </c>
      <c r="W425">
        <v>2</v>
      </c>
      <c r="X425">
        <v>1</v>
      </c>
      <c r="Y425">
        <v>1</v>
      </c>
      <c r="Z425">
        <v>1</v>
      </c>
    </row>
    <row r="426" spans="1:26" x14ac:dyDescent="0.25">
      <c r="A426" s="1">
        <v>45506.007569444446</v>
      </c>
      <c r="B426" s="8" t="s">
        <v>30</v>
      </c>
      <c r="C426">
        <v>83.328699999999998</v>
      </c>
      <c r="D426">
        <v>-84.273799999999994</v>
      </c>
      <c r="E426">
        <v>130</v>
      </c>
      <c r="F426" s="8" t="s">
        <v>17</v>
      </c>
      <c r="G426">
        <v>18.7</v>
      </c>
      <c r="H426">
        <v>67.2</v>
      </c>
      <c r="I426" s="8" t="s">
        <v>28</v>
      </c>
      <c r="J426">
        <v>47</v>
      </c>
      <c r="K426">
        <v>367</v>
      </c>
      <c r="L426">
        <v>1</v>
      </c>
      <c r="M426" s="8" t="s">
        <v>27</v>
      </c>
      <c r="N426">
        <v>81.7</v>
      </c>
      <c r="O426">
        <v>131</v>
      </c>
      <c r="P426">
        <v>1</v>
      </c>
      <c r="Q426">
        <v>8</v>
      </c>
      <c r="R426">
        <v>2024</v>
      </c>
      <c r="S426">
        <v>5</v>
      </c>
      <c r="T426" s="8" t="s">
        <v>92</v>
      </c>
      <c r="U426">
        <v>1</v>
      </c>
      <c r="V426">
        <v>2</v>
      </c>
      <c r="W426">
        <v>0</v>
      </c>
      <c r="X426">
        <v>0</v>
      </c>
      <c r="Y426">
        <v>0</v>
      </c>
      <c r="Z426">
        <v>1</v>
      </c>
    </row>
    <row r="427" spans="1:26" x14ac:dyDescent="0.25">
      <c r="A427" s="1">
        <v>45568.120868055557</v>
      </c>
      <c r="B427" s="8" t="s">
        <v>20</v>
      </c>
      <c r="C427">
        <v>-33.2637</v>
      </c>
      <c r="D427">
        <v>45.412199999999999</v>
      </c>
      <c r="E427">
        <v>265</v>
      </c>
      <c r="F427" s="8" t="s">
        <v>21</v>
      </c>
      <c r="G427">
        <v>23.4</v>
      </c>
      <c r="H427">
        <v>56.1</v>
      </c>
      <c r="I427" s="8" t="s">
        <v>18</v>
      </c>
      <c r="J427">
        <v>34</v>
      </c>
      <c r="K427">
        <v>406</v>
      </c>
      <c r="L427">
        <v>6</v>
      </c>
      <c r="M427" s="8" t="s">
        <v>31</v>
      </c>
      <c r="N427">
        <v>95</v>
      </c>
      <c r="O427">
        <v>133</v>
      </c>
      <c r="P427">
        <v>0</v>
      </c>
      <c r="Q427">
        <v>10</v>
      </c>
      <c r="R427">
        <v>2024</v>
      </c>
      <c r="S427">
        <v>4</v>
      </c>
      <c r="T427" s="8" t="s">
        <v>91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</row>
    <row r="428" spans="1:26" x14ac:dyDescent="0.25">
      <c r="A428" s="1">
        <v>45558.942928240744</v>
      </c>
      <c r="B428" s="8" t="s">
        <v>35</v>
      </c>
      <c r="C428">
        <v>74.335599999999999</v>
      </c>
      <c r="D428">
        <v>112.5528</v>
      </c>
      <c r="E428">
        <v>426</v>
      </c>
      <c r="F428" s="8" t="s">
        <v>26</v>
      </c>
      <c r="G428">
        <v>26.3</v>
      </c>
      <c r="H428">
        <v>77.7</v>
      </c>
      <c r="I428" s="8" t="s">
        <v>18</v>
      </c>
      <c r="J428">
        <v>58</v>
      </c>
      <c r="K428">
        <v>373</v>
      </c>
      <c r="L428">
        <v>6</v>
      </c>
      <c r="M428" s="8" t="s">
        <v>27</v>
      </c>
      <c r="N428">
        <v>93</v>
      </c>
      <c r="O428">
        <v>125</v>
      </c>
      <c r="P428">
        <v>0</v>
      </c>
      <c r="Q428">
        <v>9</v>
      </c>
      <c r="R428">
        <v>2024</v>
      </c>
      <c r="S428">
        <v>1</v>
      </c>
      <c r="T428" s="8" t="s">
        <v>91</v>
      </c>
      <c r="U428">
        <v>0</v>
      </c>
      <c r="V428">
        <v>1</v>
      </c>
      <c r="W428">
        <v>1</v>
      </c>
      <c r="X428">
        <v>0</v>
      </c>
      <c r="Y428">
        <v>1</v>
      </c>
      <c r="Z428">
        <v>1</v>
      </c>
    </row>
    <row r="429" spans="1:26" x14ac:dyDescent="0.25">
      <c r="A429" s="1">
        <v>45339.674560185187</v>
      </c>
      <c r="B429" s="8" t="s">
        <v>20</v>
      </c>
      <c r="C429">
        <v>-53.301499999999997</v>
      </c>
      <c r="D429">
        <v>11.4861</v>
      </c>
      <c r="E429">
        <v>432</v>
      </c>
      <c r="F429" s="8" t="s">
        <v>21</v>
      </c>
      <c r="G429">
        <v>28</v>
      </c>
      <c r="H429">
        <v>65.2</v>
      </c>
      <c r="I429" s="8" t="s">
        <v>22</v>
      </c>
      <c r="J429">
        <v>35</v>
      </c>
      <c r="K429">
        <v>499</v>
      </c>
      <c r="L429">
        <v>8</v>
      </c>
      <c r="M429" s="8" t="s">
        <v>23</v>
      </c>
      <c r="N429">
        <v>97.4</v>
      </c>
      <c r="O429">
        <v>110</v>
      </c>
      <c r="P429">
        <v>1</v>
      </c>
      <c r="Q429">
        <v>2</v>
      </c>
      <c r="R429">
        <v>2024</v>
      </c>
      <c r="S429">
        <v>6</v>
      </c>
      <c r="T429" s="8" t="s">
        <v>93</v>
      </c>
      <c r="U429">
        <v>1</v>
      </c>
      <c r="V429">
        <v>0</v>
      </c>
      <c r="W429">
        <v>2</v>
      </c>
      <c r="X429">
        <v>1</v>
      </c>
      <c r="Y429">
        <v>0</v>
      </c>
      <c r="Z429">
        <v>0</v>
      </c>
    </row>
    <row r="430" spans="1:26" x14ac:dyDescent="0.25">
      <c r="A430" s="1">
        <v>45619.194745370369</v>
      </c>
      <c r="B430" s="8" t="s">
        <v>30</v>
      </c>
      <c r="C430">
        <v>-22.5519</v>
      </c>
      <c r="D430">
        <v>60.710999999999999</v>
      </c>
      <c r="E430">
        <v>406</v>
      </c>
      <c r="F430" s="8" t="s">
        <v>17</v>
      </c>
      <c r="G430">
        <v>20.9</v>
      </c>
      <c r="H430">
        <v>76.400000000000006</v>
      </c>
      <c r="I430" s="8" t="s">
        <v>18</v>
      </c>
      <c r="J430">
        <v>57</v>
      </c>
      <c r="K430">
        <v>160</v>
      </c>
      <c r="L430">
        <v>9</v>
      </c>
      <c r="M430" s="8" t="s">
        <v>19</v>
      </c>
      <c r="N430">
        <v>73.3</v>
      </c>
      <c r="O430">
        <v>120</v>
      </c>
      <c r="P430">
        <v>1</v>
      </c>
      <c r="Q430">
        <v>11</v>
      </c>
      <c r="R430">
        <v>2024</v>
      </c>
      <c r="S430">
        <v>6</v>
      </c>
      <c r="T430" s="8" t="s">
        <v>91</v>
      </c>
      <c r="U430">
        <v>1</v>
      </c>
      <c r="V430">
        <v>2</v>
      </c>
      <c r="W430">
        <v>1</v>
      </c>
      <c r="X430">
        <v>0</v>
      </c>
      <c r="Y430">
        <v>1</v>
      </c>
      <c r="Z430">
        <v>1</v>
      </c>
    </row>
    <row r="431" spans="1:26" x14ac:dyDescent="0.25">
      <c r="A431" s="1">
        <v>45302.846689814818</v>
      </c>
      <c r="B431" s="8" t="s">
        <v>24</v>
      </c>
      <c r="C431">
        <v>61.697000000000003</v>
      </c>
      <c r="D431">
        <v>164.54929999999999</v>
      </c>
      <c r="E431">
        <v>410</v>
      </c>
      <c r="F431" s="8" t="s">
        <v>21</v>
      </c>
      <c r="G431">
        <v>24.5</v>
      </c>
      <c r="H431">
        <v>62.4</v>
      </c>
      <c r="I431" s="8" t="s">
        <v>28</v>
      </c>
      <c r="J431">
        <v>40</v>
      </c>
      <c r="K431">
        <v>172</v>
      </c>
      <c r="L431">
        <v>5</v>
      </c>
      <c r="M431" s="8" t="s">
        <v>19</v>
      </c>
      <c r="N431">
        <v>86.2</v>
      </c>
      <c r="O431">
        <v>225</v>
      </c>
      <c r="P431">
        <v>0</v>
      </c>
      <c r="Q431">
        <v>1</v>
      </c>
      <c r="R431">
        <v>2024</v>
      </c>
      <c r="S431">
        <v>4</v>
      </c>
      <c r="T431" s="8" t="s">
        <v>93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25">
      <c r="A432" s="1">
        <v>45593.095393518517</v>
      </c>
      <c r="B432" s="8" t="s">
        <v>34</v>
      </c>
      <c r="C432">
        <v>-75.286699999999996</v>
      </c>
      <c r="D432">
        <v>-163.4</v>
      </c>
      <c r="E432">
        <v>155</v>
      </c>
      <c r="F432" s="8" t="s">
        <v>21</v>
      </c>
      <c r="G432">
        <v>22.6</v>
      </c>
      <c r="H432">
        <v>77.099999999999994</v>
      </c>
      <c r="I432" s="8" t="s">
        <v>18</v>
      </c>
      <c r="J432">
        <v>13</v>
      </c>
      <c r="K432">
        <v>196</v>
      </c>
      <c r="L432">
        <v>7</v>
      </c>
      <c r="M432" s="8" t="s">
        <v>19</v>
      </c>
      <c r="N432">
        <v>83.2</v>
      </c>
      <c r="O432">
        <v>168</v>
      </c>
      <c r="P432">
        <v>0</v>
      </c>
      <c r="Q432">
        <v>10</v>
      </c>
      <c r="R432">
        <v>2024</v>
      </c>
      <c r="S432">
        <v>1</v>
      </c>
      <c r="T432" s="8" t="s">
        <v>91</v>
      </c>
      <c r="U432">
        <v>0</v>
      </c>
      <c r="V432">
        <v>0</v>
      </c>
      <c r="W432">
        <v>1</v>
      </c>
      <c r="X432">
        <v>0</v>
      </c>
      <c r="Y432">
        <v>1</v>
      </c>
      <c r="Z432">
        <v>0</v>
      </c>
    </row>
    <row r="433" spans="1:26" x14ac:dyDescent="0.25">
      <c r="A433" s="1">
        <v>45652.211944444447</v>
      </c>
      <c r="B433" s="8" t="s">
        <v>33</v>
      </c>
      <c r="C433">
        <v>87.138599999999997</v>
      </c>
      <c r="D433">
        <v>-114.968</v>
      </c>
      <c r="E433">
        <v>397</v>
      </c>
      <c r="F433" s="8" t="s">
        <v>26</v>
      </c>
      <c r="G433">
        <v>23.7</v>
      </c>
      <c r="H433">
        <v>73.5</v>
      </c>
      <c r="I433" s="8" t="s">
        <v>18</v>
      </c>
      <c r="J433">
        <v>31</v>
      </c>
      <c r="K433">
        <v>266</v>
      </c>
      <c r="L433">
        <v>1</v>
      </c>
      <c r="M433" s="8" t="s">
        <v>31</v>
      </c>
      <c r="N433">
        <v>92.8</v>
      </c>
      <c r="O433">
        <v>265</v>
      </c>
      <c r="P433">
        <v>0</v>
      </c>
      <c r="Q433">
        <v>12</v>
      </c>
      <c r="R433">
        <v>2024</v>
      </c>
      <c r="S433">
        <v>4</v>
      </c>
      <c r="T433" s="8" t="s">
        <v>93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0</v>
      </c>
    </row>
    <row r="434" spans="1:26" x14ac:dyDescent="0.25">
      <c r="A434" s="1">
        <v>45379.433703703704</v>
      </c>
      <c r="B434" s="8" t="s">
        <v>34</v>
      </c>
      <c r="C434">
        <v>51.248600000000003</v>
      </c>
      <c r="D434">
        <v>-41.488199999999999</v>
      </c>
      <c r="E434">
        <v>305</v>
      </c>
      <c r="F434" s="8" t="s">
        <v>26</v>
      </c>
      <c r="G434">
        <v>28</v>
      </c>
      <c r="H434">
        <v>67.8</v>
      </c>
      <c r="I434" s="8" t="s">
        <v>18</v>
      </c>
      <c r="J434">
        <v>13</v>
      </c>
      <c r="K434">
        <v>455</v>
      </c>
      <c r="L434">
        <v>2</v>
      </c>
      <c r="M434" s="8" t="s">
        <v>23</v>
      </c>
      <c r="N434">
        <v>80.8</v>
      </c>
      <c r="O434">
        <v>147</v>
      </c>
      <c r="P434">
        <v>0</v>
      </c>
      <c r="Q434">
        <v>3</v>
      </c>
      <c r="R434">
        <v>2024</v>
      </c>
      <c r="S434">
        <v>4</v>
      </c>
      <c r="T434" s="8" t="s">
        <v>90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0</v>
      </c>
    </row>
    <row r="435" spans="1:26" x14ac:dyDescent="0.25">
      <c r="A435" s="1">
        <v>45398.114386574074</v>
      </c>
      <c r="B435" s="8" t="s">
        <v>30</v>
      </c>
      <c r="C435">
        <v>-19.8201</v>
      </c>
      <c r="D435">
        <v>2.4373999999999998</v>
      </c>
      <c r="E435">
        <v>343</v>
      </c>
      <c r="F435" s="8" t="s">
        <v>17</v>
      </c>
      <c r="G435">
        <v>26.2</v>
      </c>
      <c r="H435">
        <v>62.4</v>
      </c>
      <c r="I435" s="8" t="s">
        <v>18</v>
      </c>
      <c r="J435">
        <v>18</v>
      </c>
      <c r="K435">
        <v>166</v>
      </c>
      <c r="L435">
        <v>7</v>
      </c>
      <c r="M435" s="8" t="s">
        <v>23</v>
      </c>
      <c r="N435">
        <v>62.3</v>
      </c>
      <c r="O435">
        <v>168</v>
      </c>
      <c r="P435">
        <v>1</v>
      </c>
      <c r="Q435">
        <v>4</v>
      </c>
      <c r="R435">
        <v>2024</v>
      </c>
      <c r="S435">
        <v>2</v>
      </c>
      <c r="T435" s="8" t="s">
        <v>90</v>
      </c>
      <c r="U435">
        <v>0</v>
      </c>
      <c r="V435">
        <v>2</v>
      </c>
      <c r="W435">
        <v>1</v>
      </c>
      <c r="X435">
        <v>0</v>
      </c>
      <c r="Y435">
        <v>0</v>
      </c>
      <c r="Z435">
        <v>0</v>
      </c>
    </row>
    <row r="436" spans="1:26" x14ac:dyDescent="0.25">
      <c r="A436" s="1">
        <v>45634.260740740741</v>
      </c>
      <c r="B436" s="8" t="s">
        <v>20</v>
      </c>
      <c r="C436">
        <v>-13.561</v>
      </c>
      <c r="D436">
        <v>-52.546900000000001</v>
      </c>
      <c r="E436">
        <v>342</v>
      </c>
      <c r="F436" s="8" t="s">
        <v>21</v>
      </c>
      <c r="G436">
        <v>27.6</v>
      </c>
      <c r="H436">
        <v>71.900000000000006</v>
      </c>
      <c r="I436" s="8" t="s">
        <v>18</v>
      </c>
      <c r="J436">
        <v>24</v>
      </c>
      <c r="K436">
        <v>216</v>
      </c>
      <c r="L436">
        <v>2</v>
      </c>
      <c r="M436" s="8" t="s">
        <v>27</v>
      </c>
      <c r="N436">
        <v>67.5</v>
      </c>
      <c r="O436">
        <v>225</v>
      </c>
      <c r="P436">
        <v>0</v>
      </c>
      <c r="Q436">
        <v>12</v>
      </c>
      <c r="R436">
        <v>2024</v>
      </c>
      <c r="S436">
        <v>0</v>
      </c>
      <c r="T436" s="8" t="s">
        <v>93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</row>
    <row r="437" spans="1:26" x14ac:dyDescent="0.25">
      <c r="A437" s="1">
        <v>45540.738842592589</v>
      </c>
      <c r="B437" s="8" t="s">
        <v>33</v>
      </c>
      <c r="C437">
        <v>51.488300000000002</v>
      </c>
      <c r="D437">
        <v>105.7445</v>
      </c>
      <c r="E437">
        <v>347</v>
      </c>
      <c r="F437" s="8" t="s">
        <v>21</v>
      </c>
      <c r="G437">
        <v>29.1</v>
      </c>
      <c r="H437">
        <v>80</v>
      </c>
      <c r="I437" s="8" t="s">
        <v>22</v>
      </c>
      <c r="J437">
        <v>25</v>
      </c>
      <c r="K437">
        <v>256</v>
      </c>
      <c r="L437">
        <v>3</v>
      </c>
      <c r="M437" s="8" t="s">
        <v>31</v>
      </c>
      <c r="N437">
        <v>69.599999999999994</v>
      </c>
      <c r="O437">
        <v>274</v>
      </c>
      <c r="P437">
        <v>1</v>
      </c>
      <c r="Q437">
        <v>9</v>
      </c>
      <c r="R437">
        <v>2024</v>
      </c>
      <c r="S437">
        <v>4</v>
      </c>
      <c r="T437" s="8" t="s">
        <v>91</v>
      </c>
      <c r="U437">
        <v>0</v>
      </c>
      <c r="V437">
        <v>0</v>
      </c>
      <c r="W437">
        <v>2</v>
      </c>
      <c r="X437">
        <v>1</v>
      </c>
      <c r="Y437">
        <v>1</v>
      </c>
      <c r="Z437">
        <v>0</v>
      </c>
    </row>
    <row r="438" spans="1:26" x14ac:dyDescent="0.25">
      <c r="A438" s="1">
        <v>45324.933541666665</v>
      </c>
      <c r="B438" s="8" t="s">
        <v>33</v>
      </c>
      <c r="C438">
        <v>21.573799999999999</v>
      </c>
      <c r="D438">
        <v>-95.150099999999995</v>
      </c>
      <c r="E438">
        <v>403</v>
      </c>
      <c r="F438" s="8" t="s">
        <v>26</v>
      </c>
      <c r="G438">
        <v>29.5</v>
      </c>
      <c r="H438">
        <v>76.599999999999994</v>
      </c>
      <c r="I438" s="8" t="s">
        <v>22</v>
      </c>
      <c r="J438">
        <v>36</v>
      </c>
      <c r="K438">
        <v>379</v>
      </c>
      <c r="L438">
        <v>2</v>
      </c>
      <c r="M438" s="8" t="s">
        <v>31</v>
      </c>
      <c r="N438">
        <v>66.7</v>
      </c>
      <c r="O438">
        <v>242</v>
      </c>
      <c r="P438">
        <v>1</v>
      </c>
      <c r="Q438">
        <v>2</v>
      </c>
      <c r="R438">
        <v>2024</v>
      </c>
      <c r="S438">
        <v>5</v>
      </c>
      <c r="T438" s="8" t="s">
        <v>93</v>
      </c>
      <c r="U438">
        <v>1</v>
      </c>
      <c r="V438">
        <v>1</v>
      </c>
      <c r="W438">
        <v>2</v>
      </c>
      <c r="X438">
        <v>1</v>
      </c>
      <c r="Y438">
        <v>1</v>
      </c>
      <c r="Z438">
        <v>0</v>
      </c>
    </row>
    <row r="439" spans="1:26" x14ac:dyDescent="0.25">
      <c r="A439" s="1">
        <v>45412.780694444446</v>
      </c>
      <c r="B439" s="8" t="s">
        <v>25</v>
      </c>
      <c r="C439">
        <v>-31.817399999999999</v>
      </c>
      <c r="D439">
        <v>59.571599999999997</v>
      </c>
      <c r="E439">
        <v>482</v>
      </c>
      <c r="F439" s="8" t="s">
        <v>17</v>
      </c>
      <c r="G439">
        <v>18.100000000000001</v>
      </c>
      <c r="H439">
        <v>76.099999999999994</v>
      </c>
      <c r="I439" s="8" t="s">
        <v>22</v>
      </c>
      <c r="J439">
        <v>54</v>
      </c>
      <c r="K439">
        <v>203</v>
      </c>
      <c r="L439">
        <v>10</v>
      </c>
      <c r="M439" s="8" t="s">
        <v>27</v>
      </c>
      <c r="N439">
        <v>74.099999999999994</v>
      </c>
      <c r="O439">
        <v>112</v>
      </c>
      <c r="P439">
        <v>1</v>
      </c>
      <c r="Q439">
        <v>4</v>
      </c>
      <c r="R439">
        <v>2024</v>
      </c>
      <c r="S439">
        <v>2</v>
      </c>
      <c r="T439" s="8" t="s">
        <v>90</v>
      </c>
      <c r="U439">
        <v>0</v>
      </c>
      <c r="V439">
        <v>2</v>
      </c>
      <c r="W439">
        <v>2</v>
      </c>
      <c r="X439">
        <v>1</v>
      </c>
      <c r="Y439">
        <v>1</v>
      </c>
      <c r="Z439">
        <v>1</v>
      </c>
    </row>
    <row r="440" spans="1:26" x14ac:dyDescent="0.25">
      <c r="A440" s="1">
        <v>45413.13422453704</v>
      </c>
      <c r="B440" s="8" t="s">
        <v>33</v>
      </c>
      <c r="C440">
        <v>-76.0304</v>
      </c>
      <c r="D440">
        <v>112.9276</v>
      </c>
      <c r="E440">
        <v>130</v>
      </c>
      <c r="F440" s="8" t="s">
        <v>26</v>
      </c>
      <c r="G440">
        <v>21.6</v>
      </c>
      <c r="H440">
        <v>60.9</v>
      </c>
      <c r="I440" s="8" t="s">
        <v>28</v>
      </c>
      <c r="J440">
        <v>48</v>
      </c>
      <c r="K440">
        <v>479</v>
      </c>
      <c r="L440">
        <v>8</v>
      </c>
      <c r="M440" s="8" t="s">
        <v>27</v>
      </c>
      <c r="N440">
        <v>83.3</v>
      </c>
      <c r="O440">
        <v>173</v>
      </c>
      <c r="P440">
        <v>0</v>
      </c>
      <c r="Q440">
        <v>5</v>
      </c>
      <c r="R440">
        <v>2024</v>
      </c>
      <c r="S440">
        <v>3</v>
      </c>
      <c r="T440" s="8" t="s">
        <v>90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1</v>
      </c>
    </row>
    <row r="441" spans="1:26" x14ac:dyDescent="0.25">
      <c r="A441" s="1">
        <v>45301.835046296299</v>
      </c>
      <c r="B441" s="8" t="s">
        <v>35</v>
      </c>
      <c r="C441">
        <v>47.548099999999998</v>
      </c>
      <c r="D441">
        <v>-97.483099999999993</v>
      </c>
      <c r="E441">
        <v>465</v>
      </c>
      <c r="F441" s="8" t="s">
        <v>17</v>
      </c>
      <c r="G441">
        <v>24</v>
      </c>
      <c r="H441">
        <v>72.400000000000006</v>
      </c>
      <c r="I441" s="8" t="s">
        <v>22</v>
      </c>
      <c r="J441">
        <v>48</v>
      </c>
      <c r="K441">
        <v>112</v>
      </c>
      <c r="L441">
        <v>8</v>
      </c>
      <c r="M441" s="8" t="s">
        <v>19</v>
      </c>
      <c r="N441">
        <v>97.1</v>
      </c>
      <c r="O441">
        <v>212</v>
      </c>
      <c r="P441">
        <v>1</v>
      </c>
      <c r="Q441">
        <v>1</v>
      </c>
      <c r="R441">
        <v>2024</v>
      </c>
      <c r="S441">
        <v>3</v>
      </c>
      <c r="T441" s="8" t="s">
        <v>93</v>
      </c>
      <c r="U441">
        <v>0</v>
      </c>
      <c r="V441">
        <v>2</v>
      </c>
      <c r="W441">
        <v>2</v>
      </c>
      <c r="X441">
        <v>1</v>
      </c>
      <c r="Y441">
        <v>0</v>
      </c>
      <c r="Z441">
        <v>1</v>
      </c>
    </row>
    <row r="442" spans="1:26" x14ac:dyDescent="0.25">
      <c r="A442" s="1">
        <v>45586.46912037037</v>
      </c>
      <c r="B442" s="8" t="s">
        <v>30</v>
      </c>
      <c r="C442">
        <v>77.875100000000003</v>
      </c>
      <c r="D442">
        <v>144.04</v>
      </c>
      <c r="E442">
        <v>322</v>
      </c>
      <c r="F442" s="8" t="s">
        <v>17</v>
      </c>
      <c r="G442">
        <v>26.1</v>
      </c>
      <c r="H442">
        <v>71.900000000000006</v>
      </c>
      <c r="I442" s="8" t="s">
        <v>18</v>
      </c>
      <c r="J442">
        <v>45</v>
      </c>
      <c r="K442">
        <v>339</v>
      </c>
      <c r="L442">
        <v>8</v>
      </c>
      <c r="M442" s="8" t="s">
        <v>23</v>
      </c>
      <c r="N442">
        <v>97.6</v>
      </c>
      <c r="O442">
        <v>145</v>
      </c>
      <c r="P442">
        <v>1</v>
      </c>
      <c r="Q442">
        <v>10</v>
      </c>
      <c r="R442">
        <v>2024</v>
      </c>
      <c r="S442">
        <v>1</v>
      </c>
      <c r="T442" s="8" t="s">
        <v>91</v>
      </c>
      <c r="U442">
        <v>0</v>
      </c>
      <c r="V442">
        <v>2</v>
      </c>
      <c r="W442">
        <v>1</v>
      </c>
      <c r="X442">
        <v>0</v>
      </c>
      <c r="Y442">
        <v>0</v>
      </c>
      <c r="Z442">
        <v>0</v>
      </c>
    </row>
    <row r="443" spans="1:26" x14ac:dyDescent="0.25">
      <c r="A443" s="1">
        <v>45621.12427083333</v>
      </c>
      <c r="B443" s="8" t="s">
        <v>35</v>
      </c>
      <c r="C443">
        <v>-56.667400000000001</v>
      </c>
      <c r="D443">
        <v>-50.0426</v>
      </c>
      <c r="E443">
        <v>126</v>
      </c>
      <c r="F443" s="8" t="s">
        <v>26</v>
      </c>
      <c r="G443">
        <v>20.3</v>
      </c>
      <c r="H443">
        <v>51.2</v>
      </c>
      <c r="I443" s="8" t="s">
        <v>18</v>
      </c>
      <c r="J443">
        <v>53</v>
      </c>
      <c r="K443">
        <v>486</v>
      </c>
      <c r="L443">
        <v>7</v>
      </c>
      <c r="M443" s="8" t="s">
        <v>31</v>
      </c>
      <c r="N443">
        <v>97.5</v>
      </c>
      <c r="O443">
        <v>129</v>
      </c>
      <c r="P443">
        <v>0</v>
      </c>
      <c r="Q443">
        <v>11</v>
      </c>
      <c r="R443">
        <v>2024</v>
      </c>
      <c r="S443">
        <v>1</v>
      </c>
      <c r="T443" s="8" t="s">
        <v>91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1</v>
      </c>
    </row>
    <row r="444" spans="1:26" x14ac:dyDescent="0.25">
      <c r="A444" s="1">
        <v>45646.334293981483</v>
      </c>
      <c r="B444" s="8" t="s">
        <v>33</v>
      </c>
      <c r="C444">
        <v>62.099899999999998</v>
      </c>
      <c r="D444">
        <v>-9.5972000000000008</v>
      </c>
      <c r="E444">
        <v>142</v>
      </c>
      <c r="F444" s="8" t="s">
        <v>21</v>
      </c>
      <c r="G444">
        <v>22.7</v>
      </c>
      <c r="H444">
        <v>66.099999999999994</v>
      </c>
      <c r="I444" s="8" t="s">
        <v>18</v>
      </c>
      <c r="J444">
        <v>59</v>
      </c>
      <c r="K444">
        <v>343</v>
      </c>
      <c r="L444">
        <v>6</v>
      </c>
      <c r="M444" s="8" t="s">
        <v>31</v>
      </c>
      <c r="N444">
        <v>86.7</v>
      </c>
      <c r="O444">
        <v>256</v>
      </c>
      <c r="P444">
        <v>0</v>
      </c>
      <c r="Q444">
        <v>12</v>
      </c>
      <c r="R444">
        <v>2024</v>
      </c>
      <c r="S444">
        <v>5</v>
      </c>
      <c r="T444" s="8" t="s">
        <v>93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</row>
    <row r="445" spans="1:26" x14ac:dyDescent="0.25">
      <c r="A445" s="1">
        <v>45472.796724537038</v>
      </c>
      <c r="B445" s="8" t="s">
        <v>25</v>
      </c>
      <c r="C445">
        <v>57.9908</v>
      </c>
      <c r="D445">
        <v>-117.5288</v>
      </c>
      <c r="E445">
        <v>444</v>
      </c>
      <c r="F445" s="8" t="s">
        <v>26</v>
      </c>
      <c r="G445">
        <v>21.6</v>
      </c>
      <c r="H445">
        <v>53.2</v>
      </c>
      <c r="I445" s="8" t="s">
        <v>18</v>
      </c>
      <c r="J445">
        <v>16</v>
      </c>
      <c r="K445">
        <v>113</v>
      </c>
      <c r="L445">
        <v>2</v>
      </c>
      <c r="M445" s="8" t="s">
        <v>27</v>
      </c>
      <c r="N445">
        <v>96.1</v>
      </c>
      <c r="O445">
        <v>181</v>
      </c>
      <c r="P445">
        <v>0</v>
      </c>
      <c r="Q445">
        <v>6</v>
      </c>
      <c r="R445">
        <v>2024</v>
      </c>
      <c r="S445">
        <v>6</v>
      </c>
      <c r="T445" s="8" t="s">
        <v>92</v>
      </c>
      <c r="U445">
        <v>1</v>
      </c>
      <c r="V445">
        <v>1</v>
      </c>
      <c r="W445">
        <v>1</v>
      </c>
      <c r="X445">
        <v>0</v>
      </c>
      <c r="Y445">
        <v>0</v>
      </c>
      <c r="Z445">
        <v>0</v>
      </c>
    </row>
    <row r="446" spans="1:26" x14ac:dyDescent="0.25">
      <c r="A446" s="1">
        <v>45639.790219907409</v>
      </c>
      <c r="B446" s="8" t="s">
        <v>30</v>
      </c>
      <c r="C446">
        <v>73.127399999999994</v>
      </c>
      <c r="D446">
        <v>-63.939900000000002</v>
      </c>
      <c r="E446">
        <v>100</v>
      </c>
      <c r="F446" s="8" t="s">
        <v>26</v>
      </c>
      <c r="G446">
        <v>22.4</v>
      </c>
      <c r="H446">
        <v>71.599999999999994</v>
      </c>
      <c r="I446" s="8" t="s">
        <v>18</v>
      </c>
      <c r="J446">
        <v>22</v>
      </c>
      <c r="K446">
        <v>389</v>
      </c>
      <c r="L446">
        <v>4</v>
      </c>
      <c r="M446" s="8" t="s">
        <v>27</v>
      </c>
      <c r="N446">
        <v>73.400000000000006</v>
      </c>
      <c r="O446">
        <v>159</v>
      </c>
      <c r="P446">
        <v>0</v>
      </c>
      <c r="Q446">
        <v>12</v>
      </c>
      <c r="R446">
        <v>2024</v>
      </c>
      <c r="S446">
        <v>5</v>
      </c>
      <c r="T446" s="8" t="s">
        <v>93</v>
      </c>
      <c r="U446">
        <v>1</v>
      </c>
      <c r="V446">
        <v>1</v>
      </c>
      <c r="W446">
        <v>1</v>
      </c>
      <c r="X446">
        <v>0</v>
      </c>
      <c r="Y446">
        <v>0</v>
      </c>
      <c r="Z446">
        <v>0</v>
      </c>
    </row>
    <row r="447" spans="1:26" x14ac:dyDescent="0.25">
      <c r="A447" s="1">
        <v>45616.225914351853</v>
      </c>
      <c r="B447" s="8" t="s">
        <v>33</v>
      </c>
      <c r="C447">
        <v>-28.694900000000001</v>
      </c>
      <c r="D447">
        <v>-110.51609999999999</v>
      </c>
      <c r="E447">
        <v>227</v>
      </c>
      <c r="F447" s="8" t="s">
        <v>21</v>
      </c>
      <c r="G447">
        <v>22.6</v>
      </c>
      <c r="H447">
        <v>58.5</v>
      </c>
      <c r="I447" s="8" t="s">
        <v>18</v>
      </c>
      <c r="J447">
        <v>24</v>
      </c>
      <c r="K447">
        <v>477</v>
      </c>
      <c r="L447">
        <v>10</v>
      </c>
      <c r="M447" s="8" t="s">
        <v>23</v>
      </c>
      <c r="N447">
        <v>89</v>
      </c>
      <c r="O447">
        <v>139</v>
      </c>
      <c r="P447">
        <v>0</v>
      </c>
      <c r="Q447">
        <v>11</v>
      </c>
      <c r="R447">
        <v>2024</v>
      </c>
      <c r="S447">
        <v>3</v>
      </c>
      <c r="T447" s="8" t="s">
        <v>91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</row>
    <row r="448" spans="1:26" x14ac:dyDescent="0.25">
      <c r="A448" s="1">
        <v>45472.410578703704</v>
      </c>
      <c r="B448" s="8" t="s">
        <v>33</v>
      </c>
      <c r="C448">
        <v>-28.915199999999999</v>
      </c>
      <c r="D448">
        <v>114.375</v>
      </c>
      <c r="E448">
        <v>416</v>
      </c>
      <c r="F448" s="8" t="s">
        <v>26</v>
      </c>
      <c r="G448">
        <v>20.7</v>
      </c>
      <c r="H448">
        <v>69.099999999999994</v>
      </c>
      <c r="I448" s="8" t="s">
        <v>18</v>
      </c>
      <c r="J448">
        <v>32</v>
      </c>
      <c r="K448">
        <v>139</v>
      </c>
      <c r="L448">
        <v>6</v>
      </c>
      <c r="M448" s="8" t="s">
        <v>31</v>
      </c>
      <c r="N448">
        <v>91.7</v>
      </c>
      <c r="O448">
        <v>221</v>
      </c>
      <c r="P448">
        <v>0</v>
      </c>
      <c r="Q448">
        <v>6</v>
      </c>
      <c r="R448">
        <v>2024</v>
      </c>
      <c r="S448">
        <v>6</v>
      </c>
      <c r="T448" s="8" t="s">
        <v>92</v>
      </c>
      <c r="U448">
        <v>1</v>
      </c>
      <c r="V448">
        <v>1</v>
      </c>
      <c r="W448">
        <v>1</v>
      </c>
      <c r="X448">
        <v>0</v>
      </c>
      <c r="Y448">
        <v>0</v>
      </c>
      <c r="Z448">
        <v>0</v>
      </c>
    </row>
    <row r="449" spans="1:26" x14ac:dyDescent="0.25">
      <c r="A449" s="1">
        <v>45648.981909722221</v>
      </c>
      <c r="B449" s="8" t="s">
        <v>33</v>
      </c>
      <c r="C449">
        <v>83.948800000000006</v>
      </c>
      <c r="D449">
        <v>131.11969999999999</v>
      </c>
      <c r="E449">
        <v>499</v>
      </c>
      <c r="F449" s="8" t="s">
        <v>17</v>
      </c>
      <c r="G449">
        <v>25.8</v>
      </c>
      <c r="H449">
        <v>64</v>
      </c>
      <c r="I449" s="8" t="s">
        <v>18</v>
      </c>
      <c r="J449">
        <v>46</v>
      </c>
      <c r="K449">
        <v>295</v>
      </c>
      <c r="L449">
        <v>6</v>
      </c>
      <c r="M449" s="8" t="s">
        <v>27</v>
      </c>
      <c r="N449">
        <v>87.6</v>
      </c>
      <c r="O449">
        <v>160</v>
      </c>
      <c r="P449">
        <v>1</v>
      </c>
      <c r="Q449">
        <v>12</v>
      </c>
      <c r="R449">
        <v>2024</v>
      </c>
      <c r="S449">
        <v>0</v>
      </c>
      <c r="T449" s="8" t="s">
        <v>93</v>
      </c>
      <c r="U449">
        <v>0</v>
      </c>
      <c r="V449">
        <v>2</v>
      </c>
      <c r="W449">
        <v>1</v>
      </c>
      <c r="X449">
        <v>0</v>
      </c>
      <c r="Y449">
        <v>0</v>
      </c>
      <c r="Z449">
        <v>1</v>
      </c>
    </row>
    <row r="450" spans="1:26" x14ac:dyDescent="0.25">
      <c r="A450" s="1">
        <v>45466.922581018516</v>
      </c>
      <c r="B450" s="8" t="s">
        <v>20</v>
      </c>
      <c r="C450">
        <v>52.163499999999999</v>
      </c>
      <c r="D450">
        <v>10.829599999999999</v>
      </c>
      <c r="E450">
        <v>328</v>
      </c>
      <c r="F450" s="8" t="s">
        <v>26</v>
      </c>
      <c r="G450">
        <v>29.8</v>
      </c>
      <c r="H450">
        <v>53.5</v>
      </c>
      <c r="I450" s="8" t="s">
        <v>28</v>
      </c>
      <c r="J450">
        <v>54</v>
      </c>
      <c r="K450">
        <v>144</v>
      </c>
      <c r="L450">
        <v>6</v>
      </c>
      <c r="M450" s="8" t="s">
        <v>23</v>
      </c>
      <c r="N450">
        <v>78</v>
      </c>
      <c r="O450">
        <v>158</v>
      </c>
      <c r="P450">
        <v>0</v>
      </c>
      <c r="Q450">
        <v>6</v>
      </c>
      <c r="R450">
        <v>2024</v>
      </c>
      <c r="S450">
        <v>0</v>
      </c>
      <c r="T450" s="8" t="s">
        <v>92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1</v>
      </c>
    </row>
    <row r="451" spans="1:26" x14ac:dyDescent="0.25">
      <c r="A451" s="1">
        <v>45380.218356481484</v>
      </c>
      <c r="B451" s="8" t="s">
        <v>35</v>
      </c>
      <c r="C451">
        <v>36.518500000000003</v>
      </c>
      <c r="D451">
        <v>-71.971800000000002</v>
      </c>
      <c r="E451">
        <v>324</v>
      </c>
      <c r="F451" s="8" t="s">
        <v>26</v>
      </c>
      <c r="G451">
        <v>28.2</v>
      </c>
      <c r="H451">
        <v>56.8</v>
      </c>
      <c r="I451" s="8" t="s">
        <v>22</v>
      </c>
      <c r="J451">
        <v>10</v>
      </c>
      <c r="K451">
        <v>249</v>
      </c>
      <c r="L451">
        <v>7</v>
      </c>
      <c r="M451" s="8" t="s">
        <v>19</v>
      </c>
      <c r="N451">
        <v>76.7</v>
      </c>
      <c r="O451">
        <v>298</v>
      </c>
      <c r="P451">
        <v>1</v>
      </c>
      <c r="Q451">
        <v>3</v>
      </c>
      <c r="R451">
        <v>2024</v>
      </c>
      <c r="S451">
        <v>5</v>
      </c>
      <c r="T451" s="8" t="s">
        <v>90</v>
      </c>
      <c r="U451">
        <v>1</v>
      </c>
      <c r="V451">
        <v>1</v>
      </c>
      <c r="W451">
        <v>2</v>
      </c>
      <c r="X451">
        <v>1</v>
      </c>
      <c r="Y451">
        <v>0</v>
      </c>
      <c r="Z451">
        <v>0</v>
      </c>
    </row>
    <row r="452" spans="1:26" x14ac:dyDescent="0.25">
      <c r="A452" s="1">
        <v>45385.591157407405</v>
      </c>
      <c r="B452" s="8" t="s">
        <v>34</v>
      </c>
      <c r="C452">
        <v>-10.8232</v>
      </c>
      <c r="D452">
        <v>144.09819999999999</v>
      </c>
      <c r="E452">
        <v>401</v>
      </c>
      <c r="F452" s="8" t="s">
        <v>21</v>
      </c>
      <c r="G452">
        <v>26.3</v>
      </c>
      <c r="H452">
        <v>59.4</v>
      </c>
      <c r="I452" s="8" t="s">
        <v>22</v>
      </c>
      <c r="J452">
        <v>30</v>
      </c>
      <c r="K452">
        <v>268</v>
      </c>
      <c r="L452">
        <v>7</v>
      </c>
      <c r="M452" s="8" t="s">
        <v>19</v>
      </c>
      <c r="N452">
        <v>67.599999999999994</v>
      </c>
      <c r="O452">
        <v>225</v>
      </c>
      <c r="P452">
        <v>1</v>
      </c>
      <c r="Q452">
        <v>4</v>
      </c>
      <c r="R452">
        <v>2024</v>
      </c>
      <c r="S452">
        <v>3</v>
      </c>
      <c r="T452" s="8" t="s">
        <v>90</v>
      </c>
      <c r="U452">
        <v>0</v>
      </c>
      <c r="V452">
        <v>0</v>
      </c>
      <c r="W452">
        <v>2</v>
      </c>
      <c r="X452">
        <v>1</v>
      </c>
      <c r="Y452">
        <v>0</v>
      </c>
      <c r="Z452">
        <v>0</v>
      </c>
    </row>
    <row r="453" spans="1:26" x14ac:dyDescent="0.25">
      <c r="A453" s="1">
        <v>45641.585046296299</v>
      </c>
      <c r="B453" s="8" t="s">
        <v>35</v>
      </c>
      <c r="C453">
        <v>-37.919499999999999</v>
      </c>
      <c r="D453">
        <v>-99.376800000000003</v>
      </c>
      <c r="E453">
        <v>182</v>
      </c>
      <c r="F453" s="8" t="s">
        <v>17</v>
      </c>
      <c r="G453">
        <v>22.9</v>
      </c>
      <c r="H453">
        <v>54.4</v>
      </c>
      <c r="I453" s="8" t="s">
        <v>18</v>
      </c>
      <c r="J453">
        <v>50</v>
      </c>
      <c r="K453">
        <v>135</v>
      </c>
      <c r="L453">
        <v>3</v>
      </c>
      <c r="M453" s="8" t="s">
        <v>19</v>
      </c>
      <c r="N453">
        <v>98.4</v>
      </c>
      <c r="O453">
        <v>268</v>
      </c>
      <c r="P453">
        <v>1</v>
      </c>
      <c r="Q453">
        <v>12</v>
      </c>
      <c r="R453">
        <v>2024</v>
      </c>
      <c r="S453">
        <v>0</v>
      </c>
      <c r="T453" s="8" t="s">
        <v>93</v>
      </c>
      <c r="U453">
        <v>0</v>
      </c>
      <c r="V453">
        <v>2</v>
      </c>
      <c r="W453">
        <v>1</v>
      </c>
      <c r="X453">
        <v>0</v>
      </c>
      <c r="Y453">
        <v>0</v>
      </c>
      <c r="Z453">
        <v>1</v>
      </c>
    </row>
    <row r="454" spans="1:26" x14ac:dyDescent="0.25">
      <c r="A454" s="1">
        <v>45510.557847222219</v>
      </c>
      <c r="B454" s="8" t="s">
        <v>20</v>
      </c>
      <c r="C454">
        <v>-7.2984</v>
      </c>
      <c r="D454">
        <v>-44.591799999999999</v>
      </c>
      <c r="E454">
        <v>264</v>
      </c>
      <c r="F454" s="8" t="s">
        <v>26</v>
      </c>
      <c r="G454">
        <v>29.5</v>
      </c>
      <c r="H454">
        <v>67.3</v>
      </c>
      <c r="I454" s="8" t="s">
        <v>22</v>
      </c>
      <c r="J454">
        <v>32</v>
      </c>
      <c r="K454">
        <v>314</v>
      </c>
      <c r="L454">
        <v>8</v>
      </c>
      <c r="M454" s="8" t="s">
        <v>27</v>
      </c>
      <c r="N454">
        <v>65.900000000000006</v>
      </c>
      <c r="O454">
        <v>202</v>
      </c>
      <c r="P454">
        <v>1</v>
      </c>
      <c r="Q454">
        <v>8</v>
      </c>
      <c r="R454">
        <v>2024</v>
      </c>
      <c r="S454">
        <v>2</v>
      </c>
      <c r="T454" s="8" t="s">
        <v>92</v>
      </c>
      <c r="U454">
        <v>0</v>
      </c>
      <c r="V454">
        <v>1</v>
      </c>
      <c r="W454">
        <v>2</v>
      </c>
      <c r="X454">
        <v>1</v>
      </c>
      <c r="Y454">
        <v>0</v>
      </c>
      <c r="Z454">
        <v>0</v>
      </c>
    </row>
    <row r="455" spans="1:26" x14ac:dyDescent="0.25">
      <c r="A455" s="1">
        <v>45365.108020833337</v>
      </c>
      <c r="B455" s="8" t="s">
        <v>32</v>
      </c>
      <c r="C455">
        <v>13.6845</v>
      </c>
      <c r="D455">
        <v>-126.4199</v>
      </c>
      <c r="E455">
        <v>293</v>
      </c>
      <c r="F455" s="8" t="s">
        <v>26</v>
      </c>
      <c r="G455">
        <v>23.8</v>
      </c>
      <c r="H455">
        <v>62.8</v>
      </c>
      <c r="I455" s="8" t="s">
        <v>18</v>
      </c>
      <c r="J455">
        <v>19</v>
      </c>
      <c r="K455">
        <v>135</v>
      </c>
      <c r="L455">
        <v>1</v>
      </c>
      <c r="M455" s="8" t="s">
        <v>31</v>
      </c>
      <c r="N455">
        <v>98.8</v>
      </c>
      <c r="O455">
        <v>291</v>
      </c>
      <c r="P455">
        <v>0</v>
      </c>
      <c r="Q455">
        <v>3</v>
      </c>
      <c r="R455">
        <v>2024</v>
      </c>
      <c r="S455">
        <v>4</v>
      </c>
      <c r="T455" s="8" t="s">
        <v>90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</row>
    <row r="456" spans="1:26" x14ac:dyDescent="0.25">
      <c r="A456" s="1">
        <v>45531.024143518516</v>
      </c>
      <c r="B456" s="8" t="s">
        <v>24</v>
      </c>
      <c r="C456">
        <v>-70.642799999999994</v>
      </c>
      <c r="D456">
        <v>166.3723</v>
      </c>
      <c r="E456">
        <v>343</v>
      </c>
      <c r="F456" s="8" t="s">
        <v>21</v>
      </c>
      <c r="G456">
        <v>29.5</v>
      </c>
      <c r="H456">
        <v>59.8</v>
      </c>
      <c r="I456" s="8" t="s">
        <v>18</v>
      </c>
      <c r="J456">
        <v>35</v>
      </c>
      <c r="K456">
        <v>294</v>
      </c>
      <c r="L456">
        <v>8</v>
      </c>
      <c r="M456" s="8" t="s">
        <v>19</v>
      </c>
      <c r="N456">
        <v>73.7</v>
      </c>
      <c r="O456">
        <v>256</v>
      </c>
      <c r="P456">
        <v>0</v>
      </c>
      <c r="Q456">
        <v>8</v>
      </c>
      <c r="R456">
        <v>2024</v>
      </c>
      <c r="S456">
        <v>2</v>
      </c>
      <c r="T456" s="8" t="s">
        <v>92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</row>
    <row r="457" spans="1:26" x14ac:dyDescent="0.25">
      <c r="A457" s="1">
        <v>45406.86859953704</v>
      </c>
      <c r="B457" s="8" t="s">
        <v>29</v>
      </c>
      <c r="C457">
        <v>-19.392900000000001</v>
      </c>
      <c r="D457">
        <v>-10.2537</v>
      </c>
      <c r="E457">
        <v>103</v>
      </c>
      <c r="F457" s="8" t="s">
        <v>21</v>
      </c>
      <c r="G457">
        <v>24.8</v>
      </c>
      <c r="H457">
        <v>79.3</v>
      </c>
      <c r="I457" s="8" t="s">
        <v>22</v>
      </c>
      <c r="J457">
        <v>22</v>
      </c>
      <c r="K457">
        <v>393</v>
      </c>
      <c r="L457">
        <v>9</v>
      </c>
      <c r="M457" s="8" t="s">
        <v>23</v>
      </c>
      <c r="N457">
        <v>88.6</v>
      </c>
      <c r="O457">
        <v>108</v>
      </c>
      <c r="P457">
        <v>1</v>
      </c>
      <c r="Q457">
        <v>4</v>
      </c>
      <c r="R457">
        <v>2024</v>
      </c>
      <c r="S457">
        <v>3</v>
      </c>
      <c r="T457" s="8" t="s">
        <v>90</v>
      </c>
      <c r="U457">
        <v>0</v>
      </c>
      <c r="V457">
        <v>0</v>
      </c>
      <c r="W457">
        <v>2</v>
      </c>
      <c r="X457">
        <v>1</v>
      </c>
      <c r="Y457">
        <v>1</v>
      </c>
      <c r="Z457">
        <v>0</v>
      </c>
    </row>
    <row r="458" spans="1:26" x14ac:dyDescent="0.25">
      <c r="A458" s="1">
        <v>45544.903854166667</v>
      </c>
      <c r="B458" s="8" t="s">
        <v>25</v>
      </c>
      <c r="C458">
        <v>-32.514099999999999</v>
      </c>
      <c r="D458">
        <v>-170.95660000000001</v>
      </c>
      <c r="E458">
        <v>295</v>
      </c>
      <c r="F458" s="8" t="s">
        <v>26</v>
      </c>
      <c r="G458">
        <v>23.6</v>
      </c>
      <c r="H458">
        <v>72.8</v>
      </c>
      <c r="I458" s="8" t="s">
        <v>18</v>
      </c>
      <c r="J458">
        <v>18</v>
      </c>
      <c r="K458">
        <v>327</v>
      </c>
      <c r="L458">
        <v>5</v>
      </c>
      <c r="M458" s="8" t="s">
        <v>19</v>
      </c>
      <c r="N458">
        <v>92.1</v>
      </c>
      <c r="O458">
        <v>283</v>
      </c>
      <c r="P458">
        <v>0</v>
      </c>
      <c r="Q458">
        <v>9</v>
      </c>
      <c r="R458">
        <v>2024</v>
      </c>
      <c r="S458">
        <v>1</v>
      </c>
      <c r="T458" s="8" t="s">
        <v>91</v>
      </c>
      <c r="U458">
        <v>0</v>
      </c>
      <c r="V458">
        <v>1</v>
      </c>
      <c r="W458">
        <v>1</v>
      </c>
      <c r="X458">
        <v>0</v>
      </c>
      <c r="Y458">
        <v>0</v>
      </c>
      <c r="Z458">
        <v>0</v>
      </c>
    </row>
    <row r="459" spans="1:26" x14ac:dyDescent="0.25">
      <c r="A459" s="1">
        <v>45463.581909722219</v>
      </c>
      <c r="B459" s="8" t="s">
        <v>24</v>
      </c>
      <c r="C459">
        <v>59.378300000000003</v>
      </c>
      <c r="D459">
        <v>74.962800000000001</v>
      </c>
      <c r="E459">
        <v>300</v>
      </c>
      <c r="F459" s="8" t="s">
        <v>26</v>
      </c>
      <c r="G459">
        <v>27.4</v>
      </c>
      <c r="H459">
        <v>52.8</v>
      </c>
      <c r="I459" s="8" t="s">
        <v>18</v>
      </c>
      <c r="J459">
        <v>35</v>
      </c>
      <c r="K459">
        <v>431</v>
      </c>
      <c r="L459">
        <v>10</v>
      </c>
      <c r="M459" s="8" t="s">
        <v>19</v>
      </c>
      <c r="N459">
        <v>81.2</v>
      </c>
      <c r="O459">
        <v>120</v>
      </c>
      <c r="P459">
        <v>0</v>
      </c>
      <c r="Q459">
        <v>6</v>
      </c>
      <c r="R459">
        <v>2024</v>
      </c>
      <c r="S459">
        <v>4</v>
      </c>
      <c r="T459" s="8" t="s">
        <v>92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0</v>
      </c>
    </row>
    <row r="460" spans="1:26" x14ac:dyDescent="0.25">
      <c r="A460" s="1">
        <v>45445.454548611109</v>
      </c>
      <c r="B460" s="8" t="s">
        <v>16</v>
      </c>
      <c r="C460">
        <v>-36.2517</v>
      </c>
      <c r="D460">
        <v>72.472800000000007</v>
      </c>
      <c r="E460">
        <v>108</v>
      </c>
      <c r="F460" s="8" t="s">
        <v>26</v>
      </c>
      <c r="G460">
        <v>27.9</v>
      </c>
      <c r="H460">
        <v>65.599999999999994</v>
      </c>
      <c r="I460" s="8" t="s">
        <v>22</v>
      </c>
      <c r="J460">
        <v>46</v>
      </c>
      <c r="K460">
        <v>138</v>
      </c>
      <c r="L460">
        <v>4</v>
      </c>
      <c r="M460" s="8" t="s">
        <v>27</v>
      </c>
      <c r="N460">
        <v>82.7</v>
      </c>
      <c r="O460">
        <v>173</v>
      </c>
      <c r="P460">
        <v>1</v>
      </c>
      <c r="Q460">
        <v>6</v>
      </c>
      <c r="R460">
        <v>2024</v>
      </c>
      <c r="S460">
        <v>0</v>
      </c>
      <c r="T460" s="8" t="s">
        <v>92</v>
      </c>
      <c r="U460">
        <v>0</v>
      </c>
      <c r="V460">
        <v>1</v>
      </c>
      <c r="W460">
        <v>2</v>
      </c>
      <c r="X460">
        <v>1</v>
      </c>
      <c r="Y460">
        <v>0</v>
      </c>
      <c r="Z460">
        <v>1</v>
      </c>
    </row>
    <row r="461" spans="1:26" x14ac:dyDescent="0.25">
      <c r="A461" s="1">
        <v>45482.973460648151</v>
      </c>
      <c r="B461" s="8" t="s">
        <v>32</v>
      </c>
      <c r="C461">
        <v>-55.985399999999998</v>
      </c>
      <c r="D461">
        <v>-149.89580000000001</v>
      </c>
      <c r="E461">
        <v>153</v>
      </c>
      <c r="F461" s="8" t="s">
        <v>17</v>
      </c>
      <c r="G461">
        <v>27.5</v>
      </c>
      <c r="H461">
        <v>69.900000000000006</v>
      </c>
      <c r="I461" s="8" t="s">
        <v>18</v>
      </c>
      <c r="J461">
        <v>24</v>
      </c>
      <c r="K461">
        <v>118</v>
      </c>
      <c r="L461">
        <v>7</v>
      </c>
      <c r="M461" s="8" t="s">
        <v>23</v>
      </c>
      <c r="N461">
        <v>62.5</v>
      </c>
      <c r="O461">
        <v>237</v>
      </c>
      <c r="P461">
        <v>1</v>
      </c>
      <c r="Q461">
        <v>7</v>
      </c>
      <c r="R461">
        <v>2024</v>
      </c>
      <c r="S461">
        <v>2</v>
      </c>
      <c r="T461" s="8" t="s">
        <v>92</v>
      </c>
      <c r="U461">
        <v>0</v>
      </c>
      <c r="V461">
        <v>2</v>
      </c>
      <c r="W461">
        <v>1</v>
      </c>
      <c r="X461">
        <v>0</v>
      </c>
      <c r="Y461">
        <v>0</v>
      </c>
      <c r="Z461">
        <v>0</v>
      </c>
    </row>
    <row r="462" spans="1:26" x14ac:dyDescent="0.25">
      <c r="A462" s="1">
        <v>45476.411747685182</v>
      </c>
      <c r="B462" s="8" t="s">
        <v>32</v>
      </c>
      <c r="C462">
        <v>27.325900000000001</v>
      </c>
      <c r="D462">
        <v>-116.20659999999999</v>
      </c>
      <c r="E462">
        <v>336</v>
      </c>
      <c r="F462" s="8" t="s">
        <v>21</v>
      </c>
      <c r="G462">
        <v>22.5</v>
      </c>
      <c r="H462">
        <v>51.6</v>
      </c>
      <c r="I462" s="8" t="s">
        <v>18</v>
      </c>
      <c r="J462">
        <v>11</v>
      </c>
      <c r="K462">
        <v>446</v>
      </c>
      <c r="L462">
        <v>6</v>
      </c>
      <c r="M462" s="8" t="s">
        <v>19</v>
      </c>
      <c r="N462">
        <v>70.2</v>
      </c>
      <c r="O462">
        <v>275</v>
      </c>
      <c r="P462">
        <v>0</v>
      </c>
      <c r="Q462">
        <v>7</v>
      </c>
      <c r="R462">
        <v>2024</v>
      </c>
      <c r="S462">
        <v>3</v>
      </c>
      <c r="T462" s="8" t="s">
        <v>92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</row>
    <row r="463" spans="1:26" x14ac:dyDescent="0.25">
      <c r="A463" s="1">
        <v>45635.857662037037</v>
      </c>
      <c r="B463" s="8" t="s">
        <v>25</v>
      </c>
      <c r="C463">
        <v>27.735700000000001</v>
      </c>
      <c r="D463">
        <v>-170.57660000000001</v>
      </c>
      <c r="E463">
        <v>211</v>
      </c>
      <c r="F463" s="8" t="s">
        <v>17</v>
      </c>
      <c r="G463">
        <v>21.7</v>
      </c>
      <c r="H463">
        <v>52.3</v>
      </c>
      <c r="I463" s="8" t="s">
        <v>18</v>
      </c>
      <c r="J463">
        <v>11</v>
      </c>
      <c r="K463">
        <v>401</v>
      </c>
      <c r="L463">
        <v>9</v>
      </c>
      <c r="M463" s="8" t="s">
        <v>19</v>
      </c>
      <c r="N463">
        <v>66.2</v>
      </c>
      <c r="O463">
        <v>241</v>
      </c>
      <c r="P463">
        <v>1</v>
      </c>
      <c r="Q463">
        <v>12</v>
      </c>
      <c r="R463">
        <v>2024</v>
      </c>
      <c r="S463">
        <v>1</v>
      </c>
      <c r="T463" s="8" t="s">
        <v>93</v>
      </c>
      <c r="U463">
        <v>0</v>
      </c>
      <c r="V463">
        <v>2</v>
      </c>
      <c r="W463">
        <v>1</v>
      </c>
      <c r="X463">
        <v>0</v>
      </c>
      <c r="Y463">
        <v>0</v>
      </c>
      <c r="Z463">
        <v>0</v>
      </c>
    </row>
    <row r="464" spans="1:26" x14ac:dyDescent="0.25">
      <c r="A464" s="1">
        <v>45365.038587962961</v>
      </c>
      <c r="B464" s="8" t="s">
        <v>29</v>
      </c>
      <c r="C464">
        <v>23.202300000000001</v>
      </c>
      <c r="D464">
        <v>92.276300000000006</v>
      </c>
      <c r="E464">
        <v>144</v>
      </c>
      <c r="F464" s="8" t="s">
        <v>26</v>
      </c>
      <c r="G464">
        <v>21.1</v>
      </c>
      <c r="H464">
        <v>58.8</v>
      </c>
      <c r="I464" s="8" t="s">
        <v>28</v>
      </c>
      <c r="J464">
        <v>35</v>
      </c>
      <c r="K464">
        <v>443</v>
      </c>
      <c r="L464">
        <v>10</v>
      </c>
      <c r="M464" s="8" t="s">
        <v>31</v>
      </c>
      <c r="N464">
        <v>89</v>
      </c>
      <c r="O464">
        <v>141</v>
      </c>
      <c r="P464">
        <v>0</v>
      </c>
      <c r="Q464">
        <v>3</v>
      </c>
      <c r="R464">
        <v>2024</v>
      </c>
      <c r="S464">
        <v>4</v>
      </c>
      <c r="T464" s="8" t="s">
        <v>90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s="1">
        <v>45440.270729166667</v>
      </c>
      <c r="B465" s="8" t="s">
        <v>24</v>
      </c>
      <c r="C465">
        <v>87.512900000000002</v>
      </c>
      <c r="D465">
        <v>-65.092200000000005</v>
      </c>
      <c r="E465">
        <v>224</v>
      </c>
      <c r="F465" s="8" t="s">
        <v>17</v>
      </c>
      <c r="G465">
        <v>21.7</v>
      </c>
      <c r="H465">
        <v>78.5</v>
      </c>
      <c r="I465" s="8" t="s">
        <v>28</v>
      </c>
      <c r="J465">
        <v>20</v>
      </c>
      <c r="K465">
        <v>428</v>
      </c>
      <c r="L465">
        <v>7</v>
      </c>
      <c r="M465" s="8" t="s">
        <v>19</v>
      </c>
      <c r="N465">
        <v>72.400000000000006</v>
      </c>
      <c r="O465">
        <v>287</v>
      </c>
      <c r="P465">
        <v>1</v>
      </c>
      <c r="Q465">
        <v>5</v>
      </c>
      <c r="R465">
        <v>2024</v>
      </c>
      <c r="S465">
        <v>2</v>
      </c>
      <c r="T465" s="8" t="s">
        <v>90</v>
      </c>
      <c r="U465">
        <v>0</v>
      </c>
      <c r="V465">
        <v>2</v>
      </c>
      <c r="W465">
        <v>0</v>
      </c>
      <c r="X465">
        <v>0</v>
      </c>
      <c r="Y465">
        <v>1</v>
      </c>
      <c r="Z465">
        <v>0</v>
      </c>
    </row>
    <row r="466" spans="1:26" x14ac:dyDescent="0.25">
      <c r="A466" s="1">
        <v>45618.992569444446</v>
      </c>
      <c r="B466" s="8" t="s">
        <v>25</v>
      </c>
      <c r="C466">
        <v>81.197500000000005</v>
      </c>
      <c r="D466">
        <v>137.0497</v>
      </c>
      <c r="E466">
        <v>185</v>
      </c>
      <c r="F466" s="8" t="s">
        <v>21</v>
      </c>
      <c r="G466">
        <v>19.899999999999999</v>
      </c>
      <c r="H466">
        <v>66.3</v>
      </c>
      <c r="I466" s="8" t="s">
        <v>18</v>
      </c>
      <c r="J466">
        <v>59</v>
      </c>
      <c r="K466">
        <v>264</v>
      </c>
      <c r="L466">
        <v>4</v>
      </c>
      <c r="M466" s="8" t="s">
        <v>19</v>
      </c>
      <c r="N466">
        <v>65.2</v>
      </c>
      <c r="O466">
        <v>177</v>
      </c>
      <c r="P466">
        <v>0</v>
      </c>
      <c r="Q466">
        <v>11</v>
      </c>
      <c r="R466">
        <v>2024</v>
      </c>
      <c r="S466">
        <v>5</v>
      </c>
      <c r="T466" s="8" t="s">
        <v>91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</row>
    <row r="467" spans="1:26" x14ac:dyDescent="0.25">
      <c r="A467" s="1">
        <v>45403.15824074074</v>
      </c>
      <c r="B467" s="8" t="s">
        <v>29</v>
      </c>
      <c r="C467">
        <v>55.918999999999997</v>
      </c>
      <c r="D467">
        <v>-39.578000000000003</v>
      </c>
      <c r="E467">
        <v>220</v>
      </c>
      <c r="F467" s="8" t="s">
        <v>21</v>
      </c>
      <c r="G467">
        <v>28.2</v>
      </c>
      <c r="H467">
        <v>55.4</v>
      </c>
      <c r="I467" s="8" t="s">
        <v>28</v>
      </c>
      <c r="J467">
        <v>10</v>
      </c>
      <c r="K467">
        <v>203</v>
      </c>
      <c r="L467">
        <v>8</v>
      </c>
      <c r="M467" s="8" t="s">
        <v>23</v>
      </c>
      <c r="N467">
        <v>81.099999999999994</v>
      </c>
      <c r="O467">
        <v>281</v>
      </c>
      <c r="P467">
        <v>0</v>
      </c>
      <c r="Q467">
        <v>4</v>
      </c>
      <c r="R467">
        <v>2024</v>
      </c>
      <c r="S467">
        <v>0</v>
      </c>
      <c r="T467" s="8" t="s">
        <v>90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 s="1">
        <v>45366.293171296296</v>
      </c>
      <c r="B468" s="8" t="s">
        <v>34</v>
      </c>
      <c r="C468">
        <v>-15.3314</v>
      </c>
      <c r="D468">
        <v>22.396999999999998</v>
      </c>
      <c r="E468">
        <v>236</v>
      </c>
      <c r="F468" s="8" t="s">
        <v>21</v>
      </c>
      <c r="G468">
        <v>18.3</v>
      </c>
      <c r="H468">
        <v>69</v>
      </c>
      <c r="I468" s="8" t="s">
        <v>28</v>
      </c>
      <c r="J468">
        <v>34</v>
      </c>
      <c r="K468">
        <v>303</v>
      </c>
      <c r="L468">
        <v>2</v>
      </c>
      <c r="M468" s="8" t="s">
        <v>31</v>
      </c>
      <c r="N468">
        <v>62.6</v>
      </c>
      <c r="O468">
        <v>270</v>
      </c>
      <c r="P468">
        <v>0</v>
      </c>
      <c r="Q468">
        <v>3</v>
      </c>
      <c r="R468">
        <v>2024</v>
      </c>
      <c r="S468">
        <v>5</v>
      </c>
      <c r="T468" s="8" t="s">
        <v>90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s="1">
        <v>45373.592083333337</v>
      </c>
      <c r="B469" s="8" t="s">
        <v>24</v>
      </c>
      <c r="C469">
        <v>-55.360300000000002</v>
      </c>
      <c r="D469">
        <v>79.127600000000001</v>
      </c>
      <c r="E469">
        <v>159</v>
      </c>
      <c r="F469" s="8" t="s">
        <v>17</v>
      </c>
      <c r="G469">
        <v>29.7</v>
      </c>
      <c r="H469">
        <v>69.599999999999994</v>
      </c>
      <c r="I469" s="8" t="s">
        <v>28</v>
      </c>
      <c r="J469">
        <v>49</v>
      </c>
      <c r="K469">
        <v>227</v>
      </c>
      <c r="L469">
        <v>1</v>
      </c>
      <c r="M469" s="8" t="s">
        <v>19</v>
      </c>
      <c r="N469">
        <v>62</v>
      </c>
      <c r="O469">
        <v>232</v>
      </c>
      <c r="P469">
        <v>1</v>
      </c>
      <c r="Q469">
        <v>3</v>
      </c>
      <c r="R469">
        <v>2024</v>
      </c>
      <c r="S469">
        <v>5</v>
      </c>
      <c r="T469" s="8" t="s">
        <v>90</v>
      </c>
      <c r="U469">
        <v>1</v>
      </c>
      <c r="V469">
        <v>2</v>
      </c>
      <c r="W469">
        <v>0</v>
      </c>
      <c r="X469">
        <v>0</v>
      </c>
      <c r="Y469">
        <v>0</v>
      </c>
      <c r="Z469">
        <v>1</v>
      </c>
    </row>
    <row r="470" spans="1:26" x14ac:dyDescent="0.25">
      <c r="A470" s="1">
        <v>45553.691631944443</v>
      </c>
      <c r="B470" s="8" t="s">
        <v>20</v>
      </c>
      <c r="C470">
        <v>8.3933999999999997</v>
      </c>
      <c r="D470">
        <v>-165.20679999999999</v>
      </c>
      <c r="E470">
        <v>433</v>
      </c>
      <c r="F470" s="8" t="s">
        <v>17</v>
      </c>
      <c r="G470">
        <v>26.4</v>
      </c>
      <c r="H470">
        <v>69.3</v>
      </c>
      <c r="I470" s="8" t="s">
        <v>18</v>
      </c>
      <c r="J470">
        <v>25</v>
      </c>
      <c r="K470">
        <v>127</v>
      </c>
      <c r="L470">
        <v>8</v>
      </c>
      <c r="M470" s="8" t="s">
        <v>19</v>
      </c>
      <c r="N470">
        <v>84.5</v>
      </c>
      <c r="O470">
        <v>125</v>
      </c>
      <c r="P470">
        <v>1</v>
      </c>
      <c r="Q470">
        <v>9</v>
      </c>
      <c r="R470">
        <v>2024</v>
      </c>
      <c r="S470">
        <v>3</v>
      </c>
      <c r="T470" s="8" t="s">
        <v>91</v>
      </c>
      <c r="U470">
        <v>0</v>
      </c>
      <c r="V470">
        <v>2</v>
      </c>
      <c r="W470">
        <v>1</v>
      </c>
      <c r="X470">
        <v>0</v>
      </c>
      <c r="Y470">
        <v>0</v>
      </c>
      <c r="Z470">
        <v>0</v>
      </c>
    </row>
    <row r="471" spans="1:26" x14ac:dyDescent="0.25">
      <c r="A471" s="1">
        <v>45616.800023148149</v>
      </c>
      <c r="B471" s="8" t="s">
        <v>16</v>
      </c>
      <c r="C471">
        <v>27.498999999999999</v>
      </c>
      <c r="D471">
        <v>-98.069699999999997</v>
      </c>
      <c r="E471">
        <v>109</v>
      </c>
      <c r="F471" s="8" t="s">
        <v>21</v>
      </c>
      <c r="G471">
        <v>25.1</v>
      </c>
      <c r="H471">
        <v>76.5</v>
      </c>
      <c r="I471" s="8" t="s">
        <v>22</v>
      </c>
      <c r="J471">
        <v>16</v>
      </c>
      <c r="K471">
        <v>356</v>
      </c>
      <c r="L471">
        <v>5</v>
      </c>
      <c r="M471" s="8" t="s">
        <v>19</v>
      </c>
      <c r="N471">
        <v>64.900000000000006</v>
      </c>
      <c r="O471">
        <v>127</v>
      </c>
      <c r="P471">
        <v>1</v>
      </c>
      <c r="Q471">
        <v>11</v>
      </c>
      <c r="R471">
        <v>2024</v>
      </c>
      <c r="S471">
        <v>3</v>
      </c>
      <c r="T471" s="8" t="s">
        <v>91</v>
      </c>
      <c r="U471">
        <v>0</v>
      </c>
      <c r="V471">
        <v>0</v>
      </c>
      <c r="W471">
        <v>2</v>
      </c>
      <c r="X471">
        <v>1</v>
      </c>
      <c r="Y471">
        <v>1</v>
      </c>
      <c r="Z471">
        <v>0</v>
      </c>
    </row>
    <row r="472" spans="1:26" x14ac:dyDescent="0.25">
      <c r="A472" s="1">
        <v>45390.759618055556</v>
      </c>
      <c r="B472" s="8" t="s">
        <v>20</v>
      </c>
      <c r="C472">
        <v>14.686999999999999</v>
      </c>
      <c r="D472">
        <v>-33.9771</v>
      </c>
      <c r="E472">
        <v>453</v>
      </c>
      <c r="F472" s="8" t="s">
        <v>21</v>
      </c>
      <c r="G472">
        <v>25.8</v>
      </c>
      <c r="H472">
        <v>78.599999999999994</v>
      </c>
      <c r="I472" s="8" t="s">
        <v>18</v>
      </c>
      <c r="J472">
        <v>21</v>
      </c>
      <c r="K472">
        <v>142</v>
      </c>
      <c r="L472">
        <v>10</v>
      </c>
      <c r="M472" s="8" t="s">
        <v>31</v>
      </c>
      <c r="N472">
        <v>85.7</v>
      </c>
      <c r="O472">
        <v>180</v>
      </c>
      <c r="P472">
        <v>0</v>
      </c>
      <c r="Q472">
        <v>4</v>
      </c>
      <c r="R472">
        <v>2024</v>
      </c>
      <c r="S472">
        <v>1</v>
      </c>
      <c r="T472" s="8" t="s">
        <v>90</v>
      </c>
      <c r="U472">
        <v>0</v>
      </c>
      <c r="V472">
        <v>0</v>
      </c>
      <c r="W472">
        <v>1</v>
      </c>
      <c r="X472">
        <v>0</v>
      </c>
      <c r="Y472">
        <v>1</v>
      </c>
      <c r="Z472">
        <v>0</v>
      </c>
    </row>
    <row r="473" spans="1:26" x14ac:dyDescent="0.25">
      <c r="A473" s="1">
        <v>45304.691516203704</v>
      </c>
      <c r="B473" s="8" t="s">
        <v>25</v>
      </c>
      <c r="C473">
        <v>19.3645</v>
      </c>
      <c r="D473">
        <v>-149.45230000000001</v>
      </c>
      <c r="E473">
        <v>169</v>
      </c>
      <c r="F473" s="8" t="s">
        <v>21</v>
      </c>
      <c r="G473">
        <v>28.6</v>
      </c>
      <c r="H473">
        <v>78.8</v>
      </c>
      <c r="I473" s="8" t="s">
        <v>22</v>
      </c>
      <c r="J473">
        <v>27</v>
      </c>
      <c r="K473">
        <v>482</v>
      </c>
      <c r="L473">
        <v>4</v>
      </c>
      <c r="M473" s="8" t="s">
        <v>27</v>
      </c>
      <c r="N473">
        <v>80.5</v>
      </c>
      <c r="O473">
        <v>122</v>
      </c>
      <c r="P473">
        <v>1</v>
      </c>
      <c r="Q473">
        <v>1</v>
      </c>
      <c r="R473">
        <v>2024</v>
      </c>
      <c r="S473">
        <v>6</v>
      </c>
      <c r="T473" s="8" t="s">
        <v>93</v>
      </c>
      <c r="U473">
        <v>1</v>
      </c>
      <c r="V473">
        <v>0</v>
      </c>
      <c r="W473">
        <v>2</v>
      </c>
      <c r="X473">
        <v>1</v>
      </c>
      <c r="Y473">
        <v>1</v>
      </c>
      <c r="Z473">
        <v>0</v>
      </c>
    </row>
    <row r="474" spans="1:26" x14ac:dyDescent="0.25">
      <c r="A474" s="1">
        <v>45607.191400462965</v>
      </c>
      <c r="B474" s="8" t="s">
        <v>16</v>
      </c>
      <c r="C474">
        <v>38.085799999999999</v>
      </c>
      <c r="D474">
        <v>-149.297</v>
      </c>
      <c r="E474">
        <v>105</v>
      </c>
      <c r="F474" s="8" t="s">
        <v>17</v>
      </c>
      <c r="G474">
        <v>23.6</v>
      </c>
      <c r="H474">
        <v>54.4</v>
      </c>
      <c r="I474" s="8" t="s">
        <v>18</v>
      </c>
      <c r="J474">
        <v>18</v>
      </c>
      <c r="K474">
        <v>364</v>
      </c>
      <c r="L474">
        <v>10</v>
      </c>
      <c r="M474" s="8" t="s">
        <v>27</v>
      </c>
      <c r="N474">
        <v>76</v>
      </c>
      <c r="O474">
        <v>158</v>
      </c>
      <c r="P474">
        <v>1</v>
      </c>
      <c r="Q474">
        <v>11</v>
      </c>
      <c r="R474">
        <v>2024</v>
      </c>
      <c r="S474">
        <v>1</v>
      </c>
      <c r="T474" s="8" t="s">
        <v>91</v>
      </c>
      <c r="U474">
        <v>0</v>
      </c>
      <c r="V474">
        <v>2</v>
      </c>
      <c r="W474">
        <v>1</v>
      </c>
      <c r="X474">
        <v>0</v>
      </c>
      <c r="Y474">
        <v>0</v>
      </c>
      <c r="Z474">
        <v>0</v>
      </c>
    </row>
    <row r="475" spans="1:26" x14ac:dyDescent="0.25">
      <c r="A475" s="1">
        <v>45569.670567129629</v>
      </c>
      <c r="B475" s="8" t="s">
        <v>25</v>
      </c>
      <c r="C475">
        <v>4.3789999999999996</v>
      </c>
      <c r="D475">
        <v>97.635400000000004</v>
      </c>
      <c r="E475">
        <v>256</v>
      </c>
      <c r="F475" s="8" t="s">
        <v>26</v>
      </c>
      <c r="G475">
        <v>29.6</v>
      </c>
      <c r="H475">
        <v>73.7</v>
      </c>
      <c r="I475" s="8" t="s">
        <v>22</v>
      </c>
      <c r="J475">
        <v>20</v>
      </c>
      <c r="K475">
        <v>309</v>
      </c>
      <c r="L475">
        <v>8</v>
      </c>
      <c r="M475" s="8" t="s">
        <v>23</v>
      </c>
      <c r="N475">
        <v>83.4</v>
      </c>
      <c r="O475">
        <v>142</v>
      </c>
      <c r="P475">
        <v>1</v>
      </c>
      <c r="Q475">
        <v>10</v>
      </c>
      <c r="R475">
        <v>2024</v>
      </c>
      <c r="S475">
        <v>5</v>
      </c>
      <c r="T475" s="8" t="s">
        <v>91</v>
      </c>
      <c r="U475">
        <v>1</v>
      </c>
      <c r="V475">
        <v>1</v>
      </c>
      <c r="W475">
        <v>2</v>
      </c>
      <c r="X475">
        <v>1</v>
      </c>
      <c r="Y475">
        <v>0</v>
      </c>
      <c r="Z475">
        <v>0</v>
      </c>
    </row>
    <row r="476" spans="1:26" x14ac:dyDescent="0.25">
      <c r="A476" s="1">
        <v>45424.895590277774</v>
      </c>
      <c r="B476" s="8" t="s">
        <v>32</v>
      </c>
      <c r="C476">
        <v>-28.854199999999999</v>
      </c>
      <c r="D476">
        <v>119.50190000000001</v>
      </c>
      <c r="E476">
        <v>309</v>
      </c>
      <c r="F476" s="8" t="s">
        <v>26</v>
      </c>
      <c r="G476">
        <v>22.8</v>
      </c>
      <c r="H476">
        <v>52.8</v>
      </c>
      <c r="I476" s="8" t="s">
        <v>28</v>
      </c>
      <c r="J476">
        <v>19</v>
      </c>
      <c r="K476">
        <v>101</v>
      </c>
      <c r="L476">
        <v>2</v>
      </c>
      <c r="M476" s="8" t="s">
        <v>31</v>
      </c>
      <c r="N476">
        <v>85.5</v>
      </c>
      <c r="O476">
        <v>242</v>
      </c>
      <c r="P476">
        <v>0</v>
      </c>
      <c r="Q476">
        <v>5</v>
      </c>
      <c r="R476">
        <v>2024</v>
      </c>
      <c r="S476">
        <v>0</v>
      </c>
      <c r="T476" s="8" t="s">
        <v>90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s="1">
        <v>45649.208055555559</v>
      </c>
      <c r="B477" s="8" t="s">
        <v>25</v>
      </c>
      <c r="C477">
        <v>-17.584299999999999</v>
      </c>
      <c r="D477">
        <v>-151.1609</v>
      </c>
      <c r="E477">
        <v>346</v>
      </c>
      <c r="F477" s="8" t="s">
        <v>26</v>
      </c>
      <c r="G477">
        <v>26.9</v>
      </c>
      <c r="H477">
        <v>70.599999999999994</v>
      </c>
      <c r="I477" s="8" t="s">
        <v>18</v>
      </c>
      <c r="J477">
        <v>44</v>
      </c>
      <c r="K477">
        <v>192</v>
      </c>
      <c r="L477">
        <v>9</v>
      </c>
      <c r="M477" s="8" t="s">
        <v>27</v>
      </c>
      <c r="N477">
        <v>76.2</v>
      </c>
      <c r="O477">
        <v>239</v>
      </c>
      <c r="P477">
        <v>0</v>
      </c>
      <c r="Q477">
        <v>12</v>
      </c>
      <c r="R477">
        <v>2024</v>
      </c>
      <c r="S477">
        <v>1</v>
      </c>
      <c r="T477" s="8" t="s">
        <v>93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0</v>
      </c>
    </row>
    <row r="478" spans="1:26" x14ac:dyDescent="0.25">
      <c r="A478" s="1">
        <v>45458.032453703701</v>
      </c>
      <c r="B478" s="8" t="s">
        <v>29</v>
      </c>
      <c r="C478">
        <v>15.5281</v>
      </c>
      <c r="D478">
        <v>-170.39410000000001</v>
      </c>
      <c r="E478">
        <v>302</v>
      </c>
      <c r="F478" s="8" t="s">
        <v>17</v>
      </c>
      <c r="G478">
        <v>24.6</v>
      </c>
      <c r="H478">
        <v>60.6</v>
      </c>
      <c r="I478" s="8" t="s">
        <v>22</v>
      </c>
      <c r="J478">
        <v>30</v>
      </c>
      <c r="K478">
        <v>431</v>
      </c>
      <c r="L478">
        <v>3</v>
      </c>
      <c r="M478" s="8" t="s">
        <v>19</v>
      </c>
      <c r="N478">
        <v>76</v>
      </c>
      <c r="O478">
        <v>127</v>
      </c>
      <c r="P478">
        <v>1</v>
      </c>
      <c r="Q478">
        <v>6</v>
      </c>
      <c r="R478">
        <v>2024</v>
      </c>
      <c r="S478">
        <v>6</v>
      </c>
      <c r="T478" s="8" t="s">
        <v>92</v>
      </c>
      <c r="U478">
        <v>1</v>
      </c>
      <c r="V478">
        <v>2</v>
      </c>
      <c r="W478">
        <v>2</v>
      </c>
      <c r="X478">
        <v>1</v>
      </c>
      <c r="Y478">
        <v>0</v>
      </c>
      <c r="Z478">
        <v>0</v>
      </c>
    </row>
    <row r="479" spans="1:26" x14ac:dyDescent="0.25">
      <c r="A479" s="1">
        <v>45491.728668981479</v>
      </c>
      <c r="B479" s="8" t="s">
        <v>29</v>
      </c>
      <c r="C479">
        <v>-83.898300000000006</v>
      </c>
      <c r="D479">
        <v>-128.16419999999999</v>
      </c>
      <c r="E479">
        <v>181</v>
      </c>
      <c r="F479" s="8" t="s">
        <v>21</v>
      </c>
      <c r="G479">
        <v>24.7</v>
      </c>
      <c r="H479">
        <v>63.4</v>
      </c>
      <c r="I479" s="8" t="s">
        <v>22</v>
      </c>
      <c r="J479">
        <v>25</v>
      </c>
      <c r="K479">
        <v>107</v>
      </c>
      <c r="L479">
        <v>8</v>
      </c>
      <c r="M479" s="8" t="s">
        <v>19</v>
      </c>
      <c r="N479">
        <v>71.3</v>
      </c>
      <c r="O479">
        <v>265</v>
      </c>
      <c r="P479">
        <v>1</v>
      </c>
      <c r="Q479">
        <v>7</v>
      </c>
      <c r="R479">
        <v>2024</v>
      </c>
      <c r="S479">
        <v>4</v>
      </c>
      <c r="T479" s="8" t="s">
        <v>92</v>
      </c>
      <c r="U479">
        <v>0</v>
      </c>
      <c r="V479">
        <v>0</v>
      </c>
      <c r="W479">
        <v>2</v>
      </c>
      <c r="X479">
        <v>1</v>
      </c>
      <c r="Y479">
        <v>0</v>
      </c>
      <c r="Z479">
        <v>0</v>
      </c>
    </row>
    <row r="480" spans="1:26" x14ac:dyDescent="0.25">
      <c r="A480" s="1">
        <v>45332.361747685187</v>
      </c>
      <c r="B480" s="8" t="s">
        <v>25</v>
      </c>
      <c r="C480">
        <v>-25.482299999999999</v>
      </c>
      <c r="D480">
        <v>169.19210000000001</v>
      </c>
      <c r="E480">
        <v>282</v>
      </c>
      <c r="F480" s="8" t="s">
        <v>17</v>
      </c>
      <c r="G480">
        <v>21.8</v>
      </c>
      <c r="H480">
        <v>63.6</v>
      </c>
      <c r="I480" s="8" t="s">
        <v>28</v>
      </c>
      <c r="J480">
        <v>43</v>
      </c>
      <c r="K480">
        <v>370</v>
      </c>
      <c r="L480">
        <v>7</v>
      </c>
      <c r="M480" s="8" t="s">
        <v>27</v>
      </c>
      <c r="N480">
        <v>69.400000000000006</v>
      </c>
      <c r="O480">
        <v>251</v>
      </c>
      <c r="P480">
        <v>1</v>
      </c>
      <c r="Q480">
        <v>2</v>
      </c>
      <c r="R480">
        <v>2024</v>
      </c>
      <c r="S480">
        <v>6</v>
      </c>
      <c r="T480" s="8" t="s">
        <v>93</v>
      </c>
      <c r="U480">
        <v>1</v>
      </c>
      <c r="V480">
        <v>2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 s="1">
        <v>45544.449155092596</v>
      </c>
      <c r="B481" s="8" t="s">
        <v>24</v>
      </c>
      <c r="C481">
        <v>-69.492999999999995</v>
      </c>
      <c r="D481">
        <v>-118.9742</v>
      </c>
      <c r="E481">
        <v>398</v>
      </c>
      <c r="F481" s="8" t="s">
        <v>26</v>
      </c>
      <c r="G481">
        <v>26.5</v>
      </c>
      <c r="H481">
        <v>64.8</v>
      </c>
      <c r="I481" s="8" t="s">
        <v>22</v>
      </c>
      <c r="J481">
        <v>44</v>
      </c>
      <c r="K481">
        <v>387</v>
      </c>
      <c r="L481">
        <v>1</v>
      </c>
      <c r="M481" s="8" t="s">
        <v>19</v>
      </c>
      <c r="N481">
        <v>90.6</v>
      </c>
      <c r="O481">
        <v>122</v>
      </c>
      <c r="P481">
        <v>1</v>
      </c>
      <c r="Q481">
        <v>9</v>
      </c>
      <c r="R481">
        <v>2024</v>
      </c>
      <c r="S481">
        <v>1</v>
      </c>
      <c r="T481" s="8" t="s">
        <v>91</v>
      </c>
      <c r="U481">
        <v>0</v>
      </c>
      <c r="V481">
        <v>1</v>
      </c>
      <c r="W481">
        <v>2</v>
      </c>
      <c r="X481">
        <v>1</v>
      </c>
      <c r="Y481">
        <v>0</v>
      </c>
      <c r="Z481">
        <v>0</v>
      </c>
    </row>
    <row r="482" spans="1:26" x14ac:dyDescent="0.25">
      <c r="A482" s="1">
        <v>45401.345879629633</v>
      </c>
      <c r="B482" s="8" t="s">
        <v>35</v>
      </c>
      <c r="C482">
        <v>-8.0714000000000006</v>
      </c>
      <c r="D482">
        <v>-158.03039999999999</v>
      </c>
      <c r="E482">
        <v>210</v>
      </c>
      <c r="F482" s="8" t="s">
        <v>21</v>
      </c>
      <c r="G482">
        <v>24.7</v>
      </c>
      <c r="H482">
        <v>65</v>
      </c>
      <c r="I482" s="8" t="s">
        <v>22</v>
      </c>
      <c r="J482">
        <v>50</v>
      </c>
      <c r="K482">
        <v>185</v>
      </c>
      <c r="L482">
        <v>10</v>
      </c>
      <c r="M482" s="8" t="s">
        <v>31</v>
      </c>
      <c r="N482">
        <v>84.1</v>
      </c>
      <c r="O482">
        <v>140</v>
      </c>
      <c r="P482">
        <v>1</v>
      </c>
      <c r="Q482">
        <v>4</v>
      </c>
      <c r="R482">
        <v>2024</v>
      </c>
      <c r="S482">
        <v>5</v>
      </c>
      <c r="T482" s="8" t="s">
        <v>90</v>
      </c>
      <c r="U482">
        <v>1</v>
      </c>
      <c r="V482">
        <v>0</v>
      </c>
      <c r="W482">
        <v>2</v>
      </c>
      <c r="X482">
        <v>1</v>
      </c>
      <c r="Y482">
        <v>0</v>
      </c>
      <c r="Z482">
        <v>1</v>
      </c>
    </row>
    <row r="483" spans="1:26" x14ac:dyDescent="0.25">
      <c r="A483" s="1">
        <v>45509.781527777777</v>
      </c>
      <c r="B483" s="8" t="s">
        <v>25</v>
      </c>
      <c r="C483">
        <v>-59.991900000000001</v>
      </c>
      <c r="D483">
        <v>-162.9143</v>
      </c>
      <c r="E483">
        <v>188</v>
      </c>
      <c r="F483" s="8" t="s">
        <v>17</v>
      </c>
      <c r="G483">
        <v>22.4</v>
      </c>
      <c r="H483">
        <v>78</v>
      </c>
      <c r="I483" s="8" t="s">
        <v>22</v>
      </c>
      <c r="J483">
        <v>40</v>
      </c>
      <c r="K483">
        <v>372</v>
      </c>
      <c r="L483">
        <v>6</v>
      </c>
      <c r="M483" s="8" t="s">
        <v>23</v>
      </c>
      <c r="N483">
        <v>98</v>
      </c>
      <c r="O483">
        <v>237</v>
      </c>
      <c r="P483">
        <v>1</v>
      </c>
      <c r="Q483">
        <v>8</v>
      </c>
      <c r="R483">
        <v>2024</v>
      </c>
      <c r="S483">
        <v>1</v>
      </c>
      <c r="T483" s="8" t="s">
        <v>92</v>
      </c>
      <c r="U483">
        <v>0</v>
      </c>
      <c r="V483">
        <v>2</v>
      </c>
      <c r="W483">
        <v>2</v>
      </c>
      <c r="X483">
        <v>1</v>
      </c>
      <c r="Y483">
        <v>1</v>
      </c>
      <c r="Z483">
        <v>0</v>
      </c>
    </row>
    <row r="484" spans="1:26" x14ac:dyDescent="0.25">
      <c r="A484" s="1">
        <v>45457.777858796297</v>
      </c>
      <c r="B484" s="8" t="s">
        <v>33</v>
      </c>
      <c r="C484">
        <v>-47.523899999999998</v>
      </c>
      <c r="D484">
        <v>58.4771</v>
      </c>
      <c r="E484">
        <v>298</v>
      </c>
      <c r="F484" s="8" t="s">
        <v>17</v>
      </c>
      <c r="G484">
        <v>19.600000000000001</v>
      </c>
      <c r="H484">
        <v>76.099999999999994</v>
      </c>
      <c r="I484" s="8" t="s">
        <v>22</v>
      </c>
      <c r="J484">
        <v>22</v>
      </c>
      <c r="K484">
        <v>396</v>
      </c>
      <c r="L484">
        <v>7</v>
      </c>
      <c r="M484" s="8" t="s">
        <v>19</v>
      </c>
      <c r="N484">
        <v>65</v>
      </c>
      <c r="O484">
        <v>230</v>
      </c>
      <c r="P484">
        <v>1</v>
      </c>
      <c r="Q484">
        <v>6</v>
      </c>
      <c r="R484">
        <v>2024</v>
      </c>
      <c r="S484">
        <v>5</v>
      </c>
      <c r="T484" s="8" t="s">
        <v>92</v>
      </c>
      <c r="U484">
        <v>1</v>
      </c>
      <c r="V484">
        <v>2</v>
      </c>
      <c r="W484">
        <v>2</v>
      </c>
      <c r="X484">
        <v>1</v>
      </c>
      <c r="Y484">
        <v>1</v>
      </c>
      <c r="Z484">
        <v>0</v>
      </c>
    </row>
    <row r="485" spans="1:26" x14ac:dyDescent="0.25">
      <c r="A485" s="1">
        <v>45583.993379629632</v>
      </c>
      <c r="B485" s="8" t="s">
        <v>24</v>
      </c>
      <c r="C485">
        <v>-39.805199999999999</v>
      </c>
      <c r="D485">
        <v>-126.40730000000001</v>
      </c>
      <c r="E485">
        <v>298</v>
      </c>
      <c r="F485" s="8" t="s">
        <v>17</v>
      </c>
      <c r="G485">
        <v>24</v>
      </c>
      <c r="H485">
        <v>63.5</v>
      </c>
      <c r="I485" s="8" t="s">
        <v>18</v>
      </c>
      <c r="J485">
        <v>25</v>
      </c>
      <c r="K485">
        <v>456</v>
      </c>
      <c r="L485">
        <v>2</v>
      </c>
      <c r="M485" s="8" t="s">
        <v>19</v>
      </c>
      <c r="N485">
        <v>78.900000000000006</v>
      </c>
      <c r="O485">
        <v>147</v>
      </c>
      <c r="P485">
        <v>1</v>
      </c>
      <c r="Q485">
        <v>10</v>
      </c>
      <c r="R485">
        <v>2024</v>
      </c>
      <c r="S485">
        <v>5</v>
      </c>
      <c r="T485" s="8" t="s">
        <v>91</v>
      </c>
      <c r="U485">
        <v>1</v>
      </c>
      <c r="V485">
        <v>2</v>
      </c>
      <c r="W485">
        <v>1</v>
      </c>
      <c r="X485">
        <v>0</v>
      </c>
      <c r="Y485">
        <v>0</v>
      </c>
      <c r="Z485">
        <v>0</v>
      </c>
    </row>
    <row r="486" spans="1:26" x14ac:dyDescent="0.25">
      <c r="A486" s="1">
        <v>45410.06386574074</v>
      </c>
      <c r="B486" s="8" t="s">
        <v>33</v>
      </c>
      <c r="C486">
        <v>54.053699999999999</v>
      </c>
      <c r="D486">
        <v>-145.9922</v>
      </c>
      <c r="E486">
        <v>326</v>
      </c>
      <c r="F486" s="8" t="s">
        <v>17</v>
      </c>
      <c r="G486">
        <v>20</v>
      </c>
      <c r="H486">
        <v>56.6</v>
      </c>
      <c r="I486" s="8" t="s">
        <v>18</v>
      </c>
      <c r="J486">
        <v>17</v>
      </c>
      <c r="K486">
        <v>260</v>
      </c>
      <c r="L486">
        <v>6</v>
      </c>
      <c r="M486" s="8" t="s">
        <v>23</v>
      </c>
      <c r="N486">
        <v>67.5</v>
      </c>
      <c r="O486">
        <v>162</v>
      </c>
      <c r="P486">
        <v>1</v>
      </c>
      <c r="Q486">
        <v>4</v>
      </c>
      <c r="R486">
        <v>2024</v>
      </c>
      <c r="S486">
        <v>0</v>
      </c>
      <c r="T486" s="8" t="s">
        <v>90</v>
      </c>
      <c r="U486">
        <v>0</v>
      </c>
      <c r="V486">
        <v>2</v>
      </c>
      <c r="W486">
        <v>1</v>
      </c>
      <c r="X486">
        <v>0</v>
      </c>
      <c r="Y486">
        <v>0</v>
      </c>
      <c r="Z486">
        <v>0</v>
      </c>
    </row>
    <row r="487" spans="1:26" x14ac:dyDescent="0.25">
      <c r="A487" s="1">
        <v>45607.36451388889</v>
      </c>
      <c r="B487" s="8" t="s">
        <v>20</v>
      </c>
      <c r="C487">
        <v>7.0590999999999999</v>
      </c>
      <c r="D487">
        <v>46.718800000000002</v>
      </c>
      <c r="E487">
        <v>354</v>
      </c>
      <c r="F487" s="8" t="s">
        <v>17</v>
      </c>
      <c r="G487">
        <v>18.399999999999999</v>
      </c>
      <c r="H487">
        <v>77.5</v>
      </c>
      <c r="I487" s="8" t="s">
        <v>22</v>
      </c>
      <c r="J487">
        <v>40</v>
      </c>
      <c r="K487">
        <v>262</v>
      </c>
      <c r="L487">
        <v>7</v>
      </c>
      <c r="M487" s="8" t="s">
        <v>27</v>
      </c>
      <c r="N487">
        <v>68.5</v>
      </c>
      <c r="O487">
        <v>282</v>
      </c>
      <c r="P487">
        <v>1</v>
      </c>
      <c r="Q487">
        <v>11</v>
      </c>
      <c r="R487">
        <v>2024</v>
      </c>
      <c r="S487">
        <v>1</v>
      </c>
      <c r="T487" s="8" t="s">
        <v>91</v>
      </c>
      <c r="U487">
        <v>0</v>
      </c>
      <c r="V487">
        <v>2</v>
      </c>
      <c r="W487">
        <v>2</v>
      </c>
      <c r="X487">
        <v>1</v>
      </c>
      <c r="Y487">
        <v>1</v>
      </c>
      <c r="Z487">
        <v>0</v>
      </c>
    </row>
    <row r="488" spans="1:26" x14ac:dyDescent="0.25">
      <c r="A488" s="1">
        <v>45548.453275462962</v>
      </c>
      <c r="B488" s="8" t="s">
        <v>29</v>
      </c>
      <c r="C488">
        <v>-50.363300000000002</v>
      </c>
      <c r="D488">
        <v>99.583399999999997</v>
      </c>
      <c r="E488">
        <v>269</v>
      </c>
      <c r="F488" s="8" t="s">
        <v>21</v>
      </c>
      <c r="G488">
        <v>22.4</v>
      </c>
      <c r="H488">
        <v>63.6</v>
      </c>
      <c r="I488" s="8" t="s">
        <v>18</v>
      </c>
      <c r="J488">
        <v>54</v>
      </c>
      <c r="K488">
        <v>481</v>
      </c>
      <c r="L488">
        <v>7</v>
      </c>
      <c r="M488" s="8" t="s">
        <v>27</v>
      </c>
      <c r="N488">
        <v>82.5</v>
      </c>
      <c r="O488">
        <v>183</v>
      </c>
      <c r="P488">
        <v>0</v>
      </c>
      <c r="Q488">
        <v>9</v>
      </c>
      <c r="R488">
        <v>2024</v>
      </c>
      <c r="S488">
        <v>5</v>
      </c>
      <c r="T488" s="8" t="s">
        <v>91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</row>
    <row r="489" spans="1:26" x14ac:dyDescent="0.25">
      <c r="A489" s="1">
        <v>45457.718287037038</v>
      </c>
      <c r="B489" s="8" t="s">
        <v>29</v>
      </c>
      <c r="C489">
        <v>51.932699999999997</v>
      </c>
      <c r="D489">
        <v>-102.43089999999999</v>
      </c>
      <c r="E489">
        <v>475</v>
      </c>
      <c r="F489" s="8" t="s">
        <v>26</v>
      </c>
      <c r="G489">
        <v>29.3</v>
      </c>
      <c r="H489">
        <v>62.8</v>
      </c>
      <c r="I489" s="8" t="s">
        <v>28</v>
      </c>
      <c r="J489">
        <v>29</v>
      </c>
      <c r="K489">
        <v>359</v>
      </c>
      <c r="L489">
        <v>9</v>
      </c>
      <c r="M489" s="8" t="s">
        <v>31</v>
      </c>
      <c r="N489">
        <v>95.1</v>
      </c>
      <c r="O489">
        <v>122</v>
      </c>
      <c r="P489">
        <v>0</v>
      </c>
      <c r="Q489">
        <v>6</v>
      </c>
      <c r="R489">
        <v>2024</v>
      </c>
      <c r="S489">
        <v>5</v>
      </c>
      <c r="T489" s="8" t="s">
        <v>92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 s="1">
        <v>45293.64634259259</v>
      </c>
      <c r="B490" s="8" t="s">
        <v>29</v>
      </c>
      <c r="C490">
        <v>-36.487000000000002</v>
      </c>
      <c r="D490">
        <v>14.5024</v>
      </c>
      <c r="E490">
        <v>372</v>
      </c>
      <c r="F490" s="8" t="s">
        <v>17</v>
      </c>
      <c r="G490">
        <v>20.399999999999999</v>
      </c>
      <c r="H490">
        <v>57.2</v>
      </c>
      <c r="I490" s="8" t="s">
        <v>28</v>
      </c>
      <c r="J490">
        <v>29</v>
      </c>
      <c r="K490">
        <v>153</v>
      </c>
      <c r="L490">
        <v>1</v>
      </c>
      <c r="M490" s="8" t="s">
        <v>23</v>
      </c>
      <c r="N490">
        <v>78.2</v>
      </c>
      <c r="O490">
        <v>221</v>
      </c>
      <c r="P490">
        <v>1</v>
      </c>
      <c r="Q490">
        <v>1</v>
      </c>
      <c r="R490">
        <v>2024</v>
      </c>
      <c r="S490">
        <v>2</v>
      </c>
      <c r="T490" s="8" t="s">
        <v>93</v>
      </c>
      <c r="U490">
        <v>0</v>
      </c>
      <c r="V490">
        <v>2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 s="1">
        <v>45571.207430555558</v>
      </c>
      <c r="B491" s="8" t="s">
        <v>34</v>
      </c>
      <c r="C491">
        <v>27.2654</v>
      </c>
      <c r="D491">
        <v>-34.104199999999999</v>
      </c>
      <c r="E491">
        <v>201</v>
      </c>
      <c r="F491" s="8" t="s">
        <v>21</v>
      </c>
      <c r="G491">
        <v>26</v>
      </c>
      <c r="H491">
        <v>51.5</v>
      </c>
      <c r="I491" s="8" t="s">
        <v>28</v>
      </c>
      <c r="J491">
        <v>40</v>
      </c>
      <c r="K491">
        <v>429</v>
      </c>
      <c r="L491">
        <v>4</v>
      </c>
      <c r="M491" s="8" t="s">
        <v>23</v>
      </c>
      <c r="N491">
        <v>87</v>
      </c>
      <c r="O491">
        <v>107</v>
      </c>
      <c r="P491">
        <v>0</v>
      </c>
      <c r="Q491">
        <v>10</v>
      </c>
      <c r="R491">
        <v>2024</v>
      </c>
      <c r="S491">
        <v>0</v>
      </c>
      <c r="T491" s="8" t="s">
        <v>91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s="1">
        <v>45447.699467592596</v>
      </c>
      <c r="B492" s="8" t="s">
        <v>16</v>
      </c>
      <c r="C492">
        <v>15.2159</v>
      </c>
      <c r="D492">
        <v>-55.681399999999996</v>
      </c>
      <c r="E492">
        <v>441</v>
      </c>
      <c r="F492" s="8" t="s">
        <v>21</v>
      </c>
      <c r="G492">
        <v>25.3</v>
      </c>
      <c r="H492">
        <v>72.900000000000006</v>
      </c>
      <c r="I492" s="8" t="s">
        <v>28</v>
      </c>
      <c r="J492">
        <v>47</v>
      </c>
      <c r="K492">
        <v>152</v>
      </c>
      <c r="L492">
        <v>4</v>
      </c>
      <c r="M492" s="8" t="s">
        <v>23</v>
      </c>
      <c r="N492">
        <v>67.400000000000006</v>
      </c>
      <c r="O492">
        <v>256</v>
      </c>
      <c r="P492">
        <v>0</v>
      </c>
      <c r="Q492">
        <v>6</v>
      </c>
      <c r="R492">
        <v>2024</v>
      </c>
      <c r="S492">
        <v>2</v>
      </c>
      <c r="T492" s="8" t="s">
        <v>92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 x14ac:dyDescent="0.25">
      <c r="A493" s="1">
        <v>45324.511828703704</v>
      </c>
      <c r="B493" s="8" t="s">
        <v>20</v>
      </c>
      <c r="C493">
        <v>27.4437</v>
      </c>
      <c r="D493">
        <v>43.322400000000002</v>
      </c>
      <c r="E493">
        <v>246</v>
      </c>
      <c r="F493" s="8" t="s">
        <v>17</v>
      </c>
      <c r="G493">
        <v>25.3</v>
      </c>
      <c r="H493">
        <v>57.4</v>
      </c>
      <c r="I493" s="8" t="s">
        <v>28</v>
      </c>
      <c r="J493">
        <v>33</v>
      </c>
      <c r="K493">
        <v>298</v>
      </c>
      <c r="L493">
        <v>8</v>
      </c>
      <c r="M493" s="8" t="s">
        <v>27</v>
      </c>
      <c r="N493">
        <v>70.400000000000006</v>
      </c>
      <c r="O493">
        <v>110</v>
      </c>
      <c r="P493">
        <v>1</v>
      </c>
      <c r="Q493">
        <v>2</v>
      </c>
      <c r="R493">
        <v>2024</v>
      </c>
      <c r="S493">
        <v>5</v>
      </c>
      <c r="T493" s="8" t="s">
        <v>93</v>
      </c>
      <c r="U493">
        <v>1</v>
      </c>
      <c r="V493">
        <v>2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 s="1">
        <v>45465.321030092593</v>
      </c>
      <c r="B494" s="8" t="s">
        <v>24</v>
      </c>
      <c r="C494">
        <v>-58.692799999999998</v>
      </c>
      <c r="D494">
        <v>165.86670000000001</v>
      </c>
      <c r="E494">
        <v>180</v>
      </c>
      <c r="F494" s="8" t="s">
        <v>17</v>
      </c>
      <c r="G494">
        <v>25.4</v>
      </c>
      <c r="H494">
        <v>50.4</v>
      </c>
      <c r="I494" s="8" t="s">
        <v>22</v>
      </c>
      <c r="J494">
        <v>32</v>
      </c>
      <c r="K494">
        <v>246</v>
      </c>
      <c r="L494">
        <v>2</v>
      </c>
      <c r="M494" s="8" t="s">
        <v>31</v>
      </c>
      <c r="N494">
        <v>65.400000000000006</v>
      </c>
      <c r="O494">
        <v>203</v>
      </c>
      <c r="P494">
        <v>1</v>
      </c>
      <c r="Q494">
        <v>6</v>
      </c>
      <c r="R494">
        <v>2024</v>
      </c>
      <c r="S494">
        <v>6</v>
      </c>
      <c r="T494" s="8" t="s">
        <v>92</v>
      </c>
      <c r="U494">
        <v>1</v>
      </c>
      <c r="V494">
        <v>2</v>
      </c>
      <c r="W494">
        <v>2</v>
      </c>
      <c r="X494">
        <v>1</v>
      </c>
      <c r="Y494">
        <v>0</v>
      </c>
      <c r="Z494">
        <v>0</v>
      </c>
    </row>
    <row r="495" spans="1:26" x14ac:dyDescent="0.25">
      <c r="A495" s="1">
        <v>45352.61681712963</v>
      </c>
      <c r="B495" s="8" t="s">
        <v>25</v>
      </c>
      <c r="C495">
        <v>-38.073700000000002</v>
      </c>
      <c r="D495">
        <v>56.072299999999998</v>
      </c>
      <c r="E495">
        <v>127</v>
      </c>
      <c r="F495" s="8" t="s">
        <v>17</v>
      </c>
      <c r="G495">
        <v>21</v>
      </c>
      <c r="H495">
        <v>54.6</v>
      </c>
      <c r="I495" s="8" t="s">
        <v>18</v>
      </c>
      <c r="J495">
        <v>13</v>
      </c>
      <c r="K495">
        <v>452</v>
      </c>
      <c r="L495">
        <v>9</v>
      </c>
      <c r="M495" s="8" t="s">
        <v>31</v>
      </c>
      <c r="N495">
        <v>79</v>
      </c>
      <c r="O495">
        <v>299</v>
      </c>
      <c r="P495">
        <v>1</v>
      </c>
      <c r="Q495">
        <v>3</v>
      </c>
      <c r="R495">
        <v>2024</v>
      </c>
      <c r="S495">
        <v>5</v>
      </c>
      <c r="T495" s="8" t="s">
        <v>90</v>
      </c>
      <c r="U495">
        <v>1</v>
      </c>
      <c r="V495">
        <v>2</v>
      </c>
      <c r="W495">
        <v>1</v>
      </c>
      <c r="X495">
        <v>0</v>
      </c>
      <c r="Y495">
        <v>0</v>
      </c>
      <c r="Z495">
        <v>0</v>
      </c>
    </row>
    <row r="496" spans="1:26" x14ac:dyDescent="0.25">
      <c r="A496" s="1">
        <v>45523.066666666666</v>
      </c>
      <c r="B496" s="8" t="s">
        <v>33</v>
      </c>
      <c r="C496">
        <v>-50.677799999999998</v>
      </c>
      <c r="D496">
        <v>-102.041</v>
      </c>
      <c r="E496">
        <v>246</v>
      </c>
      <c r="F496" s="8" t="s">
        <v>17</v>
      </c>
      <c r="G496">
        <v>20.8</v>
      </c>
      <c r="H496">
        <v>79.2</v>
      </c>
      <c r="I496" s="8" t="s">
        <v>22</v>
      </c>
      <c r="J496">
        <v>55</v>
      </c>
      <c r="K496">
        <v>325</v>
      </c>
      <c r="L496">
        <v>2</v>
      </c>
      <c r="M496" s="8" t="s">
        <v>19</v>
      </c>
      <c r="N496">
        <v>80.5</v>
      </c>
      <c r="O496">
        <v>271</v>
      </c>
      <c r="P496">
        <v>1</v>
      </c>
      <c r="Q496">
        <v>8</v>
      </c>
      <c r="R496">
        <v>2024</v>
      </c>
      <c r="S496">
        <v>1</v>
      </c>
      <c r="T496" s="8" t="s">
        <v>92</v>
      </c>
      <c r="U496">
        <v>0</v>
      </c>
      <c r="V496">
        <v>2</v>
      </c>
      <c r="W496">
        <v>2</v>
      </c>
      <c r="X496">
        <v>1</v>
      </c>
      <c r="Y496">
        <v>1</v>
      </c>
      <c r="Z496">
        <v>1</v>
      </c>
    </row>
    <row r="497" spans="1:26" x14ac:dyDescent="0.25">
      <c r="A497" s="1">
        <v>45613.098634259259</v>
      </c>
      <c r="B497" s="8" t="s">
        <v>30</v>
      </c>
      <c r="C497">
        <v>-88.775999999999996</v>
      </c>
      <c r="D497">
        <v>-125.1628</v>
      </c>
      <c r="E497">
        <v>470</v>
      </c>
      <c r="F497" s="8" t="s">
        <v>26</v>
      </c>
      <c r="G497">
        <v>21.5</v>
      </c>
      <c r="H497">
        <v>51</v>
      </c>
      <c r="I497" s="8" t="s">
        <v>22</v>
      </c>
      <c r="J497">
        <v>59</v>
      </c>
      <c r="K497">
        <v>293</v>
      </c>
      <c r="L497">
        <v>7</v>
      </c>
      <c r="M497" s="8" t="s">
        <v>31</v>
      </c>
      <c r="N497">
        <v>86.6</v>
      </c>
      <c r="O497">
        <v>113</v>
      </c>
      <c r="P497">
        <v>1</v>
      </c>
      <c r="Q497">
        <v>11</v>
      </c>
      <c r="R497">
        <v>2024</v>
      </c>
      <c r="S497">
        <v>0</v>
      </c>
      <c r="T497" s="8" t="s">
        <v>91</v>
      </c>
      <c r="U497">
        <v>0</v>
      </c>
      <c r="V497">
        <v>1</v>
      </c>
      <c r="W497">
        <v>2</v>
      </c>
      <c r="X497">
        <v>1</v>
      </c>
      <c r="Y497">
        <v>0</v>
      </c>
      <c r="Z497">
        <v>1</v>
      </c>
    </row>
    <row r="498" spans="1:26" x14ac:dyDescent="0.25">
      <c r="A498" s="1">
        <v>45502.011805555558</v>
      </c>
      <c r="B498" s="8" t="s">
        <v>32</v>
      </c>
      <c r="C498">
        <v>69.691000000000003</v>
      </c>
      <c r="D498">
        <v>148.6549</v>
      </c>
      <c r="E498">
        <v>386</v>
      </c>
      <c r="F498" s="8" t="s">
        <v>17</v>
      </c>
      <c r="G498">
        <v>25.9</v>
      </c>
      <c r="H498">
        <v>71.599999999999994</v>
      </c>
      <c r="I498" s="8" t="s">
        <v>28</v>
      </c>
      <c r="J498">
        <v>36</v>
      </c>
      <c r="K498">
        <v>193</v>
      </c>
      <c r="L498">
        <v>10</v>
      </c>
      <c r="M498" s="8" t="s">
        <v>23</v>
      </c>
      <c r="N498">
        <v>72</v>
      </c>
      <c r="O498">
        <v>299</v>
      </c>
      <c r="P498">
        <v>1</v>
      </c>
      <c r="Q498">
        <v>7</v>
      </c>
      <c r="R498">
        <v>2024</v>
      </c>
      <c r="S498">
        <v>1</v>
      </c>
      <c r="T498" s="8" t="s">
        <v>92</v>
      </c>
      <c r="U498">
        <v>0</v>
      </c>
      <c r="V498">
        <v>2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 s="1">
        <v>45429.875590277778</v>
      </c>
      <c r="B499" s="8" t="s">
        <v>32</v>
      </c>
      <c r="C499">
        <v>-82.261600000000001</v>
      </c>
      <c r="D499">
        <v>-141.82499999999999</v>
      </c>
      <c r="E499">
        <v>325</v>
      </c>
      <c r="F499" s="8" t="s">
        <v>21</v>
      </c>
      <c r="G499">
        <v>26.2</v>
      </c>
      <c r="H499">
        <v>64.3</v>
      </c>
      <c r="I499" s="8" t="s">
        <v>28</v>
      </c>
      <c r="J499">
        <v>31</v>
      </c>
      <c r="K499">
        <v>491</v>
      </c>
      <c r="L499">
        <v>7</v>
      </c>
      <c r="M499" s="8" t="s">
        <v>31</v>
      </c>
      <c r="N499">
        <v>60.7</v>
      </c>
      <c r="O499">
        <v>290</v>
      </c>
      <c r="P499">
        <v>0</v>
      </c>
      <c r="Q499">
        <v>5</v>
      </c>
      <c r="R499">
        <v>2024</v>
      </c>
      <c r="S499">
        <v>5</v>
      </c>
      <c r="T499" s="8" t="s">
        <v>90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s="1">
        <v>45362.840208333335</v>
      </c>
      <c r="B500" s="8" t="s">
        <v>35</v>
      </c>
      <c r="C500">
        <v>2.7286000000000001</v>
      </c>
      <c r="D500">
        <v>-99.544200000000004</v>
      </c>
      <c r="E500">
        <v>432</v>
      </c>
      <c r="F500" s="8" t="s">
        <v>21</v>
      </c>
      <c r="G500">
        <v>25.9</v>
      </c>
      <c r="H500">
        <v>65.8</v>
      </c>
      <c r="I500" s="8" t="s">
        <v>28</v>
      </c>
      <c r="J500">
        <v>42</v>
      </c>
      <c r="K500">
        <v>265</v>
      </c>
      <c r="L500">
        <v>8</v>
      </c>
      <c r="M500" s="8" t="s">
        <v>19</v>
      </c>
      <c r="N500">
        <v>86.8</v>
      </c>
      <c r="O500">
        <v>140</v>
      </c>
      <c r="P500">
        <v>0</v>
      </c>
      <c r="Q500">
        <v>3</v>
      </c>
      <c r="R500">
        <v>2024</v>
      </c>
      <c r="S500">
        <v>1</v>
      </c>
      <c r="T500" s="8" t="s">
        <v>90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25">
      <c r="A501" s="1">
        <v>45491.237534722219</v>
      </c>
      <c r="B501" s="8" t="s">
        <v>16</v>
      </c>
      <c r="C501">
        <v>84.249799999999993</v>
      </c>
      <c r="D501">
        <v>-60.886099999999999</v>
      </c>
      <c r="E501">
        <v>273</v>
      </c>
      <c r="F501" s="8" t="s">
        <v>17</v>
      </c>
      <c r="G501">
        <v>20.2</v>
      </c>
      <c r="H501">
        <v>72.2</v>
      </c>
      <c r="I501" s="8" t="s">
        <v>28</v>
      </c>
      <c r="J501">
        <v>19</v>
      </c>
      <c r="K501">
        <v>115</v>
      </c>
      <c r="L501">
        <v>5</v>
      </c>
      <c r="M501" s="8" t="s">
        <v>19</v>
      </c>
      <c r="N501">
        <v>68.8</v>
      </c>
      <c r="O501">
        <v>238</v>
      </c>
      <c r="P501">
        <v>1</v>
      </c>
      <c r="Q501">
        <v>7</v>
      </c>
      <c r="R501">
        <v>2024</v>
      </c>
      <c r="S501">
        <v>4</v>
      </c>
      <c r="T501" s="8" t="s">
        <v>92</v>
      </c>
      <c r="U501">
        <v>0</v>
      </c>
      <c r="V501">
        <v>2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 s="1">
        <v>45609.480370370373</v>
      </c>
      <c r="B502" s="8" t="s">
        <v>29</v>
      </c>
      <c r="C502">
        <v>8.7621000000000002</v>
      </c>
      <c r="D502">
        <v>-2.9218000000000002</v>
      </c>
      <c r="E502">
        <v>492</v>
      </c>
      <c r="F502" s="8" t="s">
        <v>26</v>
      </c>
      <c r="G502">
        <v>21.6</v>
      </c>
      <c r="H502">
        <v>78.3</v>
      </c>
      <c r="I502" s="8" t="s">
        <v>28</v>
      </c>
      <c r="J502">
        <v>58</v>
      </c>
      <c r="K502">
        <v>122</v>
      </c>
      <c r="L502">
        <v>9</v>
      </c>
      <c r="M502" s="8" t="s">
        <v>19</v>
      </c>
      <c r="N502">
        <v>61.2</v>
      </c>
      <c r="O502">
        <v>202</v>
      </c>
      <c r="P502">
        <v>0</v>
      </c>
      <c r="Q502">
        <v>11</v>
      </c>
      <c r="R502">
        <v>2024</v>
      </c>
      <c r="S502">
        <v>3</v>
      </c>
      <c r="T502" s="8" t="s">
        <v>91</v>
      </c>
      <c r="U502">
        <v>0</v>
      </c>
      <c r="V502">
        <v>1</v>
      </c>
      <c r="W502">
        <v>0</v>
      </c>
      <c r="X502">
        <v>0</v>
      </c>
      <c r="Y502">
        <v>1</v>
      </c>
      <c r="Z502">
        <v>1</v>
      </c>
    </row>
    <row r="503" spans="1:26" x14ac:dyDescent="0.25">
      <c r="A503" s="1">
        <v>45292.4846875</v>
      </c>
      <c r="B503" s="8" t="s">
        <v>29</v>
      </c>
      <c r="C503">
        <v>-59.075299999999999</v>
      </c>
      <c r="D503">
        <v>68.488600000000005</v>
      </c>
      <c r="E503">
        <v>303</v>
      </c>
      <c r="F503" s="8" t="s">
        <v>21</v>
      </c>
      <c r="G503">
        <v>24.6</v>
      </c>
      <c r="H503">
        <v>68.599999999999994</v>
      </c>
      <c r="I503" s="8" t="s">
        <v>18</v>
      </c>
      <c r="J503">
        <v>50</v>
      </c>
      <c r="K503">
        <v>213</v>
      </c>
      <c r="L503">
        <v>6</v>
      </c>
      <c r="M503" s="8" t="s">
        <v>31</v>
      </c>
      <c r="N503">
        <v>97.1</v>
      </c>
      <c r="O503">
        <v>297</v>
      </c>
      <c r="P503">
        <v>0</v>
      </c>
      <c r="Q503">
        <v>1</v>
      </c>
      <c r="R503">
        <v>2024</v>
      </c>
      <c r="S503">
        <v>1</v>
      </c>
      <c r="T503" s="8" t="s">
        <v>93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1</v>
      </c>
    </row>
    <row r="504" spans="1:26" x14ac:dyDescent="0.25">
      <c r="A504" s="1">
        <v>45572.764664351853</v>
      </c>
      <c r="B504" s="8" t="s">
        <v>20</v>
      </c>
      <c r="C504">
        <v>5.7218</v>
      </c>
      <c r="D504">
        <v>-96.580600000000004</v>
      </c>
      <c r="E504">
        <v>270</v>
      </c>
      <c r="F504" s="8" t="s">
        <v>21</v>
      </c>
      <c r="G504">
        <v>28.1</v>
      </c>
      <c r="H504">
        <v>73.599999999999994</v>
      </c>
      <c r="I504" s="8" t="s">
        <v>28</v>
      </c>
      <c r="J504">
        <v>57</v>
      </c>
      <c r="K504">
        <v>283</v>
      </c>
      <c r="L504">
        <v>2</v>
      </c>
      <c r="M504" s="8" t="s">
        <v>31</v>
      </c>
      <c r="N504">
        <v>92.3</v>
      </c>
      <c r="O504">
        <v>122</v>
      </c>
      <c r="P504">
        <v>0</v>
      </c>
      <c r="Q504">
        <v>10</v>
      </c>
      <c r="R504">
        <v>2024</v>
      </c>
      <c r="S504">
        <v>1</v>
      </c>
      <c r="T504" s="8" t="s">
        <v>91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 x14ac:dyDescent="0.25">
      <c r="A505" s="1">
        <v>45489.693796296298</v>
      </c>
      <c r="B505" s="8" t="s">
        <v>29</v>
      </c>
      <c r="C505">
        <v>-38.315800000000003</v>
      </c>
      <c r="D505">
        <v>-38.325699999999998</v>
      </c>
      <c r="E505">
        <v>382</v>
      </c>
      <c r="F505" s="8" t="s">
        <v>26</v>
      </c>
      <c r="G505">
        <v>21.6</v>
      </c>
      <c r="H505">
        <v>50.5</v>
      </c>
      <c r="I505" s="8" t="s">
        <v>18</v>
      </c>
      <c r="J505">
        <v>31</v>
      </c>
      <c r="K505">
        <v>160</v>
      </c>
      <c r="L505">
        <v>8</v>
      </c>
      <c r="M505" s="8" t="s">
        <v>23</v>
      </c>
      <c r="N505">
        <v>94.8</v>
      </c>
      <c r="O505">
        <v>261</v>
      </c>
      <c r="P505">
        <v>0</v>
      </c>
      <c r="Q505">
        <v>7</v>
      </c>
      <c r="R505">
        <v>2024</v>
      </c>
      <c r="S505">
        <v>2</v>
      </c>
      <c r="T505" s="8" t="s">
        <v>92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0</v>
      </c>
    </row>
    <row r="506" spans="1:26" x14ac:dyDescent="0.25">
      <c r="A506" s="1">
        <v>45395.731851851851</v>
      </c>
      <c r="B506" s="8" t="s">
        <v>29</v>
      </c>
      <c r="C506">
        <v>-87.404200000000003</v>
      </c>
      <c r="D506">
        <v>-127.32689999999999</v>
      </c>
      <c r="E506">
        <v>197</v>
      </c>
      <c r="F506" s="8" t="s">
        <v>26</v>
      </c>
      <c r="G506">
        <v>23.3</v>
      </c>
      <c r="H506">
        <v>53.5</v>
      </c>
      <c r="I506" s="8" t="s">
        <v>22</v>
      </c>
      <c r="J506">
        <v>41</v>
      </c>
      <c r="K506">
        <v>259</v>
      </c>
      <c r="L506">
        <v>9</v>
      </c>
      <c r="M506" s="8" t="s">
        <v>23</v>
      </c>
      <c r="N506">
        <v>91.3</v>
      </c>
      <c r="O506">
        <v>211</v>
      </c>
      <c r="P506">
        <v>1</v>
      </c>
      <c r="Q506">
        <v>4</v>
      </c>
      <c r="R506">
        <v>2024</v>
      </c>
      <c r="S506">
        <v>6</v>
      </c>
      <c r="T506" s="8" t="s">
        <v>90</v>
      </c>
      <c r="U506">
        <v>1</v>
      </c>
      <c r="V506">
        <v>1</v>
      </c>
      <c r="W506">
        <v>2</v>
      </c>
      <c r="X506">
        <v>1</v>
      </c>
      <c r="Y506">
        <v>0</v>
      </c>
      <c r="Z506">
        <v>0</v>
      </c>
    </row>
    <row r="507" spans="1:26" x14ac:dyDescent="0.25">
      <c r="A507" s="1">
        <v>45515.096053240741</v>
      </c>
      <c r="B507" s="8" t="s">
        <v>25</v>
      </c>
      <c r="C507">
        <v>-77.364800000000002</v>
      </c>
      <c r="D507">
        <v>30.974399999999999</v>
      </c>
      <c r="E507">
        <v>368</v>
      </c>
      <c r="F507" s="8" t="s">
        <v>21</v>
      </c>
      <c r="G507">
        <v>25</v>
      </c>
      <c r="H507">
        <v>60.7</v>
      </c>
      <c r="I507" s="8" t="s">
        <v>28</v>
      </c>
      <c r="J507">
        <v>37</v>
      </c>
      <c r="K507">
        <v>382</v>
      </c>
      <c r="L507">
        <v>5</v>
      </c>
      <c r="M507" s="8" t="s">
        <v>23</v>
      </c>
      <c r="N507">
        <v>82.8</v>
      </c>
      <c r="O507">
        <v>225</v>
      </c>
      <c r="P507">
        <v>0</v>
      </c>
      <c r="Q507">
        <v>8</v>
      </c>
      <c r="R507">
        <v>2024</v>
      </c>
      <c r="S507">
        <v>0</v>
      </c>
      <c r="T507" s="8" t="s">
        <v>92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s="1">
        <v>45310.010717592595</v>
      </c>
      <c r="B508" s="8" t="s">
        <v>16</v>
      </c>
      <c r="C508">
        <v>-73.047700000000006</v>
      </c>
      <c r="D508">
        <v>124.79689999999999</v>
      </c>
      <c r="E508">
        <v>223</v>
      </c>
      <c r="F508" s="8" t="s">
        <v>21</v>
      </c>
      <c r="G508">
        <v>19.5</v>
      </c>
      <c r="H508">
        <v>55.6</v>
      </c>
      <c r="I508" s="8" t="s">
        <v>28</v>
      </c>
      <c r="J508">
        <v>23</v>
      </c>
      <c r="K508">
        <v>154</v>
      </c>
      <c r="L508">
        <v>4</v>
      </c>
      <c r="M508" s="8" t="s">
        <v>23</v>
      </c>
      <c r="N508">
        <v>62.9</v>
      </c>
      <c r="O508">
        <v>217</v>
      </c>
      <c r="P508">
        <v>0</v>
      </c>
      <c r="Q508">
        <v>1</v>
      </c>
      <c r="R508">
        <v>2024</v>
      </c>
      <c r="S508">
        <v>5</v>
      </c>
      <c r="T508" s="8" t="s">
        <v>93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25">
      <c r="A509" s="1">
        <v>45652.159930555557</v>
      </c>
      <c r="B509" s="8" t="s">
        <v>16</v>
      </c>
      <c r="C509">
        <v>-27.576000000000001</v>
      </c>
      <c r="D509">
        <v>-111.3158</v>
      </c>
      <c r="E509">
        <v>340</v>
      </c>
      <c r="F509" s="8" t="s">
        <v>17</v>
      </c>
      <c r="G509">
        <v>25.9</v>
      </c>
      <c r="H509">
        <v>75.3</v>
      </c>
      <c r="I509" s="8" t="s">
        <v>18</v>
      </c>
      <c r="J509">
        <v>18</v>
      </c>
      <c r="K509">
        <v>424</v>
      </c>
      <c r="L509">
        <v>7</v>
      </c>
      <c r="M509" s="8" t="s">
        <v>23</v>
      </c>
      <c r="N509">
        <v>67.3</v>
      </c>
      <c r="O509">
        <v>287</v>
      </c>
      <c r="P509">
        <v>1</v>
      </c>
      <c r="Q509">
        <v>12</v>
      </c>
      <c r="R509">
        <v>2024</v>
      </c>
      <c r="S509">
        <v>4</v>
      </c>
      <c r="T509" s="8" t="s">
        <v>93</v>
      </c>
      <c r="U509">
        <v>0</v>
      </c>
      <c r="V509">
        <v>2</v>
      </c>
      <c r="W509">
        <v>1</v>
      </c>
      <c r="X509">
        <v>0</v>
      </c>
      <c r="Y509">
        <v>1</v>
      </c>
      <c r="Z509">
        <v>0</v>
      </c>
    </row>
    <row r="510" spans="1:26" x14ac:dyDescent="0.25">
      <c r="A510" s="1">
        <v>45301.530752314815</v>
      </c>
      <c r="B510" s="8" t="s">
        <v>24</v>
      </c>
      <c r="C510">
        <v>49.9465</v>
      </c>
      <c r="D510">
        <v>-30.023599999999998</v>
      </c>
      <c r="E510">
        <v>355</v>
      </c>
      <c r="F510" s="8" t="s">
        <v>26</v>
      </c>
      <c r="G510">
        <v>20.2</v>
      </c>
      <c r="H510">
        <v>51.3</v>
      </c>
      <c r="I510" s="8" t="s">
        <v>28</v>
      </c>
      <c r="J510">
        <v>49</v>
      </c>
      <c r="K510">
        <v>323</v>
      </c>
      <c r="L510">
        <v>4</v>
      </c>
      <c r="M510" s="8" t="s">
        <v>31</v>
      </c>
      <c r="N510">
        <v>72.599999999999994</v>
      </c>
      <c r="O510">
        <v>100</v>
      </c>
      <c r="P510">
        <v>0</v>
      </c>
      <c r="Q510">
        <v>1</v>
      </c>
      <c r="R510">
        <v>2024</v>
      </c>
      <c r="S510">
        <v>3</v>
      </c>
      <c r="T510" s="8" t="s">
        <v>93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1</v>
      </c>
    </row>
    <row r="511" spans="1:26" x14ac:dyDescent="0.25">
      <c r="A511" s="1">
        <v>45588.550763888888</v>
      </c>
      <c r="B511" s="8" t="s">
        <v>30</v>
      </c>
      <c r="C511">
        <v>-50.685600000000001</v>
      </c>
      <c r="D511">
        <v>-9.6235999999999997</v>
      </c>
      <c r="E511">
        <v>158</v>
      </c>
      <c r="F511" s="8" t="s">
        <v>21</v>
      </c>
      <c r="G511">
        <v>26.6</v>
      </c>
      <c r="H511">
        <v>63.8</v>
      </c>
      <c r="I511" s="8" t="s">
        <v>22</v>
      </c>
      <c r="J511">
        <v>51</v>
      </c>
      <c r="K511">
        <v>199</v>
      </c>
      <c r="L511">
        <v>4</v>
      </c>
      <c r="M511" s="8" t="s">
        <v>19</v>
      </c>
      <c r="N511">
        <v>84.8</v>
      </c>
      <c r="O511">
        <v>114</v>
      </c>
      <c r="P511">
        <v>1</v>
      </c>
      <c r="Q511">
        <v>10</v>
      </c>
      <c r="R511">
        <v>2024</v>
      </c>
      <c r="S511">
        <v>3</v>
      </c>
      <c r="T511" s="8" t="s">
        <v>91</v>
      </c>
      <c r="U511">
        <v>0</v>
      </c>
      <c r="V511">
        <v>0</v>
      </c>
      <c r="W511">
        <v>2</v>
      </c>
      <c r="X511">
        <v>1</v>
      </c>
      <c r="Y511">
        <v>0</v>
      </c>
      <c r="Z511">
        <v>1</v>
      </c>
    </row>
    <row r="512" spans="1:26" x14ac:dyDescent="0.25">
      <c r="A512" s="1">
        <v>45504.828726851854</v>
      </c>
      <c r="B512" s="8" t="s">
        <v>24</v>
      </c>
      <c r="C512">
        <v>84.112200000000001</v>
      </c>
      <c r="D512">
        <v>-87.899000000000001</v>
      </c>
      <c r="E512">
        <v>126</v>
      </c>
      <c r="F512" s="8" t="s">
        <v>17</v>
      </c>
      <c r="G512">
        <v>25.1</v>
      </c>
      <c r="H512">
        <v>58</v>
      </c>
      <c r="I512" s="8" t="s">
        <v>18</v>
      </c>
      <c r="J512">
        <v>47</v>
      </c>
      <c r="K512">
        <v>291</v>
      </c>
      <c r="L512">
        <v>7</v>
      </c>
      <c r="M512" s="8" t="s">
        <v>27</v>
      </c>
      <c r="N512">
        <v>92.3</v>
      </c>
      <c r="O512">
        <v>123</v>
      </c>
      <c r="P512">
        <v>1</v>
      </c>
      <c r="Q512">
        <v>7</v>
      </c>
      <c r="R512">
        <v>2024</v>
      </c>
      <c r="S512">
        <v>3</v>
      </c>
      <c r="T512" s="8" t="s">
        <v>92</v>
      </c>
      <c r="U512">
        <v>0</v>
      </c>
      <c r="V512">
        <v>2</v>
      </c>
      <c r="W512">
        <v>1</v>
      </c>
      <c r="X512">
        <v>0</v>
      </c>
      <c r="Y512">
        <v>0</v>
      </c>
      <c r="Z512">
        <v>1</v>
      </c>
    </row>
    <row r="513" spans="1:26" x14ac:dyDescent="0.25">
      <c r="A513" s="1">
        <v>45509.934803240743</v>
      </c>
      <c r="B513" s="8" t="s">
        <v>32</v>
      </c>
      <c r="C513">
        <v>49.919699999999999</v>
      </c>
      <c r="D513">
        <v>79.465299999999999</v>
      </c>
      <c r="E513">
        <v>309</v>
      </c>
      <c r="F513" s="8" t="s">
        <v>21</v>
      </c>
      <c r="G513">
        <v>20.6</v>
      </c>
      <c r="H513">
        <v>77.3</v>
      </c>
      <c r="I513" s="8" t="s">
        <v>28</v>
      </c>
      <c r="J513">
        <v>60</v>
      </c>
      <c r="K513">
        <v>177</v>
      </c>
      <c r="L513">
        <v>5</v>
      </c>
      <c r="M513" s="8" t="s">
        <v>23</v>
      </c>
      <c r="N513">
        <v>69.2</v>
      </c>
      <c r="O513">
        <v>271</v>
      </c>
      <c r="P513">
        <v>0</v>
      </c>
      <c r="Q513">
        <v>8</v>
      </c>
      <c r="R513">
        <v>2024</v>
      </c>
      <c r="S513">
        <v>1</v>
      </c>
      <c r="T513" s="8" t="s">
        <v>92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1</v>
      </c>
    </row>
    <row r="514" spans="1:26" x14ac:dyDescent="0.25">
      <c r="A514" s="1">
        <v>45336.031284722223</v>
      </c>
      <c r="B514" s="8" t="s">
        <v>24</v>
      </c>
      <c r="C514">
        <v>-44.625399999999999</v>
      </c>
      <c r="D514">
        <v>44.087600000000002</v>
      </c>
      <c r="E514">
        <v>171</v>
      </c>
      <c r="F514" s="8" t="s">
        <v>17</v>
      </c>
      <c r="G514">
        <v>22.6</v>
      </c>
      <c r="H514">
        <v>69.900000000000006</v>
      </c>
      <c r="I514" s="8" t="s">
        <v>18</v>
      </c>
      <c r="J514">
        <v>26</v>
      </c>
      <c r="K514">
        <v>104</v>
      </c>
      <c r="L514">
        <v>2</v>
      </c>
      <c r="M514" s="8" t="s">
        <v>23</v>
      </c>
      <c r="N514">
        <v>88.1</v>
      </c>
      <c r="O514">
        <v>132</v>
      </c>
      <c r="P514">
        <v>1</v>
      </c>
      <c r="Q514">
        <v>2</v>
      </c>
      <c r="R514">
        <v>2024</v>
      </c>
      <c r="S514">
        <v>3</v>
      </c>
      <c r="T514" s="8" t="s">
        <v>93</v>
      </c>
      <c r="U514">
        <v>0</v>
      </c>
      <c r="V514">
        <v>2</v>
      </c>
      <c r="W514">
        <v>1</v>
      </c>
      <c r="X514">
        <v>0</v>
      </c>
      <c r="Y514">
        <v>0</v>
      </c>
      <c r="Z514">
        <v>0</v>
      </c>
    </row>
    <row r="515" spans="1:26" x14ac:dyDescent="0.25">
      <c r="A515" s="1">
        <v>45640.031365740739</v>
      </c>
      <c r="B515" s="8" t="s">
        <v>20</v>
      </c>
      <c r="C515">
        <v>-57.3005</v>
      </c>
      <c r="D515">
        <v>-23.688800000000001</v>
      </c>
      <c r="E515">
        <v>403</v>
      </c>
      <c r="F515" s="8" t="s">
        <v>21</v>
      </c>
      <c r="G515">
        <v>29.6</v>
      </c>
      <c r="H515">
        <v>63</v>
      </c>
      <c r="I515" s="8" t="s">
        <v>28</v>
      </c>
      <c r="J515">
        <v>12</v>
      </c>
      <c r="K515">
        <v>197</v>
      </c>
      <c r="L515">
        <v>4</v>
      </c>
      <c r="M515" s="8" t="s">
        <v>19</v>
      </c>
      <c r="N515">
        <v>83.8</v>
      </c>
      <c r="O515">
        <v>228</v>
      </c>
      <c r="P515">
        <v>0</v>
      </c>
      <c r="Q515">
        <v>12</v>
      </c>
      <c r="R515">
        <v>2024</v>
      </c>
      <c r="S515">
        <v>6</v>
      </c>
      <c r="T515" s="8" t="s">
        <v>93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s="1">
        <v>45489.342002314814</v>
      </c>
      <c r="B516" s="8" t="s">
        <v>20</v>
      </c>
      <c r="C516">
        <v>-47.569800000000001</v>
      </c>
      <c r="D516">
        <v>-81.314300000000003</v>
      </c>
      <c r="E516">
        <v>181</v>
      </c>
      <c r="F516" s="8" t="s">
        <v>26</v>
      </c>
      <c r="G516">
        <v>25.9</v>
      </c>
      <c r="H516">
        <v>69.099999999999994</v>
      </c>
      <c r="I516" s="8" t="s">
        <v>22</v>
      </c>
      <c r="J516">
        <v>44</v>
      </c>
      <c r="K516">
        <v>264</v>
      </c>
      <c r="L516">
        <v>9</v>
      </c>
      <c r="M516" s="8" t="s">
        <v>31</v>
      </c>
      <c r="N516">
        <v>69.900000000000006</v>
      </c>
      <c r="O516">
        <v>223</v>
      </c>
      <c r="P516">
        <v>1</v>
      </c>
      <c r="Q516">
        <v>7</v>
      </c>
      <c r="R516">
        <v>2024</v>
      </c>
      <c r="S516">
        <v>2</v>
      </c>
      <c r="T516" s="8" t="s">
        <v>92</v>
      </c>
      <c r="U516">
        <v>0</v>
      </c>
      <c r="V516">
        <v>1</v>
      </c>
      <c r="W516">
        <v>2</v>
      </c>
      <c r="X516">
        <v>1</v>
      </c>
      <c r="Y516">
        <v>0</v>
      </c>
      <c r="Z516">
        <v>0</v>
      </c>
    </row>
    <row r="517" spans="1:26" x14ac:dyDescent="0.25">
      <c r="A517" s="1">
        <v>45634.411377314813</v>
      </c>
      <c r="B517" s="8" t="s">
        <v>16</v>
      </c>
      <c r="C517">
        <v>-80.267499999999998</v>
      </c>
      <c r="D517">
        <v>-80.572599999999994</v>
      </c>
      <c r="E517">
        <v>472</v>
      </c>
      <c r="F517" s="8" t="s">
        <v>17</v>
      </c>
      <c r="G517">
        <v>23</v>
      </c>
      <c r="H517">
        <v>68</v>
      </c>
      <c r="I517" s="8" t="s">
        <v>22</v>
      </c>
      <c r="J517">
        <v>34</v>
      </c>
      <c r="K517">
        <v>365</v>
      </c>
      <c r="L517">
        <v>3</v>
      </c>
      <c r="M517" s="8" t="s">
        <v>27</v>
      </c>
      <c r="N517">
        <v>87.8</v>
      </c>
      <c r="O517">
        <v>294</v>
      </c>
      <c r="P517">
        <v>1</v>
      </c>
      <c r="Q517">
        <v>12</v>
      </c>
      <c r="R517">
        <v>2024</v>
      </c>
      <c r="S517">
        <v>0</v>
      </c>
      <c r="T517" s="8" t="s">
        <v>93</v>
      </c>
      <c r="U517">
        <v>0</v>
      </c>
      <c r="V517">
        <v>2</v>
      </c>
      <c r="W517">
        <v>2</v>
      </c>
      <c r="X517">
        <v>1</v>
      </c>
      <c r="Y517">
        <v>0</v>
      </c>
      <c r="Z517">
        <v>0</v>
      </c>
    </row>
    <row r="518" spans="1:26" x14ac:dyDescent="0.25">
      <c r="A518" s="1">
        <v>45420.077719907407</v>
      </c>
      <c r="B518" s="8" t="s">
        <v>32</v>
      </c>
      <c r="C518">
        <v>-70.321299999999994</v>
      </c>
      <c r="D518">
        <v>-61.917900000000003</v>
      </c>
      <c r="E518">
        <v>171</v>
      </c>
      <c r="F518" s="8" t="s">
        <v>26</v>
      </c>
      <c r="G518">
        <v>25.5</v>
      </c>
      <c r="H518">
        <v>51.1</v>
      </c>
      <c r="I518" s="8" t="s">
        <v>18</v>
      </c>
      <c r="J518">
        <v>43</v>
      </c>
      <c r="K518">
        <v>114</v>
      </c>
      <c r="L518">
        <v>1</v>
      </c>
      <c r="M518" s="8" t="s">
        <v>23</v>
      </c>
      <c r="N518">
        <v>92.5</v>
      </c>
      <c r="O518">
        <v>149</v>
      </c>
      <c r="P518">
        <v>0</v>
      </c>
      <c r="Q518">
        <v>5</v>
      </c>
      <c r="R518">
        <v>2024</v>
      </c>
      <c r="S518">
        <v>3</v>
      </c>
      <c r="T518" s="8" t="s">
        <v>90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0</v>
      </c>
    </row>
    <row r="519" spans="1:26" x14ac:dyDescent="0.25">
      <c r="A519" s="1">
        <v>45493.565081018518</v>
      </c>
      <c r="B519" s="8" t="s">
        <v>20</v>
      </c>
      <c r="C519">
        <v>48.251199999999997</v>
      </c>
      <c r="D519">
        <v>-106.6383</v>
      </c>
      <c r="E519">
        <v>204</v>
      </c>
      <c r="F519" s="8" t="s">
        <v>17</v>
      </c>
      <c r="G519">
        <v>19.2</v>
      </c>
      <c r="H519">
        <v>58</v>
      </c>
      <c r="I519" s="8" t="s">
        <v>22</v>
      </c>
      <c r="J519">
        <v>50</v>
      </c>
      <c r="K519">
        <v>465</v>
      </c>
      <c r="L519">
        <v>8</v>
      </c>
      <c r="M519" s="8" t="s">
        <v>23</v>
      </c>
      <c r="N519">
        <v>85.2</v>
      </c>
      <c r="O519">
        <v>133</v>
      </c>
      <c r="P519">
        <v>1</v>
      </c>
      <c r="Q519">
        <v>7</v>
      </c>
      <c r="R519">
        <v>2024</v>
      </c>
      <c r="S519">
        <v>6</v>
      </c>
      <c r="T519" s="8" t="s">
        <v>92</v>
      </c>
      <c r="U519">
        <v>1</v>
      </c>
      <c r="V519">
        <v>2</v>
      </c>
      <c r="W519">
        <v>2</v>
      </c>
      <c r="X519">
        <v>1</v>
      </c>
      <c r="Y519">
        <v>0</v>
      </c>
      <c r="Z519">
        <v>1</v>
      </c>
    </row>
    <row r="520" spans="1:26" x14ac:dyDescent="0.25">
      <c r="A520" s="1">
        <v>45589.624907407408</v>
      </c>
      <c r="B520" s="8" t="s">
        <v>29</v>
      </c>
      <c r="C520">
        <v>-74.674899999999994</v>
      </c>
      <c r="D520">
        <v>-159.71639999999999</v>
      </c>
      <c r="E520">
        <v>254</v>
      </c>
      <c r="F520" s="8" t="s">
        <v>21</v>
      </c>
      <c r="G520">
        <v>26.7</v>
      </c>
      <c r="H520">
        <v>51.3</v>
      </c>
      <c r="I520" s="8" t="s">
        <v>18</v>
      </c>
      <c r="J520">
        <v>11</v>
      </c>
      <c r="K520">
        <v>378</v>
      </c>
      <c r="L520">
        <v>8</v>
      </c>
      <c r="M520" s="8" t="s">
        <v>19</v>
      </c>
      <c r="N520">
        <v>90.6</v>
      </c>
      <c r="O520">
        <v>208</v>
      </c>
      <c r="P520">
        <v>0</v>
      </c>
      <c r="Q520">
        <v>10</v>
      </c>
      <c r="R520">
        <v>2024</v>
      </c>
      <c r="S520">
        <v>4</v>
      </c>
      <c r="T520" s="8" t="s">
        <v>91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</row>
    <row r="521" spans="1:26" x14ac:dyDescent="0.25">
      <c r="A521" s="1">
        <v>45619.456192129626</v>
      </c>
      <c r="B521" s="8" t="s">
        <v>29</v>
      </c>
      <c r="C521">
        <v>-46.013199999999998</v>
      </c>
      <c r="D521">
        <v>-8.5335000000000001</v>
      </c>
      <c r="E521">
        <v>100</v>
      </c>
      <c r="F521" s="8" t="s">
        <v>17</v>
      </c>
      <c r="G521">
        <v>21</v>
      </c>
      <c r="H521">
        <v>71.2</v>
      </c>
      <c r="I521" s="8" t="s">
        <v>28</v>
      </c>
      <c r="J521">
        <v>19</v>
      </c>
      <c r="K521">
        <v>315</v>
      </c>
      <c r="L521">
        <v>9</v>
      </c>
      <c r="M521" s="8" t="s">
        <v>23</v>
      </c>
      <c r="N521">
        <v>82.2</v>
      </c>
      <c r="O521">
        <v>100</v>
      </c>
      <c r="P521">
        <v>1</v>
      </c>
      <c r="Q521">
        <v>11</v>
      </c>
      <c r="R521">
        <v>2024</v>
      </c>
      <c r="S521">
        <v>6</v>
      </c>
      <c r="T521" s="8" t="s">
        <v>91</v>
      </c>
      <c r="U521">
        <v>1</v>
      </c>
      <c r="V521">
        <v>2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 s="1">
        <v>45400.368750000001</v>
      </c>
      <c r="B522" s="8" t="s">
        <v>35</v>
      </c>
      <c r="C522">
        <v>9.3293999999999997</v>
      </c>
      <c r="D522">
        <v>-71.529899999999998</v>
      </c>
      <c r="E522">
        <v>211</v>
      </c>
      <c r="F522" s="8" t="s">
        <v>26</v>
      </c>
      <c r="G522">
        <v>23.7</v>
      </c>
      <c r="H522">
        <v>66.7</v>
      </c>
      <c r="I522" s="8" t="s">
        <v>22</v>
      </c>
      <c r="J522">
        <v>36</v>
      </c>
      <c r="K522">
        <v>149</v>
      </c>
      <c r="L522">
        <v>1</v>
      </c>
      <c r="M522" s="8" t="s">
        <v>31</v>
      </c>
      <c r="N522">
        <v>60.7</v>
      </c>
      <c r="O522">
        <v>256</v>
      </c>
      <c r="P522">
        <v>1</v>
      </c>
      <c r="Q522">
        <v>4</v>
      </c>
      <c r="R522">
        <v>2024</v>
      </c>
      <c r="S522">
        <v>4</v>
      </c>
      <c r="T522" s="8" t="s">
        <v>90</v>
      </c>
      <c r="U522">
        <v>0</v>
      </c>
      <c r="V522">
        <v>1</v>
      </c>
      <c r="W522">
        <v>2</v>
      </c>
      <c r="X522">
        <v>1</v>
      </c>
      <c r="Y522">
        <v>0</v>
      </c>
      <c r="Z522">
        <v>0</v>
      </c>
    </row>
    <row r="523" spans="1:26" x14ac:dyDescent="0.25">
      <c r="A523" s="1">
        <v>45515.196875000001</v>
      </c>
      <c r="B523" s="8" t="s">
        <v>25</v>
      </c>
      <c r="C523">
        <v>5.0095000000000001</v>
      </c>
      <c r="D523">
        <v>-113.8279</v>
      </c>
      <c r="E523">
        <v>145</v>
      </c>
      <c r="F523" s="8" t="s">
        <v>17</v>
      </c>
      <c r="G523">
        <v>18.2</v>
      </c>
      <c r="H523">
        <v>62.2</v>
      </c>
      <c r="I523" s="8" t="s">
        <v>22</v>
      </c>
      <c r="J523">
        <v>56</v>
      </c>
      <c r="K523">
        <v>430</v>
      </c>
      <c r="L523">
        <v>5</v>
      </c>
      <c r="M523" s="8" t="s">
        <v>27</v>
      </c>
      <c r="N523">
        <v>86.7</v>
      </c>
      <c r="O523">
        <v>260</v>
      </c>
      <c r="P523">
        <v>1</v>
      </c>
      <c r="Q523">
        <v>8</v>
      </c>
      <c r="R523">
        <v>2024</v>
      </c>
      <c r="S523">
        <v>0</v>
      </c>
      <c r="T523" s="8" t="s">
        <v>92</v>
      </c>
      <c r="U523">
        <v>0</v>
      </c>
      <c r="V523">
        <v>2</v>
      </c>
      <c r="W523">
        <v>2</v>
      </c>
      <c r="X523">
        <v>1</v>
      </c>
      <c r="Y523">
        <v>0</v>
      </c>
      <c r="Z523">
        <v>1</v>
      </c>
    </row>
    <row r="524" spans="1:26" x14ac:dyDescent="0.25">
      <c r="A524" s="1">
        <v>45574.561851851853</v>
      </c>
      <c r="B524" s="8" t="s">
        <v>20</v>
      </c>
      <c r="C524">
        <v>-70.809399999999997</v>
      </c>
      <c r="D524">
        <v>75.109399999999994</v>
      </c>
      <c r="E524">
        <v>244</v>
      </c>
      <c r="F524" s="8" t="s">
        <v>26</v>
      </c>
      <c r="G524">
        <v>21.3</v>
      </c>
      <c r="H524">
        <v>79.400000000000006</v>
      </c>
      <c r="I524" s="8" t="s">
        <v>22</v>
      </c>
      <c r="J524">
        <v>22</v>
      </c>
      <c r="K524">
        <v>312</v>
      </c>
      <c r="L524">
        <v>9</v>
      </c>
      <c r="M524" s="8" t="s">
        <v>19</v>
      </c>
      <c r="N524">
        <v>63.5</v>
      </c>
      <c r="O524">
        <v>171</v>
      </c>
      <c r="P524">
        <v>1</v>
      </c>
      <c r="Q524">
        <v>10</v>
      </c>
      <c r="R524">
        <v>2024</v>
      </c>
      <c r="S524">
        <v>3</v>
      </c>
      <c r="T524" s="8" t="s">
        <v>91</v>
      </c>
      <c r="U524">
        <v>0</v>
      </c>
      <c r="V524">
        <v>1</v>
      </c>
      <c r="W524">
        <v>2</v>
      </c>
      <c r="X524">
        <v>1</v>
      </c>
      <c r="Y524">
        <v>1</v>
      </c>
      <c r="Z524">
        <v>0</v>
      </c>
    </row>
    <row r="525" spans="1:26" x14ac:dyDescent="0.25">
      <c r="A525" s="1">
        <v>45647.643171296295</v>
      </c>
      <c r="B525" s="8" t="s">
        <v>35</v>
      </c>
      <c r="C525">
        <v>-43.247199999999999</v>
      </c>
      <c r="D525">
        <v>163.38210000000001</v>
      </c>
      <c r="E525">
        <v>104</v>
      </c>
      <c r="F525" s="8" t="s">
        <v>26</v>
      </c>
      <c r="G525">
        <v>29.4</v>
      </c>
      <c r="H525">
        <v>59.1</v>
      </c>
      <c r="I525" s="8" t="s">
        <v>18</v>
      </c>
      <c r="J525">
        <v>58</v>
      </c>
      <c r="K525">
        <v>229</v>
      </c>
      <c r="L525">
        <v>3</v>
      </c>
      <c r="M525" s="8" t="s">
        <v>23</v>
      </c>
      <c r="N525">
        <v>82.9</v>
      </c>
      <c r="O525">
        <v>283</v>
      </c>
      <c r="P525">
        <v>0</v>
      </c>
      <c r="Q525">
        <v>12</v>
      </c>
      <c r="R525">
        <v>2024</v>
      </c>
      <c r="S525">
        <v>6</v>
      </c>
      <c r="T525" s="8" t="s">
        <v>93</v>
      </c>
      <c r="U525">
        <v>1</v>
      </c>
      <c r="V525">
        <v>1</v>
      </c>
      <c r="W525">
        <v>1</v>
      </c>
      <c r="X525">
        <v>0</v>
      </c>
      <c r="Y525">
        <v>0</v>
      </c>
      <c r="Z525">
        <v>1</v>
      </c>
    </row>
    <row r="526" spans="1:26" x14ac:dyDescent="0.25">
      <c r="A526" s="1">
        <v>45312.967824074076</v>
      </c>
      <c r="B526" s="8" t="s">
        <v>34</v>
      </c>
      <c r="C526">
        <v>28.101600000000001</v>
      </c>
      <c r="D526">
        <v>167.19820000000001</v>
      </c>
      <c r="E526">
        <v>356</v>
      </c>
      <c r="F526" s="8" t="s">
        <v>21</v>
      </c>
      <c r="G526">
        <v>18.399999999999999</v>
      </c>
      <c r="H526">
        <v>75.2</v>
      </c>
      <c r="I526" s="8" t="s">
        <v>28</v>
      </c>
      <c r="J526">
        <v>32</v>
      </c>
      <c r="K526">
        <v>291</v>
      </c>
      <c r="L526">
        <v>6</v>
      </c>
      <c r="M526" s="8" t="s">
        <v>19</v>
      </c>
      <c r="N526">
        <v>90.7</v>
      </c>
      <c r="O526">
        <v>206</v>
      </c>
      <c r="P526">
        <v>0</v>
      </c>
      <c r="Q526">
        <v>1</v>
      </c>
      <c r="R526">
        <v>2024</v>
      </c>
      <c r="S526">
        <v>0</v>
      </c>
      <c r="T526" s="8" t="s">
        <v>93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</row>
    <row r="527" spans="1:26" x14ac:dyDescent="0.25">
      <c r="A527" s="1">
        <v>45379.326909722222</v>
      </c>
      <c r="B527" s="8" t="s">
        <v>29</v>
      </c>
      <c r="C527">
        <v>-56.218699999999998</v>
      </c>
      <c r="D527">
        <v>27.6037</v>
      </c>
      <c r="E527">
        <v>114</v>
      </c>
      <c r="F527" s="8" t="s">
        <v>21</v>
      </c>
      <c r="G527">
        <v>26.8</v>
      </c>
      <c r="H527">
        <v>62.1</v>
      </c>
      <c r="I527" s="8" t="s">
        <v>22</v>
      </c>
      <c r="J527">
        <v>55</v>
      </c>
      <c r="K527">
        <v>334</v>
      </c>
      <c r="L527">
        <v>6</v>
      </c>
      <c r="M527" s="8" t="s">
        <v>19</v>
      </c>
      <c r="N527">
        <v>85.2</v>
      </c>
      <c r="O527">
        <v>202</v>
      </c>
      <c r="P527">
        <v>1</v>
      </c>
      <c r="Q527">
        <v>3</v>
      </c>
      <c r="R527">
        <v>2024</v>
      </c>
      <c r="S527">
        <v>4</v>
      </c>
      <c r="T527" s="8" t="s">
        <v>90</v>
      </c>
      <c r="U527">
        <v>0</v>
      </c>
      <c r="V527">
        <v>0</v>
      </c>
      <c r="W527">
        <v>2</v>
      </c>
      <c r="X527">
        <v>1</v>
      </c>
      <c r="Y527">
        <v>0</v>
      </c>
      <c r="Z527">
        <v>1</v>
      </c>
    </row>
    <row r="528" spans="1:26" x14ac:dyDescent="0.25">
      <c r="A528" s="1">
        <v>45628.452847222223</v>
      </c>
      <c r="B528" s="8" t="s">
        <v>20</v>
      </c>
      <c r="C528">
        <v>65.053799999999995</v>
      </c>
      <c r="D528">
        <v>-146.3887</v>
      </c>
      <c r="E528">
        <v>404</v>
      </c>
      <c r="F528" s="8" t="s">
        <v>26</v>
      </c>
      <c r="G528">
        <v>19</v>
      </c>
      <c r="H528">
        <v>76.2</v>
      </c>
      <c r="I528" s="8" t="s">
        <v>22</v>
      </c>
      <c r="J528">
        <v>54</v>
      </c>
      <c r="K528">
        <v>230</v>
      </c>
      <c r="L528">
        <v>4</v>
      </c>
      <c r="M528" s="8" t="s">
        <v>19</v>
      </c>
      <c r="N528">
        <v>83.7</v>
      </c>
      <c r="O528">
        <v>171</v>
      </c>
      <c r="P528">
        <v>1</v>
      </c>
      <c r="Q528">
        <v>12</v>
      </c>
      <c r="R528">
        <v>2024</v>
      </c>
      <c r="S528">
        <v>1</v>
      </c>
      <c r="T528" s="8" t="s">
        <v>93</v>
      </c>
      <c r="U528">
        <v>0</v>
      </c>
      <c r="V528">
        <v>1</v>
      </c>
      <c r="W528">
        <v>2</v>
      </c>
      <c r="X528">
        <v>1</v>
      </c>
      <c r="Y528">
        <v>1</v>
      </c>
      <c r="Z528">
        <v>1</v>
      </c>
    </row>
    <row r="529" spans="1:26" x14ac:dyDescent="0.25">
      <c r="A529" s="1">
        <v>45656.848587962966</v>
      </c>
      <c r="B529" s="8" t="s">
        <v>34</v>
      </c>
      <c r="C529">
        <v>-30.298999999999999</v>
      </c>
      <c r="D529">
        <v>153.4529</v>
      </c>
      <c r="E529">
        <v>500</v>
      </c>
      <c r="F529" s="8" t="s">
        <v>26</v>
      </c>
      <c r="G529">
        <v>21.7</v>
      </c>
      <c r="H529">
        <v>56.2</v>
      </c>
      <c r="I529" s="8" t="s">
        <v>18</v>
      </c>
      <c r="J529">
        <v>20</v>
      </c>
      <c r="K529">
        <v>381</v>
      </c>
      <c r="L529">
        <v>10</v>
      </c>
      <c r="M529" s="8" t="s">
        <v>31</v>
      </c>
      <c r="N529">
        <v>90.7</v>
      </c>
      <c r="O529">
        <v>222</v>
      </c>
      <c r="P529">
        <v>0</v>
      </c>
      <c r="Q529">
        <v>12</v>
      </c>
      <c r="R529">
        <v>2024</v>
      </c>
      <c r="S529">
        <v>1</v>
      </c>
      <c r="T529" s="8" t="s">
        <v>93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0</v>
      </c>
    </row>
    <row r="530" spans="1:26" x14ac:dyDescent="0.25">
      <c r="A530" s="1">
        <v>45547.487627314818</v>
      </c>
      <c r="B530" s="8" t="s">
        <v>34</v>
      </c>
      <c r="C530">
        <v>72.762600000000006</v>
      </c>
      <c r="D530">
        <v>105.821</v>
      </c>
      <c r="E530">
        <v>375</v>
      </c>
      <c r="F530" s="8" t="s">
        <v>17</v>
      </c>
      <c r="G530">
        <v>23</v>
      </c>
      <c r="H530">
        <v>76.3</v>
      </c>
      <c r="I530" s="8" t="s">
        <v>18</v>
      </c>
      <c r="J530">
        <v>49</v>
      </c>
      <c r="K530">
        <v>131</v>
      </c>
      <c r="L530">
        <v>4</v>
      </c>
      <c r="M530" s="8" t="s">
        <v>19</v>
      </c>
      <c r="N530">
        <v>87.8</v>
      </c>
      <c r="O530">
        <v>137</v>
      </c>
      <c r="P530">
        <v>1</v>
      </c>
      <c r="Q530">
        <v>9</v>
      </c>
      <c r="R530">
        <v>2024</v>
      </c>
      <c r="S530">
        <v>4</v>
      </c>
      <c r="T530" s="8" t="s">
        <v>91</v>
      </c>
      <c r="U530">
        <v>0</v>
      </c>
      <c r="V530">
        <v>2</v>
      </c>
      <c r="W530">
        <v>1</v>
      </c>
      <c r="X530">
        <v>0</v>
      </c>
      <c r="Y530">
        <v>1</v>
      </c>
      <c r="Z530">
        <v>1</v>
      </c>
    </row>
    <row r="531" spans="1:26" x14ac:dyDescent="0.25">
      <c r="A531" s="1">
        <v>45589.9609837963</v>
      </c>
      <c r="B531" s="8" t="s">
        <v>32</v>
      </c>
      <c r="C531">
        <v>61.8446</v>
      </c>
      <c r="D531">
        <v>115.5236</v>
      </c>
      <c r="E531">
        <v>361</v>
      </c>
      <c r="F531" s="8" t="s">
        <v>21</v>
      </c>
      <c r="G531">
        <v>22.3</v>
      </c>
      <c r="H531">
        <v>66.8</v>
      </c>
      <c r="I531" s="8" t="s">
        <v>22</v>
      </c>
      <c r="J531">
        <v>60</v>
      </c>
      <c r="K531">
        <v>157</v>
      </c>
      <c r="L531">
        <v>4</v>
      </c>
      <c r="M531" s="8" t="s">
        <v>27</v>
      </c>
      <c r="N531">
        <v>79.8</v>
      </c>
      <c r="O531">
        <v>247</v>
      </c>
      <c r="P531">
        <v>1</v>
      </c>
      <c r="Q531">
        <v>10</v>
      </c>
      <c r="R531">
        <v>2024</v>
      </c>
      <c r="S531">
        <v>4</v>
      </c>
      <c r="T531" s="8" t="s">
        <v>91</v>
      </c>
      <c r="U531">
        <v>0</v>
      </c>
      <c r="V531">
        <v>0</v>
      </c>
      <c r="W531">
        <v>2</v>
      </c>
      <c r="X531">
        <v>1</v>
      </c>
      <c r="Y531">
        <v>0</v>
      </c>
      <c r="Z531">
        <v>1</v>
      </c>
    </row>
    <row r="532" spans="1:26" x14ac:dyDescent="0.25">
      <c r="A532" s="1">
        <v>45358.911354166667</v>
      </c>
      <c r="B532" s="8" t="s">
        <v>33</v>
      </c>
      <c r="C532">
        <v>-31.179200000000002</v>
      </c>
      <c r="D532">
        <v>-46.048000000000002</v>
      </c>
      <c r="E532">
        <v>239</v>
      </c>
      <c r="F532" s="8" t="s">
        <v>17</v>
      </c>
      <c r="G532">
        <v>26.6</v>
      </c>
      <c r="H532">
        <v>51.6</v>
      </c>
      <c r="I532" s="8" t="s">
        <v>18</v>
      </c>
      <c r="J532">
        <v>33</v>
      </c>
      <c r="K532">
        <v>333</v>
      </c>
      <c r="L532">
        <v>2</v>
      </c>
      <c r="M532" s="8" t="s">
        <v>27</v>
      </c>
      <c r="N532">
        <v>95.1</v>
      </c>
      <c r="O532">
        <v>277</v>
      </c>
      <c r="P532">
        <v>1</v>
      </c>
      <c r="Q532">
        <v>3</v>
      </c>
      <c r="R532">
        <v>2024</v>
      </c>
      <c r="S532">
        <v>4</v>
      </c>
      <c r="T532" s="8" t="s">
        <v>90</v>
      </c>
      <c r="U532">
        <v>0</v>
      </c>
      <c r="V532">
        <v>2</v>
      </c>
      <c r="W532">
        <v>1</v>
      </c>
      <c r="X532">
        <v>0</v>
      </c>
      <c r="Y532">
        <v>0</v>
      </c>
      <c r="Z532">
        <v>0</v>
      </c>
    </row>
    <row r="533" spans="1:26" x14ac:dyDescent="0.25">
      <c r="A533" s="1">
        <v>45294.547488425924</v>
      </c>
      <c r="B533" s="8" t="s">
        <v>24</v>
      </c>
      <c r="C533">
        <v>-43.200400000000002</v>
      </c>
      <c r="D533">
        <v>134.85720000000001</v>
      </c>
      <c r="E533">
        <v>191</v>
      </c>
      <c r="F533" s="8" t="s">
        <v>21</v>
      </c>
      <c r="G533">
        <v>24</v>
      </c>
      <c r="H533">
        <v>59.7</v>
      </c>
      <c r="I533" s="8" t="s">
        <v>28</v>
      </c>
      <c r="J533">
        <v>51</v>
      </c>
      <c r="K533">
        <v>268</v>
      </c>
      <c r="L533">
        <v>8</v>
      </c>
      <c r="M533" s="8" t="s">
        <v>19</v>
      </c>
      <c r="N533">
        <v>97</v>
      </c>
      <c r="O533">
        <v>111</v>
      </c>
      <c r="P533">
        <v>0</v>
      </c>
      <c r="Q533">
        <v>1</v>
      </c>
      <c r="R533">
        <v>2024</v>
      </c>
      <c r="S533">
        <v>3</v>
      </c>
      <c r="T533" s="8" t="s">
        <v>93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 x14ac:dyDescent="0.25">
      <c r="A534" s="1">
        <v>45634.017152777778</v>
      </c>
      <c r="B534" s="8" t="s">
        <v>30</v>
      </c>
      <c r="C534">
        <v>-79.637200000000007</v>
      </c>
      <c r="D534">
        <v>-111.7492</v>
      </c>
      <c r="E534">
        <v>171</v>
      </c>
      <c r="F534" s="8" t="s">
        <v>17</v>
      </c>
      <c r="G534">
        <v>21.3</v>
      </c>
      <c r="H534">
        <v>58.7</v>
      </c>
      <c r="I534" s="8" t="s">
        <v>18</v>
      </c>
      <c r="J534">
        <v>10</v>
      </c>
      <c r="K534">
        <v>292</v>
      </c>
      <c r="L534">
        <v>4</v>
      </c>
      <c r="M534" s="8" t="s">
        <v>27</v>
      </c>
      <c r="N534">
        <v>65</v>
      </c>
      <c r="O534">
        <v>184</v>
      </c>
      <c r="P534">
        <v>1</v>
      </c>
      <c r="Q534">
        <v>12</v>
      </c>
      <c r="R534">
        <v>2024</v>
      </c>
      <c r="S534">
        <v>0</v>
      </c>
      <c r="T534" s="8" t="s">
        <v>93</v>
      </c>
      <c r="U534">
        <v>0</v>
      </c>
      <c r="V534">
        <v>2</v>
      </c>
      <c r="W534">
        <v>1</v>
      </c>
      <c r="X534">
        <v>0</v>
      </c>
      <c r="Y534">
        <v>0</v>
      </c>
      <c r="Z534">
        <v>0</v>
      </c>
    </row>
    <row r="535" spans="1:26" x14ac:dyDescent="0.25">
      <c r="A535" s="1">
        <v>45548.373715277776</v>
      </c>
      <c r="B535" s="8" t="s">
        <v>34</v>
      </c>
      <c r="C535">
        <v>66.837999999999994</v>
      </c>
      <c r="D535">
        <v>-175.16810000000001</v>
      </c>
      <c r="E535">
        <v>113</v>
      </c>
      <c r="F535" s="8" t="s">
        <v>17</v>
      </c>
      <c r="G535">
        <v>28.9</v>
      </c>
      <c r="H535">
        <v>56.3</v>
      </c>
      <c r="I535" s="8" t="s">
        <v>22</v>
      </c>
      <c r="J535">
        <v>22</v>
      </c>
      <c r="K535">
        <v>417</v>
      </c>
      <c r="L535">
        <v>6</v>
      </c>
      <c r="M535" s="8" t="s">
        <v>23</v>
      </c>
      <c r="N535">
        <v>60.8</v>
      </c>
      <c r="O535">
        <v>142</v>
      </c>
      <c r="P535">
        <v>1</v>
      </c>
      <c r="Q535">
        <v>9</v>
      </c>
      <c r="R535">
        <v>2024</v>
      </c>
      <c r="S535">
        <v>5</v>
      </c>
      <c r="T535" s="8" t="s">
        <v>91</v>
      </c>
      <c r="U535">
        <v>1</v>
      </c>
      <c r="V535">
        <v>2</v>
      </c>
      <c r="W535">
        <v>2</v>
      </c>
      <c r="X535">
        <v>1</v>
      </c>
      <c r="Y535">
        <v>0</v>
      </c>
      <c r="Z535">
        <v>0</v>
      </c>
    </row>
    <row r="536" spans="1:26" x14ac:dyDescent="0.25">
      <c r="A536" s="1">
        <v>45504.927858796298</v>
      </c>
      <c r="B536" s="8" t="s">
        <v>29</v>
      </c>
      <c r="C536">
        <v>13.7736</v>
      </c>
      <c r="D536">
        <v>12.991099999999999</v>
      </c>
      <c r="E536">
        <v>298</v>
      </c>
      <c r="F536" s="8" t="s">
        <v>21</v>
      </c>
      <c r="G536">
        <v>18.8</v>
      </c>
      <c r="H536">
        <v>79.5</v>
      </c>
      <c r="I536" s="8" t="s">
        <v>18</v>
      </c>
      <c r="J536">
        <v>51</v>
      </c>
      <c r="K536">
        <v>393</v>
      </c>
      <c r="L536">
        <v>4</v>
      </c>
      <c r="M536" s="8" t="s">
        <v>27</v>
      </c>
      <c r="N536">
        <v>74.599999999999994</v>
      </c>
      <c r="O536">
        <v>110</v>
      </c>
      <c r="P536">
        <v>0</v>
      </c>
      <c r="Q536">
        <v>7</v>
      </c>
      <c r="R536">
        <v>2024</v>
      </c>
      <c r="S536">
        <v>3</v>
      </c>
      <c r="T536" s="8" t="s">
        <v>92</v>
      </c>
      <c r="U536">
        <v>0</v>
      </c>
      <c r="V536">
        <v>0</v>
      </c>
      <c r="W536">
        <v>1</v>
      </c>
      <c r="X536">
        <v>0</v>
      </c>
      <c r="Y536">
        <v>1</v>
      </c>
      <c r="Z536">
        <v>1</v>
      </c>
    </row>
    <row r="537" spans="1:26" x14ac:dyDescent="0.25">
      <c r="A537" s="1">
        <v>45621.958310185182</v>
      </c>
      <c r="B537" s="8" t="s">
        <v>32</v>
      </c>
      <c r="C537">
        <v>-66.269599999999997</v>
      </c>
      <c r="D537">
        <v>-82.057900000000004</v>
      </c>
      <c r="E537">
        <v>184</v>
      </c>
      <c r="F537" s="8" t="s">
        <v>26</v>
      </c>
      <c r="G537">
        <v>26</v>
      </c>
      <c r="H537">
        <v>59.6</v>
      </c>
      <c r="I537" s="8" t="s">
        <v>22</v>
      </c>
      <c r="J537">
        <v>34</v>
      </c>
      <c r="K537">
        <v>235</v>
      </c>
      <c r="L537">
        <v>6</v>
      </c>
      <c r="M537" s="8" t="s">
        <v>31</v>
      </c>
      <c r="N537">
        <v>66.7</v>
      </c>
      <c r="O537">
        <v>299</v>
      </c>
      <c r="P537">
        <v>1</v>
      </c>
      <c r="Q537">
        <v>11</v>
      </c>
      <c r="R537">
        <v>2024</v>
      </c>
      <c r="S537">
        <v>1</v>
      </c>
      <c r="T537" s="8" t="s">
        <v>91</v>
      </c>
      <c r="U537">
        <v>0</v>
      </c>
      <c r="V537">
        <v>1</v>
      </c>
      <c r="W537">
        <v>2</v>
      </c>
      <c r="X537">
        <v>1</v>
      </c>
      <c r="Y537">
        <v>0</v>
      </c>
      <c r="Z537">
        <v>0</v>
      </c>
    </row>
    <row r="538" spans="1:26" x14ac:dyDescent="0.25">
      <c r="A538" s="1">
        <v>45442.653298611112</v>
      </c>
      <c r="B538" s="8" t="s">
        <v>29</v>
      </c>
      <c r="C538">
        <v>5.1238000000000001</v>
      </c>
      <c r="D538">
        <v>-67.8583</v>
      </c>
      <c r="E538">
        <v>298</v>
      </c>
      <c r="F538" s="8" t="s">
        <v>26</v>
      </c>
      <c r="G538">
        <v>18.899999999999999</v>
      </c>
      <c r="H538">
        <v>65.900000000000006</v>
      </c>
      <c r="I538" s="8" t="s">
        <v>18</v>
      </c>
      <c r="J538">
        <v>41</v>
      </c>
      <c r="K538">
        <v>269</v>
      </c>
      <c r="L538">
        <v>2</v>
      </c>
      <c r="M538" s="8" t="s">
        <v>19</v>
      </c>
      <c r="N538">
        <v>64.8</v>
      </c>
      <c r="O538">
        <v>234</v>
      </c>
      <c r="P538">
        <v>0</v>
      </c>
      <c r="Q538">
        <v>5</v>
      </c>
      <c r="R538">
        <v>2024</v>
      </c>
      <c r="S538">
        <v>4</v>
      </c>
      <c r="T538" s="8" t="s">
        <v>90</v>
      </c>
      <c r="U538">
        <v>0</v>
      </c>
      <c r="V538">
        <v>1</v>
      </c>
      <c r="W538">
        <v>1</v>
      </c>
      <c r="X538">
        <v>0</v>
      </c>
      <c r="Y538">
        <v>0</v>
      </c>
      <c r="Z538">
        <v>0</v>
      </c>
    </row>
    <row r="539" spans="1:26" x14ac:dyDescent="0.25">
      <c r="A539" s="1">
        <v>45356.874444444446</v>
      </c>
      <c r="B539" s="8" t="s">
        <v>33</v>
      </c>
      <c r="C539">
        <v>-85.871499999999997</v>
      </c>
      <c r="D539">
        <v>-162.7167</v>
      </c>
      <c r="E539">
        <v>439</v>
      </c>
      <c r="F539" s="8" t="s">
        <v>17</v>
      </c>
      <c r="G539">
        <v>25.1</v>
      </c>
      <c r="H539">
        <v>66.099999999999994</v>
      </c>
      <c r="I539" s="8" t="s">
        <v>28</v>
      </c>
      <c r="J539">
        <v>46</v>
      </c>
      <c r="K539">
        <v>151</v>
      </c>
      <c r="L539">
        <v>4</v>
      </c>
      <c r="M539" s="8" t="s">
        <v>19</v>
      </c>
      <c r="N539">
        <v>79.2</v>
      </c>
      <c r="O539">
        <v>209</v>
      </c>
      <c r="P539">
        <v>1</v>
      </c>
      <c r="Q539">
        <v>3</v>
      </c>
      <c r="R539">
        <v>2024</v>
      </c>
      <c r="S539">
        <v>2</v>
      </c>
      <c r="T539" s="8" t="s">
        <v>90</v>
      </c>
      <c r="U539">
        <v>0</v>
      </c>
      <c r="V539">
        <v>2</v>
      </c>
      <c r="W539">
        <v>0</v>
      </c>
      <c r="X539">
        <v>0</v>
      </c>
      <c r="Y539">
        <v>0</v>
      </c>
      <c r="Z539">
        <v>1</v>
      </c>
    </row>
    <row r="540" spans="1:26" x14ac:dyDescent="0.25">
      <c r="A540" s="1">
        <v>45524.645879629628</v>
      </c>
      <c r="B540" s="8" t="s">
        <v>33</v>
      </c>
      <c r="C540">
        <v>86.267899999999997</v>
      </c>
      <c r="D540">
        <v>-50.789499999999997</v>
      </c>
      <c r="E540">
        <v>142</v>
      </c>
      <c r="F540" s="8" t="s">
        <v>17</v>
      </c>
      <c r="G540">
        <v>28</v>
      </c>
      <c r="H540">
        <v>67.2</v>
      </c>
      <c r="I540" s="8" t="s">
        <v>22</v>
      </c>
      <c r="J540">
        <v>49</v>
      </c>
      <c r="K540">
        <v>458</v>
      </c>
      <c r="L540">
        <v>8</v>
      </c>
      <c r="M540" s="8" t="s">
        <v>27</v>
      </c>
      <c r="N540">
        <v>92.5</v>
      </c>
      <c r="O540">
        <v>224</v>
      </c>
      <c r="P540">
        <v>1</v>
      </c>
      <c r="Q540">
        <v>8</v>
      </c>
      <c r="R540">
        <v>2024</v>
      </c>
      <c r="S540">
        <v>2</v>
      </c>
      <c r="T540" s="8" t="s">
        <v>92</v>
      </c>
      <c r="U540">
        <v>0</v>
      </c>
      <c r="V540">
        <v>2</v>
      </c>
      <c r="W540">
        <v>2</v>
      </c>
      <c r="X540">
        <v>1</v>
      </c>
      <c r="Y540">
        <v>0</v>
      </c>
      <c r="Z540">
        <v>1</v>
      </c>
    </row>
    <row r="541" spans="1:26" x14ac:dyDescent="0.25">
      <c r="A541" s="1">
        <v>45554.513298611113</v>
      </c>
      <c r="B541" s="8" t="s">
        <v>20</v>
      </c>
      <c r="C541">
        <v>21.310400000000001</v>
      </c>
      <c r="D541">
        <v>-80.529200000000003</v>
      </c>
      <c r="E541">
        <v>202</v>
      </c>
      <c r="F541" s="8" t="s">
        <v>26</v>
      </c>
      <c r="G541">
        <v>18.5</v>
      </c>
      <c r="H541">
        <v>69.5</v>
      </c>
      <c r="I541" s="8" t="s">
        <v>22</v>
      </c>
      <c r="J541">
        <v>54</v>
      </c>
      <c r="K541">
        <v>261</v>
      </c>
      <c r="L541">
        <v>3</v>
      </c>
      <c r="M541" s="8" t="s">
        <v>19</v>
      </c>
      <c r="N541">
        <v>62.5</v>
      </c>
      <c r="O541">
        <v>213</v>
      </c>
      <c r="P541">
        <v>1</v>
      </c>
      <c r="Q541">
        <v>9</v>
      </c>
      <c r="R541">
        <v>2024</v>
      </c>
      <c r="S541">
        <v>4</v>
      </c>
      <c r="T541" s="8" t="s">
        <v>91</v>
      </c>
      <c r="U541">
        <v>0</v>
      </c>
      <c r="V541">
        <v>1</v>
      </c>
      <c r="W541">
        <v>2</v>
      </c>
      <c r="X541">
        <v>1</v>
      </c>
      <c r="Y541">
        <v>0</v>
      </c>
      <c r="Z541">
        <v>1</v>
      </c>
    </row>
    <row r="542" spans="1:26" x14ac:dyDescent="0.25">
      <c r="A542" s="1">
        <v>45353.65121527778</v>
      </c>
      <c r="B542" s="8" t="s">
        <v>33</v>
      </c>
      <c r="C542">
        <v>-2.2841</v>
      </c>
      <c r="D542">
        <v>23.415199999999999</v>
      </c>
      <c r="E542">
        <v>418</v>
      </c>
      <c r="F542" s="8" t="s">
        <v>17</v>
      </c>
      <c r="G542">
        <v>29.6</v>
      </c>
      <c r="H542">
        <v>67.400000000000006</v>
      </c>
      <c r="I542" s="8" t="s">
        <v>22</v>
      </c>
      <c r="J542">
        <v>54</v>
      </c>
      <c r="K542">
        <v>199</v>
      </c>
      <c r="L542">
        <v>9</v>
      </c>
      <c r="M542" s="8" t="s">
        <v>27</v>
      </c>
      <c r="N542">
        <v>99.9</v>
      </c>
      <c r="O542">
        <v>215</v>
      </c>
      <c r="P542">
        <v>1</v>
      </c>
      <c r="Q542">
        <v>3</v>
      </c>
      <c r="R542">
        <v>2024</v>
      </c>
      <c r="S542">
        <v>6</v>
      </c>
      <c r="T542" s="8" t="s">
        <v>90</v>
      </c>
      <c r="U542">
        <v>1</v>
      </c>
      <c r="V542">
        <v>2</v>
      </c>
      <c r="W542">
        <v>2</v>
      </c>
      <c r="X542">
        <v>1</v>
      </c>
      <c r="Y542">
        <v>0</v>
      </c>
      <c r="Z542">
        <v>1</v>
      </c>
    </row>
    <row r="543" spans="1:26" x14ac:dyDescent="0.25">
      <c r="A543" s="1">
        <v>45346.959780092591</v>
      </c>
      <c r="B543" s="8" t="s">
        <v>29</v>
      </c>
      <c r="C543">
        <v>-23.4709</v>
      </c>
      <c r="D543">
        <v>54.526499999999999</v>
      </c>
      <c r="E543">
        <v>458</v>
      </c>
      <c r="F543" s="8" t="s">
        <v>17</v>
      </c>
      <c r="G543">
        <v>23.3</v>
      </c>
      <c r="H543">
        <v>58.6</v>
      </c>
      <c r="I543" s="8" t="s">
        <v>22</v>
      </c>
      <c r="J543">
        <v>43</v>
      </c>
      <c r="K543">
        <v>372</v>
      </c>
      <c r="L543">
        <v>10</v>
      </c>
      <c r="M543" s="8" t="s">
        <v>31</v>
      </c>
      <c r="N543">
        <v>92.9</v>
      </c>
      <c r="O543">
        <v>262</v>
      </c>
      <c r="P543">
        <v>1</v>
      </c>
      <c r="Q543">
        <v>2</v>
      </c>
      <c r="R543">
        <v>2024</v>
      </c>
      <c r="S543">
        <v>6</v>
      </c>
      <c r="T543" s="8" t="s">
        <v>93</v>
      </c>
      <c r="U543">
        <v>1</v>
      </c>
      <c r="V543">
        <v>2</v>
      </c>
      <c r="W543">
        <v>2</v>
      </c>
      <c r="X543">
        <v>1</v>
      </c>
      <c r="Y543">
        <v>0</v>
      </c>
      <c r="Z543">
        <v>0</v>
      </c>
    </row>
    <row r="544" spans="1:26" x14ac:dyDescent="0.25">
      <c r="A544" s="1">
        <v>45356.472650462965</v>
      </c>
      <c r="B544" s="8" t="s">
        <v>32</v>
      </c>
      <c r="C544">
        <v>44.505200000000002</v>
      </c>
      <c r="D544">
        <v>-178.72810000000001</v>
      </c>
      <c r="E544">
        <v>313</v>
      </c>
      <c r="F544" s="8" t="s">
        <v>21</v>
      </c>
      <c r="G544">
        <v>18.7</v>
      </c>
      <c r="H544">
        <v>74.7</v>
      </c>
      <c r="I544" s="8" t="s">
        <v>22</v>
      </c>
      <c r="J544">
        <v>16</v>
      </c>
      <c r="K544">
        <v>284</v>
      </c>
      <c r="L544">
        <v>3</v>
      </c>
      <c r="M544" s="8" t="s">
        <v>31</v>
      </c>
      <c r="N544">
        <v>69</v>
      </c>
      <c r="O544">
        <v>105</v>
      </c>
      <c r="P544">
        <v>1</v>
      </c>
      <c r="Q544">
        <v>3</v>
      </c>
      <c r="R544">
        <v>2024</v>
      </c>
      <c r="S544">
        <v>2</v>
      </c>
      <c r="T544" s="8" t="s">
        <v>90</v>
      </c>
      <c r="U544">
        <v>0</v>
      </c>
      <c r="V544">
        <v>0</v>
      </c>
      <c r="W544">
        <v>2</v>
      </c>
      <c r="X544">
        <v>1</v>
      </c>
      <c r="Y544">
        <v>0</v>
      </c>
      <c r="Z544">
        <v>0</v>
      </c>
    </row>
    <row r="545" spans="1:26" x14ac:dyDescent="0.25">
      <c r="A545" s="1">
        <v>45355.982534722221</v>
      </c>
      <c r="B545" s="8" t="s">
        <v>25</v>
      </c>
      <c r="C545">
        <v>-8.1412999999999993</v>
      </c>
      <c r="D545">
        <v>92.868099999999998</v>
      </c>
      <c r="E545">
        <v>457</v>
      </c>
      <c r="F545" s="8" t="s">
        <v>17</v>
      </c>
      <c r="G545">
        <v>18.2</v>
      </c>
      <c r="H545">
        <v>62.6</v>
      </c>
      <c r="I545" s="8" t="s">
        <v>18</v>
      </c>
      <c r="J545">
        <v>18</v>
      </c>
      <c r="K545">
        <v>217</v>
      </c>
      <c r="L545">
        <v>9</v>
      </c>
      <c r="M545" s="8" t="s">
        <v>19</v>
      </c>
      <c r="N545">
        <v>97.8</v>
      </c>
      <c r="O545">
        <v>199</v>
      </c>
      <c r="P545">
        <v>1</v>
      </c>
      <c r="Q545">
        <v>3</v>
      </c>
      <c r="R545">
        <v>2024</v>
      </c>
      <c r="S545">
        <v>1</v>
      </c>
      <c r="T545" s="8" t="s">
        <v>90</v>
      </c>
      <c r="U545">
        <v>0</v>
      </c>
      <c r="V545">
        <v>2</v>
      </c>
      <c r="W545">
        <v>1</v>
      </c>
      <c r="X545">
        <v>0</v>
      </c>
      <c r="Y545">
        <v>0</v>
      </c>
      <c r="Z545">
        <v>0</v>
      </c>
    </row>
    <row r="546" spans="1:26" x14ac:dyDescent="0.25">
      <c r="A546" s="1">
        <v>45473.190266203703</v>
      </c>
      <c r="B546" s="8" t="s">
        <v>30</v>
      </c>
      <c r="C546">
        <v>0.71179999999999999</v>
      </c>
      <c r="D546">
        <v>108.5142</v>
      </c>
      <c r="E546">
        <v>298</v>
      </c>
      <c r="F546" s="8" t="s">
        <v>26</v>
      </c>
      <c r="G546">
        <v>27.8</v>
      </c>
      <c r="H546">
        <v>76.900000000000006</v>
      </c>
      <c r="I546" s="8" t="s">
        <v>22</v>
      </c>
      <c r="J546">
        <v>18</v>
      </c>
      <c r="K546">
        <v>414</v>
      </c>
      <c r="L546">
        <v>5</v>
      </c>
      <c r="M546" s="8" t="s">
        <v>19</v>
      </c>
      <c r="N546">
        <v>72.2</v>
      </c>
      <c r="O546">
        <v>164</v>
      </c>
      <c r="P546">
        <v>1</v>
      </c>
      <c r="Q546">
        <v>6</v>
      </c>
      <c r="R546">
        <v>2024</v>
      </c>
      <c r="S546">
        <v>0</v>
      </c>
      <c r="T546" s="8" t="s">
        <v>92</v>
      </c>
      <c r="U546">
        <v>0</v>
      </c>
      <c r="V546">
        <v>1</v>
      </c>
      <c r="W546">
        <v>2</v>
      </c>
      <c r="X546">
        <v>1</v>
      </c>
      <c r="Y546">
        <v>1</v>
      </c>
      <c r="Z546">
        <v>0</v>
      </c>
    </row>
    <row r="547" spans="1:26" x14ac:dyDescent="0.25">
      <c r="A547" s="1">
        <v>45628.430393518516</v>
      </c>
      <c r="B547" s="8" t="s">
        <v>29</v>
      </c>
      <c r="C547">
        <v>43.225499999999997</v>
      </c>
      <c r="D547">
        <v>-143.04150000000001</v>
      </c>
      <c r="E547">
        <v>106</v>
      </c>
      <c r="F547" s="8" t="s">
        <v>17</v>
      </c>
      <c r="G547">
        <v>23.7</v>
      </c>
      <c r="H547">
        <v>74.7</v>
      </c>
      <c r="I547" s="8" t="s">
        <v>22</v>
      </c>
      <c r="J547">
        <v>14</v>
      </c>
      <c r="K547">
        <v>442</v>
      </c>
      <c r="L547">
        <v>4</v>
      </c>
      <c r="M547" s="8" t="s">
        <v>31</v>
      </c>
      <c r="N547">
        <v>83.6</v>
      </c>
      <c r="O547">
        <v>276</v>
      </c>
      <c r="P547">
        <v>1</v>
      </c>
      <c r="Q547">
        <v>12</v>
      </c>
      <c r="R547">
        <v>2024</v>
      </c>
      <c r="S547">
        <v>1</v>
      </c>
      <c r="T547" s="8" t="s">
        <v>93</v>
      </c>
      <c r="U547">
        <v>0</v>
      </c>
      <c r="V547">
        <v>2</v>
      </c>
      <c r="W547">
        <v>2</v>
      </c>
      <c r="X547">
        <v>1</v>
      </c>
      <c r="Y547">
        <v>0</v>
      </c>
      <c r="Z547">
        <v>0</v>
      </c>
    </row>
    <row r="548" spans="1:26" x14ac:dyDescent="0.25">
      <c r="A548" s="1">
        <v>45518.460613425923</v>
      </c>
      <c r="B548" s="8" t="s">
        <v>20</v>
      </c>
      <c r="C548">
        <v>61.804699999999997</v>
      </c>
      <c r="D548">
        <v>-72.121899999999997</v>
      </c>
      <c r="E548">
        <v>293</v>
      </c>
      <c r="F548" s="8" t="s">
        <v>26</v>
      </c>
      <c r="G548">
        <v>28.5</v>
      </c>
      <c r="H548">
        <v>59.3</v>
      </c>
      <c r="I548" s="8" t="s">
        <v>28</v>
      </c>
      <c r="J548">
        <v>50</v>
      </c>
      <c r="K548">
        <v>168</v>
      </c>
      <c r="L548">
        <v>4</v>
      </c>
      <c r="M548" s="8" t="s">
        <v>23</v>
      </c>
      <c r="N548">
        <v>67.2</v>
      </c>
      <c r="O548">
        <v>199</v>
      </c>
      <c r="P548">
        <v>0</v>
      </c>
      <c r="Q548">
        <v>8</v>
      </c>
      <c r="R548">
        <v>2024</v>
      </c>
      <c r="S548">
        <v>3</v>
      </c>
      <c r="T548" s="8" t="s">
        <v>92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1</v>
      </c>
    </row>
    <row r="549" spans="1:26" x14ac:dyDescent="0.25">
      <c r="A549" s="1">
        <v>45548.132974537039</v>
      </c>
      <c r="B549" s="8" t="s">
        <v>25</v>
      </c>
      <c r="C549">
        <v>-42.692900000000002</v>
      </c>
      <c r="D549">
        <v>46.252499999999998</v>
      </c>
      <c r="E549">
        <v>301</v>
      </c>
      <c r="F549" s="8" t="s">
        <v>17</v>
      </c>
      <c r="G549">
        <v>19.2</v>
      </c>
      <c r="H549">
        <v>57.6</v>
      </c>
      <c r="I549" s="8" t="s">
        <v>22</v>
      </c>
      <c r="J549">
        <v>16</v>
      </c>
      <c r="K549">
        <v>256</v>
      </c>
      <c r="L549">
        <v>6</v>
      </c>
      <c r="M549" s="8" t="s">
        <v>19</v>
      </c>
      <c r="N549">
        <v>65.400000000000006</v>
      </c>
      <c r="O549">
        <v>148</v>
      </c>
      <c r="P549">
        <v>1</v>
      </c>
      <c r="Q549">
        <v>9</v>
      </c>
      <c r="R549">
        <v>2024</v>
      </c>
      <c r="S549">
        <v>5</v>
      </c>
      <c r="T549" s="8" t="s">
        <v>91</v>
      </c>
      <c r="U549">
        <v>1</v>
      </c>
      <c r="V549">
        <v>2</v>
      </c>
      <c r="W549">
        <v>2</v>
      </c>
      <c r="X549">
        <v>1</v>
      </c>
      <c r="Y549">
        <v>0</v>
      </c>
      <c r="Z549">
        <v>0</v>
      </c>
    </row>
    <row r="550" spans="1:26" x14ac:dyDescent="0.25">
      <c r="A550" s="1">
        <v>45655.765266203707</v>
      </c>
      <c r="B550" s="8" t="s">
        <v>35</v>
      </c>
      <c r="C550">
        <v>-78.075500000000005</v>
      </c>
      <c r="D550">
        <v>-11.8927</v>
      </c>
      <c r="E550">
        <v>287</v>
      </c>
      <c r="F550" s="8" t="s">
        <v>21</v>
      </c>
      <c r="G550">
        <v>25.2</v>
      </c>
      <c r="H550">
        <v>51.8</v>
      </c>
      <c r="I550" s="8" t="s">
        <v>18</v>
      </c>
      <c r="J550">
        <v>34</v>
      </c>
      <c r="K550">
        <v>399</v>
      </c>
      <c r="L550">
        <v>2</v>
      </c>
      <c r="M550" s="8" t="s">
        <v>31</v>
      </c>
      <c r="N550">
        <v>85</v>
      </c>
      <c r="O550">
        <v>124</v>
      </c>
      <c r="P550">
        <v>0</v>
      </c>
      <c r="Q550">
        <v>12</v>
      </c>
      <c r="R550">
        <v>2024</v>
      </c>
      <c r="S550">
        <v>0</v>
      </c>
      <c r="T550" s="8" t="s">
        <v>93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</row>
    <row r="551" spans="1:26" x14ac:dyDescent="0.25">
      <c r="A551" s="1">
        <v>45615.578645833331</v>
      </c>
      <c r="B551" s="8" t="s">
        <v>34</v>
      </c>
      <c r="C551">
        <v>65.554699999999997</v>
      </c>
      <c r="D551">
        <v>-128.3673</v>
      </c>
      <c r="E551">
        <v>237</v>
      </c>
      <c r="F551" s="8" t="s">
        <v>21</v>
      </c>
      <c r="G551">
        <v>23.4</v>
      </c>
      <c r="H551">
        <v>53.3</v>
      </c>
      <c r="I551" s="8" t="s">
        <v>18</v>
      </c>
      <c r="J551">
        <v>38</v>
      </c>
      <c r="K551">
        <v>109</v>
      </c>
      <c r="L551">
        <v>2</v>
      </c>
      <c r="M551" s="8" t="s">
        <v>31</v>
      </c>
      <c r="N551">
        <v>87.9</v>
      </c>
      <c r="O551">
        <v>157</v>
      </c>
      <c r="P551">
        <v>0</v>
      </c>
      <c r="Q551">
        <v>11</v>
      </c>
      <c r="R551">
        <v>2024</v>
      </c>
      <c r="S551">
        <v>2</v>
      </c>
      <c r="T551" s="8" t="s">
        <v>91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</row>
    <row r="552" spans="1:26" x14ac:dyDescent="0.25">
      <c r="A552" s="1">
        <v>45439.309872685182</v>
      </c>
      <c r="B552" s="8" t="s">
        <v>35</v>
      </c>
      <c r="C552">
        <v>-19.557400000000001</v>
      </c>
      <c r="D552">
        <v>-65.549300000000002</v>
      </c>
      <c r="E552">
        <v>258</v>
      </c>
      <c r="F552" s="8" t="s">
        <v>21</v>
      </c>
      <c r="G552">
        <v>25.2</v>
      </c>
      <c r="H552">
        <v>67.599999999999994</v>
      </c>
      <c r="I552" s="8" t="s">
        <v>28</v>
      </c>
      <c r="J552">
        <v>32</v>
      </c>
      <c r="K552">
        <v>484</v>
      </c>
      <c r="L552">
        <v>7</v>
      </c>
      <c r="M552" s="8" t="s">
        <v>27</v>
      </c>
      <c r="N552">
        <v>98.8</v>
      </c>
      <c r="O552">
        <v>191</v>
      </c>
      <c r="P552">
        <v>0</v>
      </c>
      <c r="Q552">
        <v>5</v>
      </c>
      <c r="R552">
        <v>2024</v>
      </c>
      <c r="S552">
        <v>1</v>
      </c>
      <c r="T552" s="8" t="s">
        <v>90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25">
      <c r="A553" s="1">
        <v>45615.835532407407</v>
      </c>
      <c r="B553" s="8" t="s">
        <v>33</v>
      </c>
      <c r="C553">
        <v>17.708300000000001</v>
      </c>
      <c r="D553">
        <v>-162.0043</v>
      </c>
      <c r="E553">
        <v>480</v>
      </c>
      <c r="F553" s="8" t="s">
        <v>21</v>
      </c>
      <c r="G553">
        <v>27.1</v>
      </c>
      <c r="H553">
        <v>76.3</v>
      </c>
      <c r="I553" s="8" t="s">
        <v>22</v>
      </c>
      <c r="J553">
        <v>22</v>
      </c>
      <c r="K553">
        <v>497</v>
      </c>
      <c r="L553">
        <v>9</v>
      </c>
      <c r="M553" s="8" t="s">
        <v>27</v>
      </c>
      <c r="N553">
        <v>74.900000000000006</v>
      </c>
      <c r="O553">
        <v>183</v>
      </c>
      <c r="P553">
        <v>1</v>
      </c>
      <c r="Q553">
        <v>11</v>
      </c>
      <c r="R553">
        <v>2024</v>
      </c>
      <c r="S553">
        <v>2</v>
      </c>
      <c r="T553" s="8" t="s">
        <v>91</v>
      </c>
      <c r="U553">
        <v>0</v>
      </c>
      <c r="V553">
        <v>0</v>
      </c>
      <c r="W553">
        <v>2</v>
      </c>
      <c r="X553">
        <v>1</v>
      </c>
      <c r="Y553">
        <v>1</v>
      </c>
      <c r="Z553">
        <v>0</v>
      </c>
    </row>
    <row r="554" spans="1:26" x14ac:dyDescent="0.25">
      <c r="A554" s="1">
        <v>45553.961388888885</v>
      </c>
      <c r="B554" s="8" t="s">
        <v>32</v>
      </c>
      <c r="C554">
        <v>-52.168599999999998</v>
      </c>
      <c r="D554">
        <v>-175.62690000000001</v>
      </c>
      <c r="E554">
        <v>441</v>
      </c>
      <c r="F554" s="8" t="s">
        <v>21</v>
      </c>
      <c r="G554">
        <v>22.6</v>
      </c>
      <c r="H554">
        <v>53.3</v>
      </c>
      <c r="I554" s="8" t="s">
        <v>28</v>
      </c>
      <c r="J554">
        <v>29</v>
      </c>
      <c r="K554">
        <v>343</v>
      </c>
      <c r="L554">
        <v>3</v>
      </c>
      <c r="M554" s="8" t="s">
        <v>31</v>
      </c>
      <c r="N554">
        <v>86.5</v>
      </c>
      <c r="O554">
        <v>172</v>
      </c>
      <c r="P554">
        <v>0</v>
      </c>
      <c r="Q554">
        <v>9</v>
      </c>
      <c r="R554">
        <v>2024</v>
      </c>
      <c r="S554">
        <v>3</v>
      </c>
      <c r="T554" s="8" t="s">
        <v>91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 s="1">
        <v>45642.095138888886</v>
      </c>
      <c r="B555" s="8" t="s">
        <v>20</v>
      </c>
      <c r="C555">
        <v>-84.237499999999997</v>
      </c>
      <c r="D555">
        <v>76.933899999999994</v>
      </c>
      <c r="E555">
        <v>346</v>
      </c>
      <c r="F555" s="8" t="s">
        <v>21</v>
      </c>
      <c r="G555">
        <v>21.6</v>
      </c>
      <c r="H555">
        <v>65.2</v>
      </c>
      <c r="I555" s="8" t="s">
        <v>28</v>
      </c>
      <c r="J555">
        <v>43</v>
      </c>
      <c r="K555">
        <v>402</v>
      </c>
      <c r="L555">
        <v>8</v>
      </c>
      <c r="M555" s="8" t="s">
        <v>27</v>
      </c>
      <c r="N555">
        <v>96.4</v>
      </c>
      <c r="O555">
        <v>157</v>
      </c>
      <c r="P555">
        <v>0</v>
      </c>
      <c r="Q555">
        <v>12</v>
      </c>
      <c r="R555">
        <v>2024</v>
      </c>
      <c r="S555">
        <v>1</v>
      </c>
      <c r="T555" s="8" t="s">
        <v>93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 s="1">
        <v>45564.792372685188</v>
      </c>
      <c r="B556" s="8" t="s">
        <v>30</v>
      </c>
      <c r="C556">
        <v>-7.5990000000000002</v>
      </c>
      <c r="D556">
        <v>-78.748900000000006</v>
      </c>
      <c r="E556">
        <v>205</v>
      </c>
      <c r="F556" s="8" t="s">
        <v>21</v>
      </c>
      <c r="G556">
        <v>23.6</v>
      </c>
      <c r="H556">
        <v>76.2</v>
      </c>
      <c r="I556" s="8" t="s">
        <v>22</v>
      </c>
      <c r="J556">
        <v>41</v>
      </c>
      <c r="K556">
        <v>324</v>
      </c>
      <c r="L556">
        <v>2</v>
      </c>
      <c r="M556" s="8" t="s">
        <v>19</v>
      </c>
      <c r="N556">
        <v>73.8</v>
      </c>
      <c r="O556">
        <v>153</v>
      </c>
      <c r="P556">
        <v>1</v>
      </c>
      <c r="Q556">
        <v>9</v>
      </c>
      <c r="R556">
        <v>2024</v>
      </c>
      <c r="S556">
        <v>0</v>
      </c>
      <c r="T556" s="8" t="s">
        <v>91</v>
      </c>
      <c r="U556">
        <v>0</v>
      </c>
      <c r="V556">
        <v>0</v>
      </c>
      <c r="W556">
        <v>2</v>
      </c>
      <c r="X556">
        <v>1</v>
      </c>
      <c r="Y556">
        <v>1</v>
      </c>
      <c r="Z556">
        <v>0</v>
      </c>
    </row>
    <row r="557" spans="1:26" x14ac:dyDescent="0.25">
      <c r="A557" s="1">
        <v>45380.057858796295</v>
      </c>
      <c r="B557" s="8" t="s">
        <v>30</v>
      </c>
      <c r="C557">
        <v>36.621000000000002</v>
      </c>
      <c r="D557">
        <v>97.219399999999993</v>
      </c>
      <c r="E557">
        <v>477</v>
      </c>
      <c r="F557" s="8" t="s">
        <v>17</v>
      </c>
      <c r="G557">
        <v>25.1</v>
      </c>
      <c r="H557">
        <v>50.3</v>
      </c>
      <c r="I557" s="8" t="s">
        <v>18</v>
      </c>
      <c r="J557">
        <v>32</v>
      </c>
      <c r="K557">
        <v>297</v>
      </c>
      <c r="L557">
        <v>7</v>
      </c>
      <c r="M557" s="8" t="s">
        <v>27</v>
      </c>
      <c r="N557">
        <v>96.4</v>
      </c>
      <c r="O557">
        <v>212</v>
      </c>
      <c r="P557">
        <v>1</v>
      </c>
      <c r="Q557">
        <v>3</v>
      </c>
      <c r="R557">
        <v>2024</v>
      </c>
      <c r="S557">
        <v>5</v>
      </c>
      <c r="T557" s="8" t="s">
        <v>90</v>
      </c>
      <c r="U557">
        <v>1</v>
      </c>
      <c r="V557">
        <v>2</v>
      </c>
      <c r="W557">
        <v>1</v>
      </c>
      <c r="X557">
        <v>0</v>
      </c>
      <c r="Y557">
        <v>0</v>
      </c>
      <c r="Z557">
        <v>0</v>
      </c>
    </row>
    <row r="558" spans="1:26" x14ac:dyDescent="0.25">
      <c r="A558" s="1">
        <v>45499.423310185186</v>
      </c>
      <c r="B558" s="8" t="s">
        <v>25</v>
      </c>
      <c r="C558">
        <v>-7.9898999999999996</v>
      </c>
      <c r="D558">
        <v>-23.572299999999998</v>
      </c>
      <c r="E558">
        <v>355</v>
      </c>
      <c r="F558" s="8" t="s">
        <v>17</v>
      </c>
      <c r="G558">
        <v>19.8</v>
      </c>
      <c r="H558">
        <v>60.9</v>
      </c>
      <c r="I558" s="8" t="s">
        <v>28</v>
      </c>
      <c r="J558">
        <v>24</v>
      </c>
      <c r="K558">
        <v>226</v>
      </c>
      <c r="L558">
        <v>9</v>
      </c>
      <c r="M558" s="8" t="s">
        <v>23</v>
      </c>
      <c r="N558">
        <v>62.8</v>
      </c>
      <c r="O558">
        <v>243</v>
      </c>
      <c r="P558">
        <v>1</v>
      </c>
      <c r="Q558">
        <v>7</v>
      </c>
      <c r="R558">
        <v>2024</v>
      </c>
      <c r="S558">
        <v>5</v>
      </c>
      <c r="T558" s="8" t="s">
        <v>92</v>
      </c>
      <c r="U558">
        <v>1</v>
      </c>
      <c r="V558">
        <v>2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 s="1">
        <v>45645.441921296297</v>
      </c>
      <c r="B559" s="8" t="s">
        <v>29</v>
      </c>
      <c r="C559">
        <v>-68.5749</v>
      </c>
      <c r="D559">
        <v>106.21120000000001</v>
      </c>
      <c r="E559">
        <v>148</v>
      </c>
      <c r="F559" s="8" t="s">
        <v>26</v>
      </c>
      <c r="G559">
        <v>23.3</v>
      </c>
      <c r="H559">
        <v>59.1</v>
      </c>
      <c r="I559" s="8" t="s">
        <v>18</v>
      </c>
      <c r="J559">
        <v>53</v>
      </c>
      <c r="K559">
        <v>161</v>
      </c>
      <c r="L559">
        <v>10</v>
      </c>
      <c r="M559" s="8" t="s">
        <v>23</v>
      </c>
      <c r="N559">
        <v>65.7</v>
      </c>
      <c r="O559">
        <v>189</v>
      </c>
      <c r="P559">
        <v>0</v>
      </c>
      <c r="Q559">
        <v>12</v>
      </c>
      <c r="R559">
        <v>2024</v>
      </c>
      <c r="S559">
        <v>4</v>
      </c>
      <c r="T559" s="8" t="s">
        <v>93</v>
      </c>
      <c r="U559">
        <v>0</v>
      </c>
      <c r="V559">
        <v>1</v>
      </c>
      <c r="W559">
        <v>1</v>
      </c>
      <c r="X559">
        <v>0</v>
      </c>
      <c r="Y559">
        <v>0</v>
      </c>
      <c r="Z559">
        <v>1</v>
      </c>
    </row>
    <row r="560" spans="1:26" x14ac:dyDescent="0.25">
      <c r="A560" s="1">
        <v>45457.43787037037</v>
      </c>
      <c r="B560" s="8" t="s">
        <v>20</v>
      </c>
      <c r="C560">
        <v>-86.647199999999998</v>
      </c>
      <c r="D560">
        <v>76.164100000000005</v>
      </c>
      <c r="E560">
        <v>190</v>
      </c>
      <c r="F560" s="8" t="s">
        <v>17</v>
      </c>
      <c r="G560">
        <v>27.8</v>
      </c>
      <c r="H560">
        <v>62.2</v>
      </c>
      <c r="I560" s="8" t="s">
        <v>18</v>
      </c>
      <c r="J560">
        <v>41</v>
      </c>
      <c r="K560">
        <v>238</v>
      </c>
      <c r="L560">
        <v>2</v>
      </c>
      <c r="M560" s="8" t="s">
        <v>19</v>
      </c>
      <c r="N560">
        <v>90.2</v>
      </c>
      <c r="O560">
        <v>122</v>
      </c>
      <c r="P560">
        <v>1</v>
      </c>
      <c r="Q560">
        <v>6</v>
      </c>
      <c r="R560">
        <v>2024</v>
      </c>
      <c r="S560">
        <v>5</v>
      </c>
      <c r="T560" s="8" t="s">
        <v>92</v>
      </c>
      <c r="U560">
        <v>1</v>
      </c>
      <c r="V560">
        <v>2</v>
      </c>
      <c r="W560">
        <v>1</v>
      </c>
      <c r="X560">
        <v>0</v>
      </c>
      <c r="Y560">
        <v>0</v>
      </c>
      <c r="Z560">
        <v>0</v>
      </c>
    </row>
    <row r="561" spans="1:26" x14ac:dyDescent="0.25">
      <c r="A561" s="1">
        <v>45297.224293981482</v>
      </c>
      <c r="B561" s="8" t="s">
        <v>24</v>
      </c>
      <c r="C561">
        <v>-20.073</v>
      </c>
      <c r="D561">
        <v>169.58629999999999</v>
      </c>
      <c r="E561">
        <v>356</v>
      </c>
      <c r="F561" s="8" t="s">
        <v>17</v>
      </c>
      <c r="G561">
        <v>24.8</v>
      </c>
      <c r="H561">
        <v>70</v>
      </c>
      <c r="I561" s="8" t="s">
        <v>18</v>
      </c>
      <c r="J561">
        <v>37</v>
      </c>
      <c r="K561">
        <v>345</v>
      </c>
      <c r="L561">
        <v>3</v>
      </c>
      <c r="M561" s="8" t="s">
        <v>27</v>
      </c>
      <c r="N561">
        <v>84</v>
      </c>
      <c r="O561">
        <v>245</v>
      </c>
      <c r="P561">
        <v>1</v>
      </c>
      <c r="Q561">
        <v>1</v>
      </c>
      <c r="R561">
        <v>2024</v>
      </c>
      <c r="S561">
        <v>6</v>
      </c>
      <c r="T561" s="8" t="s">
        <v>93</v>
      </c>
      <c r="U561">
        <v>1</v>
      </c>
      <c r="V561">
        <v>2</v>
      </c>
      <c r="W561">
        <v>1</v>
      </c>
      <c r="X561">
        <v>0</v>
      </c>
      <c r="Y561">
        <v>0</v>
      </c>
      <c r="Z561">
        <v>0</v>
      </c>
    </row>
    <row r="562" spans="1:26" x14ac:dyDescent="0.25">
      <c r="A562" s="1">
        <v>45552.747557870367</v>
      </c>
      <c r="B562" s="8" t="s">
        <v>30</v>
      </c>
      <c r="C562">
        <v>8.0303000000000004</v>
      </c>
      <c r="D562">
        <v>137.60730000000001</v>
      </c>
      <c r="E562">
        <v>228</v>
      </c>
      <c r="F562" s="8" t="s">
        <v>26</v>
      </c>
      <c r="G562">
        <v>18.3</v>
      </c>
      <c r="H562">
        <v>52.3</v>
      </c>
      <c r="I562" s="8" t="s">
        <v>28</v>
      </c>
      <c r="J562">
        <v>57</v>
      </c>
      <c r="K562">
        <v>350</v>
      </c>
      <c r="L562">
        <v>3</v>
      </c>
      <c r="M562" s="8" t="s">
        <v>27</v>
      </c>
      <c r="N562">
        <v>76.5</v>
      </c>
      <c r="O562">
        <v>285</v>
      </c>
      <c r="P562">
        <v>0</v>
      </c>
      <c r="Q562">
        <v>9</v>
      </c>
      <c r="R562">
        <v>2024</v>
      </c>
      <c r="S562">
        <v>2</v>
      </c>
      <c r="T562" s="8" t="s">
        <v>91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1</v>
      </c>
    </row>
    <row r="563" spans="1:26" x14ac:dyDescent="0.25">
      <c r="A563" s="1">
        <v>45655.717881944445</v>
      </c>
      <c r="B563" s="8" t="s">
        <v>20</v>
      </c>
      <c r="C563">
        <v>-58.6706</v>
      </c>
      <c r="D563">
        <v>162.76990000000001</v>
      </c>
      <c r="E563">
        <v>437</v>
      </c>
      <c r="F563" s="8" t="s">
        <v>21</v>
      </c>
      <c r="G563">
        <v>20.9</v>
      </c>
      <c r="H563">
        <v>55.2</v>
      </c>
      <c r="I563" s="8" t="s">
        <v>28</v>
      </c>
      <c r="J563">
        <v>44</v>
      </c>
      <c r="K563">
        <v>336</v>
      </c>
      <c r="L563">
        <v>7</v>
      </c>
      <c r="M563" s="8" t="s">
        <v>23</v>
      </c>
      <c r="N563">
        <v>88.6</v>
      </c>
      <c r="O563">
        <v>118</v>
      </c>
      <c r="P563">
        <v>0</v>
      </c>
      <c r="Q563">
        <v>12</v>
      </c>
      <c r="R563">
        <v>2024</v>
      </c>
      <c r="S563">
        <v>0</v>
      </c>
      <c r="T563" s="8" t="s">
        <v>93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 s="1">
        <v>45626.703831018516</v>
      </c>
      <c r="B564" s="8" t="s">
        <v>24</v>
      </c>
      <c r="C564">
        <v>63.609200000000001</v>
      </c>
      <c r="D564">
        <v>-40.485199999999999</v>
      </c>
      <c r="E564">
        <v>295</v>
      </c>
      <c r="F564" s="8" t="s">
        <v>17</v>
      </c>
      <c r="G564">
        <v>20.3</v>
      </c>
      <c r="H564">
        <v>68.599999999999994</v>
      </c>
      <c r="I564" s="8" t="s">
        <v>18</v>
      </c>
      <c r="J564">
        <v>29</v>
      </c>
      <c r="K564">
        <v>249</v>
      </c>
      <c r="L564">
        <v>6</v>
      </c>
      <c r="M564" s="8" t="s">
        <v>19</v>
      </c>
      <c r="N564">
        <v>63.2</v>
      </c>
      <c r="O564">
        <v>295</v>
      </c>
      <c r="P564">
        <v>1</v>
      </c>
      <c r="Q564">
        <v>11</v>
      </c>
      <c r="R564">
        <v>2024</v>
      </c>
      <c r="S564">
        <v>6</v>
      </c>
      <c r="T564" s="8" t="s">
        <v>91</v>
      </c>
      <c r="U564">
        <v>1</v>
      </c>
      <c r="V564">
        <v>2</v>
      </c>
      <c r="W564">
        <v>1</v>
      </c>
      <c r="X564">
        <v>0</v>
      </c>
      <c r="Y564">
        <v>0</v>
      </c>
      <c r="Z564">
        <v>0</v>
      </c>
    </row>
    <row r="565" spans="1:26" x14ac:dyDescent="0.25">
      <c r="A565" s="1">
        <v>45585.496006944442</v>
      </c>
      <c r="B565" s="8" t="s">
        <v>33</v>
      </c>
      <c r="C565">
        <v>69.9178</v>
      </c>
      <c r="D565">
        <v>-25.7593</v>
      </c>
      <c r="E565">
        <v>365</v>
      </c>
      <c r="F565" s="8" t="s">
        <v>21</v>
      </c>
      <c r="G565">
        <v>30</v>
      </c>
      <c r="H565">
        <v>60</v>
      </c>
      <c r="I565" s="8" t="s">
        <v>28</v>
      </c>
      <c r="J565">
        <v>18</v>
      </c>
      <c r="K565">
        <v>215</v>
      </c>
      <c r="L565">
        <v>5</v>
      </c>
      <c r="M565" s="8" t="s">
        <v>27</v>
      </c>
      <c r="N565">
        <v>95.8</v>
      </c>
      <c r="O565">
        <v>201</v>
      </c>
      <c r="P565">
        <v>0</v>
      </c>
      <c r="Q565">
        <v>10</v>
      </c>
      <c r="R565">
        <v>2024</v>
      </c>
      <c r="S565">
        <v>0</v>
      </c>
      <c r="T565" s="8" t="s">
        <v>91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 s="1">
        <v>45451.700960648152</v>
      </c>
      <c r="B566" s="8" t="s">
        <v>24</v>
      </c>
      <c r="C566">
        <v>27.388400000000001</v>
      </c>
      <c r="D566">
        <v>-85.693799999999996</v>
      </c>
      <c r="E566">
        <v>117</v>
      </c>
      <c r="F566" s="8" t="s">
        <v>17</v>
      </c>
      <c r="G566">
        <v>23.9</v>
      </c>
      <c r="H566">
        <v>64.3</v>
      </c>
      <c r="I566" s="8" t="s">
        <v>28</v>
      </c>
      <c r="J566">
        <v>16</v>
      </c>
      <c r="K566">
        <v>175</v>
      </c>
      <c r="L566">
        <v>8</v>
      </c>
      <c r="M566" s="8" t="s">
        <v>31</v>
      </c>
      <c r="N566">
        <v>73.900000000000006</v>
      </c>
      <c r="O566">
        <v>270</v>
      </c>
      <c r="P566">
        <v>1</v>
      </c>
      <c r="Q566">
        <v>6</v>
      </c>
      <c r="R566">
        <v>2024</v>
      </c>
      <c r="S566">
        <v>6</v>
      </c>
      <c r="T566" s="8" t="s">
        <v>92</v>
      </c>
      <c r="U566">
        <v>1</v>
      </c>
      <c r="V566">
        <v>2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 s="1">
        <v>45546.376400462963</v>
      </c>
      <c r="B567" s="8" t="s">
        <v>20</v>
      </c>
      <c r="C567">
        <v>5.5362999999999998</v>
      </c>
      <c r="D567">
        <v>-6.3697999999999997</v>
      </c>
      <c r="E567">
        <v>202</v>
      </c>
      <c r="F567" s="8" t="s">
        <v>17</v>
      </c>
      <c r="G567">
        <v>25.9</v>
      </c>
      <c r="H567">
        <v>62.3</v>
      </c>
      <c r="I567" s="8" t="s">
        <v>22</v>
      </c>
      <c r="J567">
        <v>11</v>
      </c>
      <c r="K567">
        <v>249</v>
      </c>
      <c r="L567">
        <v>4</v>
      </c>
      <c r="M567" s="8" t="s">
        <v>19</v>
      </c>
      <c r="N567">
        <v>98</v>
      </c>
      <c r="O567">
        <v>131</v>
      </c>
      <c r="P567">
        <v>1</v>
      </c>
      <c r="Q567">
        <v>9</v>
      </c>
      <c r="R567">
        <v>2024</v>
      </c>
      <c r="S567">
        <v>3</v>
      </c>
      <c r="T567" s="8" t="s">
        <v>91</v>
      </c>
      <c r="U567">
        <v>0</v>
      </c>
      <c r="V567">
        <v>2</v>
      </c>
      <c r="W567">
        <v>2</v>
      </c>
      <c r="X567">
        <v>1</v>
      </c>
      <c r="Y567">
        <v>0</v>
      </c>
      <c r="Z567">
        <v>0</v>
      </c>
    </row>
    <row r="568" spans="1:26" x14ac:dyDescent="0.25">
      <c r="A568" s="1">
        <v>45604.597037037034</v>
      </c>
      <c r="B568" s="8" t="s">
        <v>24</v>
      </c>
      <c r="C568">
        <v>-47.917400000000001</v>
      </c>
      <c r="D568">
        <v>-44.467300000000002</v>
      </c>
      <c r="E568">
        <v>408</v>
      </c>
      <c r="F568" s="8" t="s">
        <v>17</v>
      </c>
      <c r="G568">
        <v>29.9</v>
      </c>
      <c r="H568">
        <v>58.9</v>
      </c>
      <c r="I568" s="8" t="s">
        <v>22</v>
      </c>
      <c r="J568">
        <v>25</v>
      </c>
      <c r="K568">
        <v>390</v>
      </c>
      <c r="L568">
        <v>8</v>
      </c>
      <c r="M568" s="8" t="s">
        <v>19</v>
      </c>
      <c r="N568">
        <v>61.5</v>
      </c>
      <c r="O568">
        <v>117</v>
      </c>
      <c r="P568">
        <v>1</v>
      </c>
      <c r="Q568">
        <v>11</v>
      </c>
      <c r="R568">
        <v>2024</v>
      </c>
      <c r="S568">
        <v>5</v>
      </c>
      <c r="T568" s="8" t="s">
        <v>91</v>
      </c>
      <c r="U568">
        <v>1</v>
      </c>
      <c r="V568">
        <v>2</v>
      </c>
      <c r="W568">
        <v>2</v>
      </c>
      <c r="X568">
        <v>1</v>
      </c>
      <c r="Y568">
        <v>0</v>
      </c>
      <c r="Z568">
        <v>0</v>
      </c>
    </row>
    <row r="569" spans="1:26" x14ac:dyDescent="0.25">
      <c r="A569" s="1">
        <v>45458.600682870368</v>
      </c>
      <c r="B569" s="8" t="s">
        <v>30</v>
      </c>
      <c r="C569">
        <v>-58.288400000000003</v>
      </c>
      <c r="D569">
        <v>-53.9833</v>
      </c>
      <c r="E569">
        <v>277</v>
      </c>
      <c r="F569" s="8" t="s">
        <v>21</v>
      </c>
      <c r="G569">
        <v>18.2</v>
      </c>
      <c r="H569">
        <v>75.099999999999994</v>
      </c>
      <c r="I569" s="8" t="s">
        <v>28</v>
      </c>
      <c r="J569">
        <v>60</v>
      </c>
      <c r="K569">
        <v>122</v>
      </c>
      <c r="L569">
        <v>10</v>
      </c>
      <c r="M569" s="8" t="s">
        <v>19</v>
      </c>
      <c r="N569">
        <v>65</v>
      </c>
      <c r="O569">
        <v>147</v>
      </c>
      <c r="P569">
        <v>0</v>
      </c>
      <c r="Q569">
        <v>6</v>
      </c>
      <c r="R569">
        <v>2024</v>
      </c>
      <c r="S569">
        <v>6</v>
      </c>
      <c r="T569" s="8" t="s">
        <v>92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1</v>
      </c>
    </row>
    <row r="570" spans="1:26" x14ac:dyDescent="0.25">
      <c r="A570" s="1">
        <v>45428.077418981484</v>
      </c>
      <c r="B570" s="8" t="s">
        <v>24</v>
      </c>
      <c r="C570">
        <v>44.471499999999999</v>
      </c>
      <c r="D570">
        <v>61.1203</v>
      </c>
      <c r="E570">
        <v>430</v>
      </c>
      <c r="F570" s="8" t="s">
        <v>17</v>
      </c>
      <c r="G570">
        <v>25</v>
      </c>
      <c r="H570">
        <v>53.4</v>
      </c>
      <c r="I570" s="8" t="s">
        <v>18</v>
      </c>
      <c r="J570">
        <v>30</v>
      </c>
      <c r="K570">
        <v>251</v>
      </c>
      <c r="L570">
        <v>4</v>
      </c>
      <c r="M570" s="8" t="s">
        <v>31</v>
      </c>
      <c r="N570">
        <v>77.599999999999994</v>
      </c>
      <c r="O570">
        <v>119</v>
      </c>
      <c r="P570">
        <v>1</v>
      </c>
      <c r="Q570">
        <v>5</v>
      </c>
      <c r="R570">
        <v>2024</v>
      </c>
      <c r="S570">
        <v>4</v>
      </c>
      <c r="T570" s="8" t="s">
        <v>90</v>
      </c>
      <c r="U570">
        <v>0</v>
      </c>
      <c r="V570">
        <v>2</v>
      </c>
      <c r="W570">
        <v>1</v>
      </c>
      <c r="X570">
        <v>0</v>
      </c>
      <c r="Y570">
        <v>0</v>
      </c>
      <c r="Z570">
        <v>0</v>
      </c>
    </row>
    <row r="571" spans="1:26" x14ac:dyDescent="0.25">
      <c r="A571" s="1">
        <v>45377.611493055556</v>
      </c>
      <c r="B571" s="8" t="s">
        <v>16</v>
      </c>
      <c r="C571">
        <v>-73.573499999999996</v>
      </c>
      <c r="D571">
        <v>153.529</v>
      </c>
      <c r="E571">
        <v>451</v>
      </c>
      <c r="F571" s="8" t="s">
        <v>17</v>
      </c>
      <c r="G571">
        <v>21.3</v>
      </c>
      <c r="H571">
        <v>67.2</v>
      </c>
      <c r="I571" s="8" t="s">
        <v>18</v>
      </c>
      <c r="J571">
        <v>24</v>
      </c>
      <c r="K571">
        <v>187</v>
      </c>
      <c r="L571">
        <v>8</v>
      </c>
      <c r="M571" s="8" t="s">
        <v>19</v>
      </c>
      <c r="N571">
        <v>69.3</v>
      </c>
      <c r="O571">
        <v>221</v>
      </c>
      <c r="P571">
        <v>1</v>
      </c>
      <c r="Q571">
        <v>3</v>
      </c>
      <c r="R571">
        <v>2024</v>
      </c>
      <c r="S571">
        <v>2</v>
      </c>
      <c r="T571" s="8" t="s">
        <v>90</v>
      </c>
      <c r="U571">
        <v>0</v>
      </c>
      <c r="V571">
        <v>2</v>
      </c>
      <c r="W571">
        <v>1</v>
      </c>
      <c r="X571">
        <v>0</v>
      </c>
      <c r="Y571">
        <v>0</v>
      </c>
      <c r="Z571">
        <v>0</v>
      </c>
    </row>
    <row r="572" spans="1:26" x14ac:dyDescent="0.25">
      <c r="A572" s="1">
        <v>45387.650682870371</v>
      </c>
      <c r="B572" s="8" t="s">
        <v>32</v>
      </c>
      <c r="C572">
        <v>-39.396700000000003</v>
      </c>
      <c r="D572">
        <v>15.645200000000001</v>
      </c>
      <c r="E572">
        <v>421</v>
      </c>
      <c r="F572" s="8" t="s">
        <v>26</v>
      </c>
      <c r="G572">
        <v>26</v>
      </c>
      <c r="H572">
        <v>78.099999999999994</v>
      </c>
      <c r="I572" s="8" t="s">
        <v>22</v>
      </c>
      <c r="J572">
        <v>29</v>
      </c>
      <c r="K572">
        <v>379</v>
      </c>
      <c r="L572">
        <v>5</v>
      </c>
      <c r="M572" s="8" t="s">
        <v>27</v>
      </c>
      <c r="N572">
        <v>81</v>
      </c>
      <c r="O572">
        <v>118</v>
      </c>
      <c r="P572">
        <v>1</v>
      </c>
      <c r="Q572">
        <v>4</v>
      </c>
      <c r="R572">
        <v>2024</v>
      </c>
      <c r="S572">
        <v>5</v>
      </c>
      <c r="T572" s="8" t="s">
        <v>90</v>
      </c>
      <c r="U572">
        <v>1</v>
      </c>
      <c r="V572">
        <v>1</v>
      </c>
      <c r="W572">
        <v>2</v>
      </c>
      <c r="X572">
        <v>1</v>
      </c>
      <c r="Y572">
        <v>1</v>
      </c>
      <c r="Z572">
        <v>0</v>
      </c>
    </row>
    <row r="573" spans="1:26" x14ac:dyDescent="0.25">
      <c r="A573" s="1">
        <v>45609.166122685187</v>
      </c>
      <c r="B573" s="8" t="s">
        <v>25</v>
      </c>
      <c r="C573">
        <v>-46.818300000000001</v>
      </c>
      <c r="D573">
        <v>81.914199999999994</v>
      </c>
      <c r="E573">
        <v>175</v>
      </c>
      <c r="F573" s="8" t="s">
        <v>21</v>
      </c>
      <c r="G573">
        <v>29.6</v>
      </c>
      <c r="H573">
        <v>66</v>
      </c>
      <c r="I573" s="8" t="s">
        <v>28</v>
      </c>
      <c r="J573">
        <v>34</v>
      </c>
      <c r="K573">
        <v>467</v>
      </c>
      <c r="L573">
        <v>9</v>
      </c>
      <c r="M573" s="8" t="s">
        <v>23</v>
      </c>
      <c r="N573">
        <v>98.3</v>
      </c>
      <c r="O573">
        <v>220</v>
      </c>
      <c r="P573">
        <v>0</v>
      </c>
      <c r="Q573">
        <v>11</v>
      </c>
      <c r="R573">
        <v>2024</v>
      </c>
      <c r="S573">
        <v>3</v>
      </c>
      <c r="T573" s="8" t="s">
        <v>91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 s="1">
        <v>45456.047592592593</v>
      </c>
      <c r="B574" s="8" t="s">
        <v>30</v>
      </c>
      <c r="C574">
        <v>57.329900000000002</v>
      </c>
      <c r="D574">
        <v>-54.796199999999999</v>
      </c>
      <c r="E574">
        <v>357</v>
      </c>
      <c r="F574" s="8" t="s">
        <v>21</v>
      </c>
      <c r="G574">
        <v>27.4</v>
      </c>
      <c r="H574">
        <v>55.5</v>
      </c>
      <c r="I574" s="8" t="s">
        <v>18</v>
      </c>
      <c r="J574">
        <v>43</v>
      </c>
      <c r="K574">
        <v>207</v>
      </c>
      <c r="L574">
        <v>2</v>
      </c>
      <c r="M574" s="8" t="s">
        <v>23</v>
      </c>
      <c r="N574">
        <v>60.5</v>
      </c>
      <c r="O574">
        <v>111</v>
      </c>
      <c r="P574">
        <v>0</v>
      </c>
      <c r="Q574">
        <v>6</v>
      </c>
      <c r="R574">
        <v>2024</v>
      </c>
      <c r="S574">
        <v>4</v>
      </c>
      <c r="T574" s="8" t="s">
        <v>92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</row>
    <row r="575" spans="1:26" x14ac:dyDescent="0.25">
      <c r="A575" s="1">
        <v>45312.377789351849</v>
      </c>
      <c r="B575" s="8" t="s">
        <v>25</v>
      </c>
      <c r="C575">
        <v>86.1935</v>
      </c>
      <c r="D575">
        <v>59.498699999999999</v>
      </c>
      <c r="E575">
        <v>419</v>
      </c>
      <c r="F575" s="8" t="s">
        <v>26</v>
      </c>
      <c r="G575">
        <v>26.5</v>
      </c>
      <c r="H575">
        <v>56.2</v>
      </c>
      <c r="I575" s="8" t="s">
        <v>18</v>
      </c>
      <c r="J575">
        <v>15</v>
      </c>
      <c r="K575">
        <v>277</v>
      </c>
      <c r="L575">
        <v>2</v>
      </c>
      <c r="M575" s="8" t="s">
        <v>23</v>
      </c>
      <c r="N575">
        <v>68.3</v>
      </c>
      <c r="O575">
        <v>280</v>
      </c>
      <c r="P575">
        <v>0</v>
      </c>
      <c r="Q575">
        <v>1</v>
      </c>
      <c r="R575">
        <v>2024</v>
      </c>
      <c r="S575">
        <v>0</v>
      </c>
      <c r="T575" s="8" t="s">
        <v>93</v>
      </c>
      <c r="U575">
        <v>0</v>
      </c>
      <c r="V575">
        <v>1</v>
      </c>
      <c r="W575">
        <v>1</v>
      </c>
      <c r="X575">
        <v>0</v>
      </c>
      <c r="Y575">
        <v>0</v>
      </c>
      <c r="Z575">
        <v>0</v>
      </c>
    </row>
    <row r="576" spans="1:26" x14ac:dyDescent="0.25">
      <c r="A576" s="1">
        <v>45570.599664351852</v>
      </c>
      <c r="B576" s="8" t="s">
        <v>16</v>
      </c>
      <c r="C576">
        <v>59.854300000000002</v>
      </c>
      <c r="D576">
        <v>-132.38650000000001</v>
      </c>
      <c r="E576">
        <v>455</v>
      </c>
      <c r="F576" s="8" t="s">
        <v>26</v>
      </c>
      <c r="G576">
        <v>19.8</v>
      </c>
      <c r="H576">
        <v>67.599999999999994</v>
      </c>
      <c r="I576" s="8" t="s">
        <v>28</v>
      </c>
      <c r="J576">
        <v>22</v>
      </c>
      <c r="K576">
        <v>301</v>
      </c>
      <c r="L576">
        <v>3</v>
      </c>
      <c r="M576" s="8" t="s">
        <v>27</v>
      </c>
      <c r="N576">
        <v>68.2</v>
      </c>
      <c r="O576">
        <v>254</v>
      </c>
      <c r="P576">
        <v>0</v>
      </c>
      <c r="Q576">
        <v>10</v>
      </c>
      <c r="R576">
        <v>2024</v>
      </c>
      <c r="S576">
        <v>6</v>
      </c>
      <c r="T576" s="8" t="s">
        <v>91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</row>
    <row r="577" spans="1:26" x14ac:dyDescent="0.25">
      <c r="A577" s="1">
        <v>45403.309675925928</v>
      </c>
      <c r="B577" s="8" t="s">
        <v>30</v>
      </c>
      <c r="C577">
        <v>-41.790799999999997</v>
      </c>
      <c r="D577">
        <v>84.200100000000006</v>
      </c>
      <c r="E577">
        <v>438</v>
      </c>
      <c r="F577" s="8" t="s">
        <v>17</v>
      </c>
      <c r="G577">
        <v>24.3</v>
      </c>
      <c r="H577">
        <v>78.8</v>
      </c>
      <c r="I577" s="8" t="s">
        <v>18</v>
      </c>
      <c r="J577">
        <v>33</v>
      </c>
      <c r="K577">
        <v>322</v>
      </c>
      <c r="L577">
        <v>7</v>
      </c>
      <c r="M577" s="8" t="s">
        <v>23</v>
      </c>
      <c r="N577">
        <v>79</v>
      </c>
      <c r="O577">
        <v>206</v>
      </c>
      <c r="P577">
        <v>1</v>
      </c>
      <c r="Q577">
        <v>4</v>
      </c>
      <c r="R577">
        <v>2024</v>
      </c>
      <c r="S577">
        <v>0</v>
      </c>
      <c r="T577" s="8" t="s">
        <v>90</v>
      </c>
      <c r="U577">
        <v>0</v>
      </c>
      <c r="V577">
        <v>2</v>
      </c>
      <c r="W577">
        <v>1</v>
      </c>
      <c r="X577">
        <v>0</v>
      </c>
      <c r="Y577">
        <v>1</v>
      </c>
      <c r="Z577">
        <v>0</v>
      </c>
    </row>
    <row r="578" spans="1:26" x14ac:dyDescent="0.25">
      <c r="A578" s="1">
        <v>45406.935740740744</v>
      </c>
      <c r="B578" s="8" t="s">
        <v>20</v>
      </c>
      <c r="C578">
        <v>-3.7401</v>
      </c>
      <c r="D578">
        <v>43.269300000000001</v>
      </c>
      <c r="E578">
        <v>497</v>
      </c>
      <c r="F578" s="8" t="s">
        <v>21</v>
      </c>
      <c r="G578">
        <v>28.2</v>
      </c>
      <c r="H578">
        <v>68.2</v>
      </c>
      <c r="I578" s="8" t="s">
        <v>18</v>
      </c>
      <c r="J578">
        <v>47</v>
      </c>
      <c r="K578">
        <v>184</v>
      </c>
      <c r="L578">
        <v>6</v>
      </c>
      <c r="M578" s="8" t="s">
        <v>27</v>
      </c>
      <c r="N578">
        <v>63.8</v>
      </c>
      <c r="O578">
        <v>251</v>
      </c>
      <c r="P578">
        <v>0</v>
      </c>
      <c r="Q578">
        <v>4</v>
      </c>
      <c r="R578">
        <v>2024</v>
      </c>
      <c r="S578">
        <v>3</v>
      </c>
      <c r="T578" s="8" t="s">
        <v>90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1</v>
      </c>
    </row>
    <row r="579" spans="1:26" x14ac:dyDescent="0.25">
      <c r="A579" s="1">
        <v>45332.292662037034</v>
      </c>
      <c r="B579" s="8" t="s">
        <v>32</v>
      </c>
      <c r="C579">
        <v>-27.019600000000001</v>
      </c>
      <c r="D579">
        <v>-24.081</v>
      </c>
      <c r="E579">
        <v>410</v>
      </c>
      <c r="F579" s="8" t="s">
        <v>21</v>
      </c>
      <c r="G579">
        <v>29.8</v>
      </c>
      <c r="H579">
        <v>76.2</v>
      </c>
      <c r="I579" s="8" t="s">
        <v>18</v>
      </c>
      <c r="J579">
        <v>52</v>
      </c>
      <c r="K579">
        <v>152</v>
      </c>
      <c r="L579">
        <v>2</v>
      </c>
      <c r="M579" s="8" t="s">
        <v>31</v>
      </c>
      <c r="N579">
        <v>76.599999999999994</v>
      </c>
      <c r="O579">
        <v>149</v>
      </c>
      <c r="P579">
        <v>0</v>
      </c>
      <c r="Q579">
        <v>2</v>
      </c>
      <c r="R579">
        <v>2024</v>
      </c>
      <c r="S579">
        <v>6</v>
      </c>
      <c r="T579" s="8" t="s">
        <v>93</v>
      </c>
      <c r="U579">
        <v>1</v>
      </c>
      <c r="V579">
        <v>0</v>
      </c>
      <c r="W579">
        <v>1</v>
      </c>
      <c r="X579">
        <v>0</v>
      </c>
      <c r="Y579">
        <v>1</v>
      </c>
      <c r="Z579">
        <v>1</v>
      </c>
    </row>
    <row r="580" spans="1:26" x14ac:dyDescent="0.25">
      <c r="A580" s="1">
        <v>45561.707731481481</v>
      </c>
      <c r="B580" s="8" t="s">
        <v>16</v>
      </c>
      <c r="C580">
        <v>-53.710700000000003</v>
      </c>
      <c r="D580">
        <v>-60.595100000000002</v>
      </c>
      <c r="E580">
        <v>306</v>
      </c>
      <c r="F580" s="8" t="s">
        <v>26</v>
      </c>
      <c r="G580">
        <v>21.5</v>
      </c>
      <c r="H580">
        <v>78.5</v>
      </c>
      <c r="I580" s="8" t="s">
        <v>28</v>
      </c>
      <c r="J580">
        <v>48</v>
      </c>
      <c r="K580">
        <v>317</v>
      </c>
      <c r="L580">
        <v>7</v>
      </c>
      <c r="M580" s="8" t="s">
        <v>23</v>
      </c>
      <c r="N580">
        <v>92.8</v>
      </c>
      <c r="O580">
        <v>231</v>
      </c>
      <c r="P580">
        <v>0</v>
      </c>
      <c r="Q580">
        <v>9</v>
      </c>
      <c r="R580">
        <v>2024</v>
      </c>
      <c r="S580">
        <v>4</v>
      </c>
      <c r="T580" s="8" t="s">
        <v>91</v>
      </c>
      <c r="U580">
        <v>0</v>
      </c>
      <c r="V580">
        <v>1</v>
      </c>
      <c r="W580">
        <v>0</v>
      </c>
      <c r="X580">
        <v>0</v>
      </c>
      <c r="Y580">
        <v>1</v>
      </c>
      <c r="Z580">
        <v>1</v>
      </c>
    </row>
    <row r="581" spans="1:26" x14ac:dyDescent="0.25">
      <c r="A581" s="1">
        <v>45513.599444444444</v>
      </c>
      <c r="B581" s="8" t="s">
        <v>33</v>
      </c>
      <c r="C581">
        <v>65.986599999999996</v>
      </c>
      <c r="D581">
        <v>135.5421</v>
      </c>
      <c r="E581">
        <v>209</v>
      </c>
      <c r="F581" s="8" t="s">
        <v>17</v>
      </c>
      <c r="G581">
        <v>18.600000000000001</v>
      </c>
      <c r="H581">
        <v>69.599999999999994</v>
      </c>
      <c r="I581" s="8" t="s">
        <v>22</v>
      </c>
      <c r="J581">
        <v>50</v>
      </c>
      <c r="K581">
        <v>357</v>
      </c>
      <c r="L581">
        <v>10</v>
      </c>
      <c r="M581" s="8" t="s">
        <v>27</v>
      </c>
      <c r="N581">
        <v>92.9</v>
      </c>
      <c r="O581">
        <v>125</v>
      </c>
      <c r="P581">
        <v>1</v>
      </c>
      <c r="Q581">
        <v>8</v>
      </c>
      <c r="R581">
        <v>2024</v>
      </c>
      <c r="S581">
        <v>5</v>
      </c>
      <c r="T581" s="8" t="s">
        <v>92</v>
      </c>
      <c r="U581">
        <v>1</v>
      </c>
      <c r="V581">
        <v>2</v>
      </c>
      <c r="W581">
        <v>2</v>
      </c>
      <c r="X581">
        <v>1</v>
      </c>
      <c r="Y581">
        <v>0</v>
      </c>
      <c r="Z581">
        <v>1</v>
      </c>
    </row>
    <row r="582" spans="1:26" x14ac:dyDescent="0.25">
      <c r="A582" s="1">
        <v>45296.87976851852</v>
      </c>
      <c r="B582" s="8" t="s">
        <v>29</v>
      </c>
      <c r="C582">
        <v>-77.813299999999998</v>
      </c>
      <c r="D582">
        <v>-89.117900000000006</v>
      </c>
      <c r="E582">
        <v>155</v>
      </c>
      <c r="F582" s="8" t="s">
        <v>17</v>
      </c>
      <c r="G582">
        <v>30</v>
      </c>
      <c r="H582">
        <v>64.5</v>
      </c>
      <c r="I582" s="8" t="s">
        <v>18</v>
      </c>
      <c r="J582">
        <v>33</v>
      </c>
      <c r="K582">
        <v>342</v>
      </c>
      <c r="L582">
        <v>6</v>
      </c>
      <c r="M582" s="8" t="s">
        <v>23</v>
      </c>
      <c r="N582">
        <v>88.2</v>
      </c>
      <c r="O582">
        <v>179</v>
      </c>
      <c r="P582">
        <v>1</v>
      </c>
      <c r="Q582">
        <v>1</v>
      </c>
      <c r="R582">
        <v>2024</v>
      </c>
      <c r="S582">
        <v>5</v>
      </c>
      <c r="T582" s="8" t="s">
        <v>93</v>
      </c>
      <c r="U582">
        <v>1</v>
      </c>
      <c r="V582">
        <v>2</v>
      </c>
      <c r="W582">
        <v>1</v>
      </c>
      <c r="X582">
        <v>0</v>
      </c>
      <c r="Y582">
        <v>0</v>
      </c>
      <c r="Z582">
        <v>0</v>
      </c>
    </row>
    <row r="583" spans="1:26" x14ac:dyDescent="0.25">
      <c r="A583" s="1">
        <v>45626.277928240743</v>
      </c>
      <c r="B583" s="8" t="s">
        <v>33</v>
      </c>
      <c r="C583">
        <v>22.303599999999999</v>
      </c>
      <c r="D583">
        <v>59.468899999999998</v>
      </c>
      <c r="E583">
        <v>318</v>
      </c>
      <c r="F583" s="8" t="s">
        <v>17</v>
      </c>
      <c r="G583">
        <v>25.8</v>
      </c>
      <c r="H583">
        <v>79.5</v>
      </c>
      <c r="I583" s="8" t="s">
        <v>18</v>
      </c>
      <c r="J583">
        <v>11</v>
      </c>
      <c r="K583">
        <v>161</v>
      </c>
      <c r="L583">
        <v>10</v>
      </c>
      <c r="M583" s="8" t="s">
        <v>19</v>
      </c>
      <c r="N583">
        <v>90</v>
      </c>
      <c r="O583">
        <v>191</v>
      </c>
      <c r="P583">
        <v>1</v>
      </c>
      <c r="Q583">
        <v>11</v>
      </c>
      <c r="R583">
        <v>2024</v>
      </c>
      <c r="S583">
        <v>6</v>
      </c>
      <c r="T583" s="8" t="s">
        <v>91</v>
      </c>
      <c r="U583">
        <v>1</v>
      </c>
      <c r="V583">
        <v>2</v>
      </c>
      <c r="W583">
        <v>1</v>
      </c>
      <c r="X583">
        <v>0</v>
      </c>
      <c r="Y583">
        <v>1</v>
      </c>
      <c r="Z583">
        <v>0</v>
      </c>
    </row>
    <row r="584" spans="1:26" x14ac:dyDescent="0.25">
      <c r="A584" s="1">
        <v>45546.346736111111</v>
      </c>
      <c r="B584" s="8" t="s">
        <v>25</v>
      </c>
      <c r="C584">
        <v>-10.202299999999999</v>
      </c>
      <c r="D584">
        <v>76.794600000000003</v>
      </c>
      <c r="E584">
        <v>422</v>
      </c>
      <c r="F584" s="8" t="s">
        <v>26</v>
      </c>
      <c r="G584">
        <v>23.8</v>
      </c>
      <c r="H584">
        <v>62.4</v>
      </c>
      <c r="I584" s="8" t="s">
        <v>28</v>
      </c>
      <c r="J584">
        <v>10</v>
      </c>
      <c r="K584">
        <v>158</v>
      </c>
      <c r="L584">
        <v>4</v>
      </c>
      <c r="M584" s="8" t="s">
        <v>27</v>
      </c>
      <c r="N584">
        <v>84.7</v>
      </c>
      <c r="O584">
        <v>294</v>
      </c>
      <c r="P584">
        <v>0</v>
      </c>
      <c r="Q584">
        <v>9</v>
      </c>
      <c r="R584">
        <v>2024</v>
      </c>
      <c r="S584">
        <v>3</v>
      </c>
      <c r="T584" s="8" t="s">
        <v>91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</row>
    <row r="585" spans="1:26" x14ac:dyDescent="0.25">
      <c r="A585" s="1">
        <v>45570.99832175926</v>
      </c>
      <c r="B585" s="8" t="s">
        <v>30</v>
      </c>
      <c r="C585">
        <v>-9.1011000000000006</v>
      </c>
      <c r="D585">
        <v>102.9819</v>
      </c>
      <c r="E585">
        <v>450</v>
      </c>
      <c r="F585" s="8" t="s">
        <v>21</v>
      </c>
      <c r="G585">
        <v>22.8</v>
      </c>
      <c r="H585">
        <v>58.7</v>
      </c>
      <c r="I585" s="8" t="s">
        <v>18</v>
      </c>
      <c r="J585">
        <v>45</v>
      </c>
      <c r="K585">
        <v>421</v>
      </c>
      <c r="L585">
        <v>9</v>
      </c>
      <c r="M585" s="8" t="s">
        <v>19</v>
      </c>
      <c r="N585">
        <v>90</v>
      </c>
      <c r="O585">
        <v>240</v>
      </c>
      <c r="P585">
        <v>0</v>
      </c>
      <c r="Q585">
        <v>10</v>
      </c>
      <c r="R585">
        <v>2024</v>
      </c>
      <c r="S585">
        <v>6</v>
      </c>
      <c r="T585" s="8" t="s">
        <v>91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</row>
    <row r="586" spans="1:26" x14ac:dyDescent="0.25">
      <c r="A586" s="1">
        <v>45580.586018518516</v>
      </c>
      <c r="B586" s="8" t="s">
        <v>29</v>
      </c>
      <c r="C586">
        <v>-85.297300000000007</v>
      </c>
      <c r="D586">
        <v>149.08590000000001</v>
      </c>
      <c r="E586">
        <v>221</v>
      </c>
      <c r="F586" s="8" t="s">
        <v>26</v>
      </c>
      <c r="G586">
        <v>21.6</v>
      </c>
      <c r="H586">
        <v>67.7</v>
      </c>
      <c r="I586" s="8" t="s">
        <v>22</v>
      </c>
      <c r="J586">
        <v>39</v>
      </c>
      <c r="K586">
        <v>430</v>
      </c>
      <c r="L586">
        <v>6</v>
      </c>
      <c r="M586" s="8" t="s">
        <v>27</v>
      </c>
      <c r="N586">
        <v>71.900000000000006</v>
      </c>
      <c r="O586">
        <v>286</v>
      </c>
      <c r="P586">
        <v>1</v>
      </c>
      <c r="Q586">
        <v>10</v>
      </c>
      <c r="R586">
        <v>2024</v>
      </c>
      <c r="S586">
        <v>2</v>
      </c>
      <c r="T586" s="8" t="s">
        <v>91</v>
      </c>
      <c r="U586">
        <v>0</v>
      </c>
      <c r="V586">
        <v>1</v>
      </c>
      <c r="W586">
        <v>2</v>
      </c>
      <c r="X586">
        <v>1</v>
      </c>
      <c r="Y586">
        <v>0</v>
      </c>
      <c r="Z586">
        <v>0</v>
      </c>
    </row>
    <row r="587" spans="1:26" x14ac:dyDescent="0.25">
      <c r="A587" s="1">
        <v>45477.390810185185</v>
      </c>
      <c r="B587" s="8" t="s">
        <v>16</v>
      </c>
      <c r="C587">
        <v>-13.197699999999999</v>
      </c>
      <c r="D587">
        <v>107.4226</v>
      </c>
      <c r="E587">
        <v>271</v>
      </c>
      <c r="F587" s="8" t="s">
        <v>26</v>
      </c>
      <c r="G587">
        <v>18.7</v>
      </c>
      <c r="H587">
        <v>75.400000000000006</v>
      </c>
      <c r="I587" s="8" t="s">
        <v>28</v>
      </c>
      <c r="J587">
        <v>37</v>
      </c>
      <c r="K587">
        <v>210</v>
      </c>
      <c r="L587">
        <v>10</v>
      </c>
      <c r="M587" s="8" t="s">
        <v>27</v>
      </c>
      <c r="N587">
        <v>72</v>
      </c>
      <c r="O587">
        <v>120</v>
      </c>
      <c r="P587">
        <v>0</v>
      </c>
      <c r="Q587">
        <v>7</v>
      </c>
      <c r="R587">
        <v>2024</v>
      </c>
      <c r="S587">
        <v>4</v>
      </c>
      <c r="T587" s="8" t="s">
        <v>92</v>
      </c>
      <c r="U587">
        <v>0</v>
      </c>
      <c r="V587">
        <v>1</v>
      </c>
      <c r="W587">
        <v>0</v>
      </c>
      <c r="X587">
        <v>0</v>
      </c>
      <c r="Y587">
        <v>1</v>
      </c>
      <c r="Z587">
        <v>0</v>
      </c>
    </row>
    <row r="588" spans="1:26" x14ac:dyDescent="0.25">
      <c r="A588" s="1">
        <v>45525.722673611112</v>
      </c>
      <c r="B588" s="8" t="s">
        <v>29</v>
      </c>
      <c r="C588">
        <v>-77.326999999999998</v>
      </c>
      <c r="D588">
        <v>-33.600099999999998</v>
      </c>
      <c r="E588">
        <v>402</v>
      </c>
      <c r="F588" s="8" t="s">
        <v>17</v>
      </c>
      <c r="G588">
        <v>18.7</v>
      </c>
      <c r="H588">
        <v>59.6</v>
      </c>
      <c r="I588" s="8" t="s">
        <v>18</v>
      </c>
      <c r="J588">
        <v>16</v>
      </c>
      <c r="K588">
        <v>454</v>
      </c>
      <c r="L588">
        <v>1</v>
      </c>
      <c r="M588" s="8" t="s">
        <v>27</v>
      </c>
      <c r="N588">
        <v>62.9</v>
      </c>
      <c r="O588">
        <v>274</v>
      </c>
      <c r="P588">
        <v>1</v>
      </c>
      <c r="Q588">
        <v>8</v>
      </c>
      <c r="R588">
        <v>2024</v>
      </c>
      <c r="S588">
        <v>3</v>
      </c>
      <c r="T588" s="8" t="s">
        <v>92</v>
      </c>
      <c r="U588">
        <v>0</v>
      </c>
      <c r="V588">
        <v>2</v>
      </c>
      <c r="W588">
        <v>1</v>
      </c>
      <c r="X588">
        <v>0</v>
      </c>
      <c r="Y588">
        <v>0</v>
      </c>
      <c r="Z588">
        <v>0</v>
      </c>
    </row>
    <row r="589" spans="1:26" x14ac:dyDescent="0.25">
      <c r="A589" s="1">
        <v>45476.272627314815</v>
      </c>
      <c r="B589" s="8" t="s">
        <v>35</v>
      </c>
      <c r="C589">
        <v>-36.338799999999999</v>
      </c>
      <c r="D589">
        <v>69.5488</v>
      </c>
      <c r="E589">
        <v>119</v>
      </c>
      <c r="F589" s="8" t="s">
        <v>21</v>
      </c>
      <c r="G589">
        <v>24.4</v>
      </c>
      <c r="H589">
        <v>68.2</v>
      </c>
      <c r="I589" s="8" t="s">
        <v>22</v>
      </c>
      <c r="J589">
        <v>60</v>
      </c>
      <c r="K589">
        <v>125</v>
      </c>
      <c r="L589">
        <v>3</v>
      </c>
      <c r="M589" s="8" t="s">
        <v>19</v>
      </c>
      <c r="N589">
        <v>81.599999999999994</v>
      </c>
      <c r="O589">
        <v>106</v>
      </c>
      <c r="P589">
        <v>1</v>
      </c>
      <c r="Q589">
        <v>7</v>
      </c>
      <c r="R589">
        <v>2024</v>
      </c>
      <c r="S589">
        <v>3</v>
      </c>
      <c r="T589" s="8" t="s">
        <v>92</v>
      </c>
      <c r="U589">
        <v>0</v>
      </c>
      <c r="V589">
        <v>0</v>
      </c>
      <c r="W589">
        <v>2</v>
      </c>
      <c r="X589">
        <v>1</v>
      </c>
      <c r="Y589">
        <v>0</v>
      </c>
      <c r="Z589">
        <v>1</v>
      </c>
    </row>
    <row r="590" spans="1:26" x14ac:dyDescent="0.25">
      <c r="A590" s="1">
        <v>45342.734513888892</v>
      </c>
      <c r="B590" s="8" t="s">
        <v>20</v>
      </c>
      <c r="C590">
        <v>-35.495100000000001</v>
      </c>
      <c r="D590">
        <v>105.3877</v>
      </c>
      <c r="E590">
        <v>385</v>
      </c>
      <c r="F590" s="8" t="s">
        <v>26</v>
      </c>
      <c r="G590">
        <v>26.1</v>
      </c>
      <c r="H590">
        <v>68.3</v>
      </c>
      <c r="I590" s="8" t="s">
        <v>28</v>
      </c>
      <c r="J590">
        <v>38</v>
      </c>
      <c r="K590">
        <v>114</v>
      </c>
      <c r="L590">
        <v>6</v>
      </c>
      <c r="M590" s="8" t="s">
        <v>23</v>
      </c>
      <c r="N590">
        <v>64.599999999999994</v>
      </c>
      <c r="O590">
        <v>190</v>
      </c>
      <c r="P590">
        <v>0</v>
      </c>
      <c r="Q590">
        <v>2</v>
      </c>
      <c r="R590">
        <v>2024</v>
      </c>
      <c r="S590">
        <v>2</v>
      </c>
      <c r="T590" s="8" t="s">
        <v>93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</row>
    <row r="591" spans="1:26" x14ac:dyDescent="0.25">
      <c r="A591" s="1">
        <v>45437.158715277779</v>
      </c>
      <c r="B591" s="8" t="s">
        <v>29</v>
      </c>
      <c r="C591">
        <v>-50.725499999999997</v>
      </c>
      <c r="D591">
        <v>49.299300000000002</v>
      </c>
      <c r="E591">
        <v>443</v>
      </c>
      <c r="F591" s="8" t="s">
        <v>26</v>
      </c>
      <c r="G591">
        <v>23.6</v>
      </c>
      <c r="H591">
        <v>66.599999999999994</v>
      </c>
      <c r="I591" s="8" t="s">
        <v>18</v>
      </c>
      <c r="J591">
        <v>42</v>
      </c>
      <c r="K591">
        <v>333</v>
      </c>
      <c r="L591">
        <v>9</v>
      </c>
      <c r="M591" s="8" t="s">
        <v>27</v>
      </c>
      <c r="N591">
        <v>93.1</v>
      </c>
      <c r="O591">
        <v>143</v>
      </c>
      <c r="P591">
        <v>0</v>
      </c>
      <c r="Q591">
        <v>5</v>
      </c>
      <c r="R591">
        <v>2024</v>
      </c>
      <c r="S591">
        <v>6</v>
      </c>
      <c r="T591" s="8" t="s">
        <v>90</v>
      </c>
      <c r="U591">
        <v>1</v>
      </c>
      <c r="V591">
        <v>1</v>
      </c>
      <c r="W591">
        <v>1</v>
      </c>
      <c r="X591">
        <v>0</v>
      </c>
      <c r="Y591">
        <v>0</v>
      </c>
      <c r="Z591">
        <v>0</v>
      </c>
    </row>
    <row r="592" spans="1:26" x14ac:dyDescent="0.25">
      <c r="A592" s="1">
        <v>45440.68378472222</v>
      </c>
      <c r="B592" s="8" t="s">
        <v>29</v>
      </c>
      <c r="C592">
        <v>-85.600499999999997</v>
      </c>
      <c r="D592">
        <v>35.888300000000001</v>
      </c>
      <c r="E592">
        <v>271</v>
      </c>
      <c r="F592" s="8" t="s">
        <v>21</v>
      </c>
      <c r="G592">
        <v>23.6</v>
      </c>
      <c r="H592">
        <v>74.2</v>
      </c>
      <c r="I592" s="8" t="s">
        <v>28</v>
      </c>
      <c r="J592">
        <v>30</v>
      </c>
      <c r="K592">
        <v>214</v>
      </c>
      <c r="L592">
        <v>5</v>
      </c>
      <c r="M592" s="8" t="s">
        <v>27</v>
      </c>
      <c r="N592">
        <v>72.099999999999994</v>
      </c>
      <c r="O592">
        <v>132</v>
      </c>
      <c r="P592">
        <v>0</v>
      </c>
      <c r="Q592">
        <v>5</v>
      </c>
      <c r="R592">
        <v>2024</v>
      </c>
      <c r="S592">
        <v>2</v>
      </c>
      <c r="T592" s="8" t="s">
        <v>90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</row>
    <row r="593" spans="1:26" x14ac:dyDescent="0.25">
      <c r="A593" s="1">
        <v>45542.442696759259</v>
      </c>
      <c r="B593" s="8" t="s">
        <v>33</v>
      </c>
      <c r="C593">
        <v>-15.3475</v>
      </c>
      <c r="D593">
        <v>13.351599999999999</v>
      </c>
      <c r="E593">
        <v>133</v>
      </c>
      <c r="F593" s="8" t="s">
        <v>17</v>
      </c>
      <c r="G593">
        <v>29.4</v>
      </c>
      <c r="H593">
        <v>51.6</v>
      </c>
      <c r="I593" s="8" t="s">
        <v>28</v>
      </c>
      <c r="J593">
        <v>31</v>
      </c>
      <c r="K593">
        <v>485</v>
      </c>
      <c r="L593">
        <v>3</v>
      </c>
      <c r="M593" s="8" t="s">
        <v>23</v>
      </c>
      <c r="N593">
        <v>90.1</v>
      </c>
      <c r="O593">
        <v>172</v>
      </c>
      <c r="P593">
        <v>1</v>
      </c>
      <c r="Q593">
        <v>9</v>
      </c>
      <c r="R593">
        <v>2024</v>
      </c>
      <c r="S593">
        <v>6</v>
      </c>
      <c r="T593" s="8" t="s">
        <v>91</v>
      </c>
      <c r="U593">
        <v>1</v>
      </c>
      <c r="V593">
        <v>2</v>
      </c>
      <c r="W593">
        <v>0</v>
      </c>
      <c r="X593">
        <v>0</v>
      </c>
      <c r="Y593">
        <v>0</v>
      </c>
      <c r="Z593">
        <v>0</v>
      </c>
    </row>
    <row r="594" spans="1:26" x14ac:dyDescent="0.25">
      <c r="A594" s="1">
        <v>45524.63009259259</v>
      </c>
      <c r="B594" s="8" t="s">
        <v>29</v>
      </c>
      <c r="C594">
        <v>36.457299999999996</v>
      </c>
      <c r="D594">
        <v>-60.825499999999998</v>
      </c>
      <c r="E594">
        <v>388</v>
      </c>
      <c r="F594" s="8" t="s">
        <v>17</v>
      </c>
      <c r="G594">
        <v>23.1</v>
      </c>
      <c r="H594">
        <v>64.8</v>
      </c>
      <c r="I594" s="8" t="s">
        <v>18</v>
      </c>
      <c r="J594">
        <v>23</v>
      </c>
      <c r="K594">
        <v>329</v>
      </c>
      <c r="L594">
        <v>1</v>
      </c>
      <c r="M594" s="8" t="s">
        <v>31</v>
      </c>
      <c r="N594">
        <v>89.2</v>
      </c>
      <c r="O594">
        <v>296</v>
      </c>
      <c r="P594">
        <v>1</v>
      </c>
      <c r="Q594">
        <v>8</v>
      </c>
      <c r="R594">
        <v>2024</v>
      </c>
      <c r="S594">
        <v>2</v>
      </c>
      <c r="T594" s="8" t="s">
        <v>92</v>
      </c>
      <c r="U594">
        <v>0</v>
      </c>
      <c r="V594">
        <v>2</v>
      </c>
      <c r="W594">
        <v>1</v>
      </c>
      <c r="X594">
        <v>0</v>
      </c>
      <c r="Y594">
        <v>0</v>
      </c>
      <c r="Z594">
        <v>0</v>
      </c>
    </row>
    <row r="595" spans="1:26" x14ac:dyDescent="0.25">
      <c r="A595" s="1">
        <v>45607.802303240744</v>
      </c>
      <c r="B595" s="8" t="s">
        <v>35</v>
      </c>
      <c r="C595">
        <v>40.9268</v>
      </c>
      <c r="D595">
        <v>-145.29900000000001</v>
      </c>
      <c r="E595">
        <v>429</v>
      </c>
      <c r="F595" s="8" t="s">
        <v>21</v>
      </c>
      <c r="G595">
        <v>20.9</v>
      </c>
      <c r="H595">
        <v>68</v>
      </c>
      <c r="I595" s="8" t="s">
        <v>22</v>
      </c>
      <c r="J595">
        <v>50</v>
      </c>
      <c r="K595">
        <v>196</v>
      </c>
      <c r="L595">
        <v>10</v>
      </c>
      <c r="M595" s="8" t="s">
        <v>31</v>
      </c>
      <c r="N595">
        <v>72.900000000000006</v>
      </c>
      <c r="O595">
        <v>123</v>
      </c>
      <c r="P595">
        <v>1</v>
      </c>
      <c r="Q595">
        <v>11</v>
      </c>
      <c r="R595">
        <v>2024</v>
      </c>
      <c r="S595">
        <v>1</v>
      </c>
      <c r="T595" s="8" t="s">
        <v>91</v>
      </c>
      <c r="U595">
        <v>0</v>
      </c>
      <c r="V595">
        <v>0</v>
      </c>
      <c r="W595">
        <v>2</v>
      </c>
      <c r="X595">
        <v>1</v>
      </c>
      <c r="Y595">
        <v>0</v>
      </c>
      <c r="Z595">
        <v>1</v>
      </c>
    </row>
    <row r="596" spans="1:26" x14ac:dyDescent="0.25">
      <c r="A596" s="1">
        <v>45439.359791666669</v>
      </c>
      <c r="B596" s="8" t="s">
        <v>20</v>
      </c>
      <c r="C596">
        <v>-66.072400000000002</v>
      </c>
      <c r="D596">
        <v>48.259700000000002</v>
      </c>
      <c r="E596">
        <v>145</v>
      </c>
      <c r="F596" s="8" t="s">
        <v>26</v>
      </c>
      <c r="G596">
        <v>18.8</v>
      </c>
      <c r="H596">
        <v>62.6</v>
      </c>
      <c r="I596" s="8" t="s">
        <v>18</v>
      </c>
      <c r="J596">
        <v>14</v>
      </c>
      <c r="K596">
        <v>408</v>
      </c>
      <c r="L596">
        <v>9</v>
      </c>
      <c r="M596" s="8" t="s">
        <v>23</v>
      </c>
      <c r="N596">
        <v>81.3</v>
      </c>
      <c r="O596">
        <v>138</v>
      </c>
      <c r="P596">
        <v>0</v>
      </c>
      <c r="Q596">
        <v>5</v>
      </c>
      <c r="R596">
        <v>2024</v>
      </c>
      <c r="S596">
        <v>1</v>
      </c>
      <c r="T596" s="8" t="s">
        <v>90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0</v>
      </c>
    </row>
    <row r="597" spans="1:26" x14ac:dyDescent="0.25">
      <c r="A597" s="1">
        <v>45387.789386574077</v>
      </c>
      <c r="B597" s="8" t="s">
        <v>35</v>
      </c>
      <c r="C597">
        <v>24.197099999999999</v>
      </c>
      <c r="D597">
        <v>18.693000000000001</v>
      </c>
      <c r="E597">
        <v>135</v>
      </c>
      <c r="F597" s="8" t="s">
        <v>26</v>
      </c>
      <c r="G597">
        <v>20.100000000000001</v>
      </c>
      <c r="H597">
        <v>53.8</v>
      </c>
      <c r="I597" s="8" t="s">
        <v>18</v>
      </c>
      <c r="J597">
        <v>21</v>
      </c>
      <c r="K597">
        <v>108</v>
      </c>
      <c r="L597">
        <v>10</v>
      </c>
      <c r="M597" s="8" t="s">
        <v>27</v>
      </c>
      <c r="N597">
        <v>92</v>
      </c>
      <c r="O597">
        <v>243</v>
      </c>
      <c r="P597">
        <v>0</v>
      </c>
      <c r="Q597">
        <v>4</v>
      </c>
      <c r="R597">
        <v>2024</v>
      </c>
      <c r="S597">
        <v>5</v>
      </c>
      <c r="T597" s="8" t="s">
        <v>90</v>
      </c>
      <c r="U597">
        <v>1</v>
      </c>
      <c r="V597">
        <v>1</v>
      </c>
      <c r="W597">
        <v>1</v>
      </c>
      <c r="X597">
        <v>0</v>
      </c>
      <c r="Y597">
        <v>0</v>
      </c>
      <c r="Z597">
        <v>0</v>
      </c>
    </row>
    <row r="598" spans="1:26" x14ac:dyDescent="0.25">
      <c r="A598" s="1">
        <v>45496.630902777775</v>
      </c>
      <c r="B598" s="8" t="s">
        <v>34</v>
      </c>
      <c r="C598">
        <v>46.860900000000001</v>
      </c>
      <c r="D598">
        <v>37.823500000000003</v>
      </c>
      <c r="E598">
        <v>442</v>
      </c>
      <c r="F598" s="8" t="s">
        <v>17</v>
      </c>
      <c r="G598">
        <v>22.2</v>
      </c>
      <c r="H598">
        <v>65.400000000000006</v>
      </c>
      <c r="I598" s="8" t="s">
        <v>18</v>
      </c>
      <c r="J598">
        <v>33</v>
      </c>
      <c r="K598">
        <v>492</v>
      </c>
      <c r="L598">
        <v>5</v>
      </c>
      <c r="M598" s="8" t="s">
        <v>23</v>
      </c>
      <c r="N598">
        <v>86.4</v>
      </c>
      <c r="O598">
        <v>145</v>
      </c>
      <c r="P598">
        <v>1</v>
      </c>
      <c r="Q598">
        <v>7</v>
      </c>
      <c r="R598">
        <v>2024</v>
      </c>
      <c r="S598">
        <v>2</v>
      </c>
      <c r="T598" s="8" t="s">
        <v>92</v>
      </c>
      <c r="U598">
        <v>0</v>
      </c>
      <c r="V598">
        <v>2</v>
      </c>
      <c r="W598">
        <v>1</v>
      </c>
      <c r="X598">
        <v>0</v>
      </c>
      <c r="Y598">
        <v>0</v>
      </c>
      <c r="Z598">
        <v>0</v>
      </c>
    </row>
    <row r="599" spans="1:26" x14ac:dyDescent="0.25">
      <c r="A599" s="1">
        <v>45355.392187500001</v>
      </c>
      <c r="B599" s="8" t="s">
        <v>24</v>
      </c>
      <c r="C599">
        <v>-56.785400000000003</v>
      </c>
      <c r="D599">
        <v>25.8691</v>
      </c>
      <c r="E599">
        <v>342</v>
      </c>
      <c r="F599" s="8" t="s">
        <v>26</v>
      </c>
      <c r="G599">
        <v>27.2</v>
      </c>
      <c r="H599">
        <v>55.1</v>
      </c>
      <c r="I599" s="8" t="s">
        <v>22</v>
      </c>
      <c r="J599">
        <v>22</v>
      </c>
      <c r="K599">
        <v>326</v>
      </c>
      <c r="L599">
        <v>2</v>
      </c>
      <c r="M599" s="8" t="s">
        <v>19</v>
      </c>
      <c r="N599">
        <v>64.400000000000006</v>
      </c>
      <c r="O599">
        <v>300</v>
      </c>
      <c r="P599">
        <v>1</v>
      </c>
      <c r="Q599">
        <v>3</v>
      </c>
      <c r="R599">
        <v>2024</v>
      </c>
      <c r="S599">
        <v>1</v>
      </c>
      <c r="T599" s="8" t="s">
        <v>90</v>
      </c>
      <c r="U599">
        <v>0</v>
      </c>
      <c r="V599">
        <v>1</v>
      </c>
      <c r="W599">
        <v>2</v>
      </c>
      <c r="X599">
        <v>1</v>
      </c>
      <c r="Y599">
        <v>0</v>
      </c>
      <c r="Z599">
        <v>0</v>
      </c>
    </row>
    <row r="600" spans="1:26" x14ac:dyDescent="0.25">
      <c r="A600" s="1">
        <v>45294.534583333334</v>
      </c>
      <c r="B600" s="8" t="s">
        <v>24</v>
      </c>
      <c r="C600">
        <v>-35.432899999999997</v>
      </c>
      <c r="D600">
        <v>9.9153000000000002</v>
      </c>
      <c r="E600">
        <v>308</v>
      </c>
      <c r="F600" s="8" t="s">
        <v>17</v>
      </c>
      <c r="G600">
        <v>25.2</v>
      </c>
      <c r="H600">
        <v>52.5</v>
      </c>
      <c r="I600" s="8" t="s">
        <v>22</v>
      </c>
      <c r="J600">
        <v>19</v>
      </c>
      <c r="K600">
        <v>475</v>
      </c>
      <c r="L600">
        <v>8</v>
      </c>
      <c r="M600" s="8" t="s">
        <v>31</v>
      </c>
      <c r="N600">
        <v>95</v>
      </c>
      <c r="O600">
        <v>206</v>
      </c>
      <c r="P600">
        <v>1</v>
      </c>
      <c r="Q600">
        <v>1</v>
      </c>
      <c r="R600">
        <v>2024</v>
      </c>
      <c r="S600">
        <v>3</v>
      </c>
      <c r="T600" s="8" t="s">
        <v>93</v>
      </c>
      <c r="U600">
        <v>0</v>
      </c>
      <c r="V600">
        <v>2</v>
      </c>
      <c r="W600">
        <v>2</v>
      </c>
      <c r="X600">
        <v>1</v>
      </c>
      <c r="Y600">
        <v>0</v>
      </c>
      <c r="Z600">
        <v>0</v>
      </c>
    </row>
    <row r="601" spans="1:26" x14ac:dyDescent="0.25">
      <c r="A601" s="1">
        <v>45387.847511574073</v>
      </c>
      <c r="B601" s="8" t="s">
        <v>16</v>
      </c>
      <c r="C601">
        <v>63.6965</v>
      </c>
      <c r="D601">
        <v>-131.15190000000001</v>
      </c>
      <c r="E601">
        <v>358</v>
      </c>
      <c r="F601" s="8" t="s">
        <v>17</v>
      </c>
      <c r="G601">
        <v>21.6</v>
      </c>
      <c r="H601">
        <v>61.7</v>
      </c>
      <c r="I601" s="8" t="s">
        <v>28</v>
      </c>
      <c r="J601">
        <v>23</v>
      </c>
      <c r="K601">
        <v>127</v>
      </c>
      <c r="L601">
        <v>6</v>
      </c>
      <c r="M601" s="8" t="s">
        <v>19</v>
      </c>
      <c r="N601">
        <v>85.7</v>
      </c>
      <c r="O601">
        <v>199</v>
      </c>
      <c r="P601">
        <v>1</v>
      </c>
      <c r="Q601">
        <v>4</v>
      </c>
      <c r="R601">
        <v>2024</v>
      </c>
      <c r="S601">
        <v>5</v>
      </c>
      <c r="T601" s="8" t="s">
        <v>90</v>
      </c>
      <c r="U601">
        <v>1</v>
      </c>
      <c r="V601">
        <v>2</v>
      </c>
      <c r="W601">
        <v>0</v>
      </c>
      <c r="X601">
        <v>0</v>
      </c>
      <c r="Y601">
        <v>0</v>
      </c>
      <c r="Z601">
        <v>0</v>
      </c>
    </row>
    <row r="602" spans="1:26" x14ac:dyDescent="0.25">
      <c r="A602" s="1">
        <v>45420.422986111109</v>
      </c>
      <c r="B602" s="8" t="s">
        <v>20</v>
      </c>
      <c r="C602">
        <v>-43.417099999999998</v>
      </c>
      <c r="D602">
        <v>160.84229999999999</v>
      </c>
      <c r="E602">
        <v>128</v>
      </c>
      <c r="F602" s="8" t="s">
        <v>17</v>
      </c>
      <c r="G602">
        <v>23</v>
      </c>
      <c r="H602">
        <v>69.7</v>
      </c>
      <c r="I602" s="8" t="s">
        <v>28</v>
      </c>
      <c r="J602">
        <v>30</v>
      </c>
      <c r="K602">
        <v>462</v>
      </c>
      <c r="L602">
        <v>8</v>
      </c>
      <c r="M602" s="8" t="s">
        <v>19</v>
      </c>
      <c r="N602">
        <v>76.7</v>
      </c>
      <c r="O602">
        <v>105</v>
      </c>
      <c r="P602">
        <v>1</v>
      </c>
      <c r="Q602">
        <v>5</v>
      </c>
      <c r="R602">
        <v>2024</v>
      </c>
      <c r="S602">
        <v>3</v>
      </c>
      <c r="T602" s="8" t="s">
        <v>90</v>
      </c>
      <c r="U602">
        <v>0</v>
      </c>
      <c r="V602">
        <v>2</v>
      </c>
      <c r="W602">
        <v>0</v>
      </c>
      <c r="X602">
        <v>0</v>
      </c>
      <c r="Y602">
        <v>0</v>
      </c>
      <c r="Z602">
        <v>0</v>
      </c>
    </row>
    <row r="603" spans="1:26" x14ac:dyDescent="0.25">
      <c r="A603" s="1">
        <v>45480.825868055559</v>
      </c>
      <c r="B603" s="8" t="s">
        <v>30</v>
      </c>
      <c r="C603">
        <v>-82.705799999999996</v>
      </c>
      <c r="D603">
        <v>-62.704000000000001</v>
      </c>
      <c r="E603">
        <v>426</v>
      </c>
      <c r="F603" s="8" t="s">
        <v>17</v>
      </c>
      <c r="G603">
        <v>24.2</v>
      </c>
      <c r="H603">
        <v>75.7</v>
      </c>
      <c r="I603" s="8" t="s">
        <v>28</v>
      </c>
      <c r="J603">
        <v>51</v>
      </c>
      <c r="K603">
        <v>303</v>
      </c>
      <c r="L603">
        <v>10</v>
      </c>
      <c r="M603" s="8" t="s">
        <v>31</v>
      </c>
      <c r="N603">
        <v>94.1</v>
      </c>
      <c r="O603">
        <v>160</v>
      </c>
      <c r="P603">
        <v>1</v>
      </c>
      <c r="Q603">
        <v>7</v>
      </c>
      <c r="R603">
        <v>2024</v>
      </c>
      <c r="S603">
        <v>0</v>
      </c>
      <c r="T603" s="8" t="s">
        <v>92</v>
      </c>
      <c r="U603">
        <v>0</v>
      </c>
      <c r="V603">
        <v>2</v>
      </c>
      <c r="W603">
        <v>0</v>
      </c>
      <c r="X603">
        <v>0</v>
      </c>
      <c r="Y603">
        <v>1</v>
      </c>
      <c r="Z603">
        <v>1</v>
      </c>
    </row>
    <row r="604" spans="1:26" x14ac:dyDescent="0.25">
      <c r="A604" s="1">
        <v>45622.948194444441</v>
      </c>
      <c r="B604" s="8" t="s">
        <v>20</v>
      </c>
      <c r="C604">
        <v>-75.321100000000001</v>
      </c>
      <c r="D604">
        <v>-58.774900000000002</v>
      </c>
      <c r="E604">
        <v>349</v>
      </c>
      <c r="F604" s="8" t="s">
        <v>26</v>
      </c>
      <c r="G604">
        <v>21.1</v>
      </c>
      <c r="H604">
        <v>54.1</v>
      </c>
      <c r="I604" s="8" t="s">
        <v>18</v>
      </c>
      <c r="J604">
        <v>47</v>
      </c>
      <c r="K604">
        <v>290</v>
      </c>
      <c r="L604">
        <v>5</v>
      </c>
      <c r="M604" s="8" t="s">
        <v>19</v>
      </c>
      <c r="N604">
        <v>70.400000000000006</v>
      </c>
      <c r="O604">
        <v>233</v>
      </c>
      <c r="P604">
        <v>0</v>
      </c>
      <c r="Q604">
        <v>11</v>
      </c>
      <c r="R604">
        <v>2024</v>
      </c>
      <c r="S604">
        <v>2</v>
      </c>
      <c r="T604" s="8" t="s">
        <v>91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</row>
    <row r="605" spans="1:26" x14ac:dyDescent="0.25">
      <c r="A605" s="1">
        <v>45295.133692129632</v>
      </c>
      <c r="B605" s="8" t="s">
        <v>29</v>
      </c>
      <c r="C605">
        <v>-50.708500000000001</v>
      </c>
      <c r="D605">
        <v>-85.451499999999996</v>
      </c>
      <c r="E605">
        <v>173</v>
      </c>
      <c r="F605" s="8" t="s">
        <v>21</v>
      </c>
      <c r="G605">
        <v>23.1</v>
      </c>
      <c r="H605">
        <v>56</v>
      </c>
      <c r="I605" s="8" t="s">
        <v>22</v>
      </c>
      <c r="J605">
        <v>50</v>
      </c>
      <c r="K605">
        <v>440</v>
      </c>
      <c r="L605">
        <v>3</v>
      </c>
      <c r="M605" s="8" t="s">
        <v>31</v>
      </c>
      <c r="N605">
        <v>73.400000000000006</v>
      </c>
      <c r="O605">
        <v>289</v>
      </c>
      <c r="P605">
        <v>1</v>
      </c>
      <c r="Q605">
        <v>1</v>
      </c>
      <c r="R605">
        <v>2024</v>
      </c>
      <c r="S605">
        <v>4</v>
      </c>
      <c r="T605" s="8" t="s">
        <v>93</v>
      </c>
      <c r="U605">
        <v>0</v>
      </c>
      <c r="V605">
        <v>0</v>
      </c>
      <c r="W605">
        <v>2</v>
      </c>
      <c r="X605">
        <v>1</v>
      </c>
      <c r="Y605">
        <v>0</v>
      </c>
      <c r="Z605">
        <v>1</v>
      </c>
    </row>
    <row r="606" spans="1:26" x14ac:dyDescent="0.25">
      <c r="A606" s="1">
        <v>45504.624571759261</v>
      </c>
      <c r="B606" s="8" t="s">
        <v>24</v>
      </c>
      <c r="C606">
        <v>70.710099999999997</v>
      </c>
      <c r="D606">
        <v>-175.98650000000001</v>
      </c>
      <c r="E606">
        <v>184</v>
      </c>
      <c r="F606" s="8" t="s">
        <v>17</v>
      </c>
      <c r="G606">
        <v>24.5</v>
      </c>
      <c r="H606">
        <v>54.9</v>
      </c>
      <c r="I606" s="8" t="s">
        <v>18</v>
      </c>
      <c r="J606">
        <v>23</v>
      </c>
      <c r="K606">
        <v>159</v>
      </c>
      <c r="L606">
        <v>7</v>
      </c>
      <c r="M606" s="8" t="s">
        <v>27</v>
      </c>
      <c r="N606">
        <v>60.2</v>
      </c>
      <c r="O606">
        <v>120</v>
      </c>
      <c r="P606">
        <v>1</v>
      </c>
      <c r="Q606">
        <v>7</v>
      </c>
      <c r="R606">
        <v>2024</v>
      </c>
      <c r="S606">
        <v>3</v>
      </c>
      <c r="T606" s="8" t="s">
        <v>92</v>
      </c>
      <c r="U606">
        <v>0</v>
      </c>
      <c r="V606">
        <v>2</v>
      </c>
      <c r="W606">
        <v>1</v>
      </c>
      <c r="X606">
        <v>0</v>
      </c>
      <c r="Y606">
        <v>0</v>
      </c>
      <c r="Z606">
        <v>0</v>
      </c>
    </row>
    <row r="607" spans="1:26" x14ac:dyDescent="0.25">
      <c r="A607" s="1">
        <v>45435.974733796298</v>
      </c>
      <c r="B607" s="8" t="s">
        <v>34</v>
      </c>
      <c r="C607">
        <v>-71.100399999999993</v>
      </c>
      <c r="D607">
        <v>-147.75700000000001</v>
      </c>
      <c r="E607">
        <v>318</v>
      </c>
      <c r="F607" s="8" t="s">
        <v>17</v>
      </c>
      <c r="G607">
        <v>25.5</v>
      </c>
      <c r="H607">
        <v>64.3</v>
      </c>
      <c r="I607" s="8" t="s">
        <v>22</v>
      </c>
      <c r="J607">
        <v>15</v>
      </c>
      <c r="K607">
        <v>215</v>
      </c>
      <c r="L607">
        <v>8</v>
      </c>
      <c r="M607" s="8" t="s">
        <v>27</v>
      </c>
      <c r="N607">
        <v>69.099999999999994</v>
      </c>
      <c r="O607">
        <v>158</v>
      </c>
      <c r="P607">
        <v>1</v>
      </c>
      <c r="Q607">
        <v>5</v>
      </c>
      <c r="R607">
        <v>2024</v>
      </c>
      <c r="S607">
        <v>4</v>
      </c>
      <c r="T607" s="8" t="s">
        <v>90</v>
      </c>
      <c r="U607">
        <v>0</v>
      </c>
      <c r="V607">
        <v>2</v>
      </c>
      <c r="W607">
        <v>2</v>
      </c>
      <c r="X607">
        <v>1</v>
      </c>
      <c r="Y607">
        <v>0</v>
      </c>
      <c r="Z607">
        <v>0</v>
      </c>
    </row>
    <row r="608" spans="1:26" x14ac:dyDescent="0.25">
      <c r="A608" s="1">
        <v>45477.003495370373</v>
      </c>
      <c r="B608" s="8" t="s">
        <v>33</v>
      </c>
      <c r="C608">
        <v>-76.897199999999998</v>
      </c>
      <c r="D608">
        <v>-3.6358000000000001</v>
      </c>
      <c r="E608">
        <v>288</v>
      </c>
      <c r="F608" s="8" t="s">
        <v>26</v>
      </c>
      <c r="G608">
        <v>24.7</v>
      </c>
      <c r="H608">
        <v>67.400000000000006</v>
      </c>
      <c r="I608" s="8" t="s">
        <v>18</v>
      </c>
      <c r="J608">
        <v>37</v>
      </c>
      <c r="K608">
        <v>230</v>
      </c>
      <c r="L608">
        <v>7</v>
      </c>
      <c r="M608" s="8" t="s">
        <v>31</v>
      </c>
      <c r="N608">
        <v>65</v>
      </c>
      <c r="O608">
        <v>259</v>
      </c>
      <c r="P608">
        <v>0</v>
      </c>
      <c r="Q608">
        <v>7</v>
      </c>
      <c r="R608">
        <v>2024</v>
      </c>
      <c r="S608">
        <v>4</v>
      </c>
      <c r="T608" s="8" t="s">
        <v>92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0</v>
      </c>
    </row>
    <row r="609" spans="1:26" x14ac:dyDescent="0.25">
      <c r="A609" s="1">
        <v>45522.976238425923</v>
      </c>
      <c r="B609" s="8" t="s">
        <v>20</v>
      </c>
      <c r="C609">
        <v>39.799799999999998</v>
      </c>
      <c r="D609">
        <v>58.746099999999998</v>
      </c>
      <c r="E609">
        <v>317</v>
      </c>
      <c r="F609" s="8" t="s">
        <v>26</v>
      </c>
      <c r="G609">
        <v>18.5</v>
      </c>
      <c r="H609">
        <v>66</v>
      </c>
      <c r="I609" s="8" t="s">
        <v>22</v>
      </c>
      <c r="J609">
        <v>36</v>
      </c>
      <c r="K609">
        <v>465</v>
      </c>
      <c r="L609">
        <v>1</v>
      </c>
      <c r="M609" s="8" t="s">
        <v>31</v>
      </c>
      <c r="N609">
        <v>68</v>
      </c>
      <c r="O609">
        <v>180</v>
      </c>
      <c r="P609">
        <v>1</v>
      </c>
      <c r="Q609">
        <v>8</v>
      </c>
      <c r="R609">
        <v>2024</v>
      </c>
      <c r="S609">
        <v>0</v>
      </c>
      <c r="T609" s="8" t="s">
        <v>92</v>
      </c>
      <c r="U609">
        <v>0</v>
      </c>
      <c r="V609">
        <v>1</v>
      </c>
      <c r="W609">
        <v>2</v>
      </c>
      <c r="X609">
        <v>1</v>
      </c>
      <c r="Y609">
        <v>0</v>
      </c>
      <c r="Z609">
        <v>0</v>
      </c>
    </row>
    <row r="610" spans="1:26" x14ac:dyDescent="0.25">
      <c r="A610" s="1">
        <v>45588.639074074075</v>
      </c>
      <c r="B610" s="8" t="s">
        <v>16</v>
      </c>
      <c r="C610">
        <v>78.595399999999998</v>
      </c>
      <c r="D610">
        <v>-173.0016</v>
      </c>
      <c r="E610">
        <v>122</v>
      </c>
      <c r="F610" s="8" t="s">
        <v>21</v>
      </c>
      <c r="G610">
        <v>26.7</v>
      </c>
      <c r="H610">
        <v>73.2</v>
      </c>
      <c r="I610" s="8" t="s">
        <v>28</v>
      </c>
      <c r="J610">
        <v>37</v>
      </c>
      <c r="K610">
        <v>128</v>
      </c>
      <c r="L610">
        <v>9</v>
      </c>
      <c r="M610" s="8" t="s">
        <v>19</v>
      </c>
      <c r="N610">
        <v>81.400000000000006</v>
      </c>
      <c r="O610">
        <v>174</v>
      </c>
      <c r="P610">
        <v>0</v>
      </c>
      <c r="Q610">
        <v>10</v>
      </c>
      <c r="R610">
        <v>2024</v>
      </c>
      <c r="S610">
        <v>3</v>
      </c>
      <c r="T610" s="8" t="s">
        <v>91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 x14ac:dyDescent="0.25">
      <c r="A611" s="1">
        <v>45475.69494212963</v>
      </c>
      <c r="B611" s="8" t="s">
        <v>29</v>
      </c>
      <c r="C611">
        <v>-53.526400000000002</v>
      </c>
      <c r="D611">
        <v>13.001899999999999</v>
      </c>
      <c r="E611">
        <v>291</v>
      </c>
      <c r="F611" s="8" t="s">
        <v>26</v>
      </c>
      <c r="G611">
        <v>24.2</v>
      </c>
      <c r="H611">
        <v>67</v>
      </c>
      <c r="I611" s="8" t="s">
        <v>22</v>
      </c>
      <c r="J611">
        <v>29</v>
      </c>
      <c r="K611">
        <v>431</v>
      </c>
      <c r="L611">
        <v>9</v>
      </c>
      <c r="M611" s="8" t="s">
        <v>27</v>
      </c>
      <c r="N611">
        <v>90.1</v>
      </c>
      <c r="O611">
        <v>172</v>
      </c>
      <c r="P611">
        <v>1</v>
      </c>
      <c r="Q611">
        <v>7</v>
      </c>
      <c r="R611">
        <v>2024</v>
      </c>
      <c r="S611">
        <v>2</v>
      </c>
      <c r="T611" s="8" t="s">
        <v>92</v>
      </c>
      <c r="U611">
        <v>0</v>
      </c>
      <c r="V611">
        <v>1</v>
      </c>
      <c r="W611">
        <v>2</v>
      </c>
      <c r="X611">
        <v>1</v>
      </c>
      <c r="Y611">
        <v>0</v>
      </c>
      <c r="Z611">
        <v>0</v>
      </c>
    </row>
    <row r="612" spans="1:26" x14ac:dyDescent="0.25">
      <c r="A612" s="1">
        <v>45301.702939814815</v>
      </c>
      <c r="B612" s="8" t="s">
        <v>35</v>
      </c>
      <c r="C612">
        <v>49.304900000000004</v>
      </c>
      <c r="D612">
        <v>-55.649299999999997</v>
      </c>
      <c r="E612">
        <v>199</v>
      </c>
      <c r="F612" s="8" t="s">
        <v>26</v>
      </c>
      <c r="G612">
        <v>23.4</v>
      </c>
      <c r="H612">
        <v>64.400000000000006</v>
      </c>
      <c r="I612" s="8" t="s">
        <v>22</v>
      </c>
      <c r="J612">
        <v>59</v>
      </c>
      <c r="K612">
        <v>476</v>
      </c>
      <c r="L612">
        <v>10</v>
      </c>
      <c r="M612" s="8" t="s">
        <v>27</v>
      </c>
      <c r="N612">
        <v>81.3</v>
      </c>
      <c r="O612">
        <v>123</v>
      </c>
      <c r="P612">
        <v>1</v>
      </c>
      <c r="Q612">
        <v>1</v>
      </c>
      <c r="R612">
        <v>2024</v>
      </c>
      <c r="S612">
        <v>3</v>
      </c>
      <c r="T612" s="8" t="s">
        <v>93</v>
      </c>
      <c r="U612">
        <v>0</v>
      </c>
      <c r="V612">
        <v>1</v>
      </c>
      <c r="W612">
        <v>2</v>
      </c>
      <c r="X612">
        <v>1</v>
      </c>
      <c r="Y612">
        <v>0</v>
      </c>
      <c r="Z612">
        <v>1</v>
      </c>
    </row>
    <row r="613" spans="1:26" x14ac:dyDescent="0.25">
      <c r="A613" s="1">
        <v>45590.668217592596</v>
      </c>
      <c r="B613" s="8" t="s">
        <v>32</v>
      </c>
      <c r="C613">
        <v>72.998099999999994</v>
      </c>
      <c r="D613">
        <v>12.402900000000001</v>
      </c>
      <c r="E613">
        <v>488</v>
      </c>
      <c r="F613" s="8" t="s">
        <v>26</v>
      </c>
      <c r="G613">
        <v>21.9</v>
      </c>
      <c r="H613">
        <v>75.8</v>
      </c>
      <c r="I613" s="8" t="s">
        <v>18</v>
      </c>
      <c r="J613">
        <v>30</v>
      </c>
      <c r="K613">
        <v>147</v>
      </c>
      <c r="L613">
        <v>3</v>
      </c>
      <c r="M613" s="8" t="s">
        <v>31</v>
      </c>
      <c r="N613">
        <v>81.599999999999994</v>
      </c>
      <c r="O613">
        <v>252</v>
      </c>
      <c r="P613">
        <v>0</v>
      </c>
      <c r="Q613">
        <v>10</v>
      </c>
      <c r="R613">
        <v>2024</v>
      </c>
      <c r="S613">
        <v>5</v>
      </c>
      <c r="T613" s="8" t="s">
        <v>91</v>
      </c>
      <c r="U613">
        <v>1</v>
      </c>
      <c r="V613">
        <v>1</v>
      </c>
      <c r="W613">
        <v>1</v>
      </c>
      <c r="X613">
        <v>0</v>
      </c>
      <c r="Y613">
        <v>1</v>
      </c>
      <c r="Z613">
        <v>0</v>
      </c>
    </row>
    <row r="614" spans="1:26" x14ac:dyDescent="0.25">
      <c r="A614" s="1">
        <v>45349.906967592593</v>
      </c>
      <c r="B614" s="8" t="s">
        <v>35</v>
      </c>
      <c r="C614">
        <v>80.417699999999996</v>
      </c>
      <c r="D614">
        <v>-39.963200000000001</v>
      </c>
      <c r="E614">
        <v>445</v>
      </c>
      <c r="F614" s="8" t="s">
        <v>17</v>
      </c>
      <c r="G614">
        <v>20.6</v>
      </c>
      <c r="H614">
        <v>68.2</v>
      </c>
      <c r="I614" s="8" t="s">
        <v>28</v>
      </c>
      <c r="J614">
        <v>41</v>
      </c>
      <c r="K614">
        <v>418</v>
      </c>
      <c r="L614">
        <v>9</v>
      </c>
      <c r="M614" s="8" t="s">
        <v>19</v>
      </c>
      <c r="N614">
        <v>93.6</v>
      </c>
      <c r="O614">
        <v>184</v>
      </c>
      <c r="P614">
        <v>1</v>
      </c>
      <c r="Q614">
        <v>2</v>
      </c>
      <c r="R614">
        <v>2024</v>
      </c>
      <c r="S614">
        <v>2</v>
      </c>
      <c r="T614" s="8" t="s">
        <v>93</v>
      </c>
      <c r="U614">
        <v>0</v>
      </c>
      <c r="V614">
        <v>2</v>
      </c>
      <c r="W614">
        <v>0</v>
      </c>
      <c r="X614">
        <v>0</v>
      </c>
      <c r="Y614">
        <v>0</v>
      </c>
      <c r="Z614">
        <v>0</v>
      </c>
    </row>
    <row r="615" spans="1:26" x14ac:dyDescent="0.25">
      <c r="A615" s="1">
        <v>45510.187060185184</v>
      </c>
      <c r="B615" s="8" t="s">
        <v>30</v>
      </c>
      <c r="C615">
        <v>-51.024700000000003</v>
      </c>
      <c r="D615">
        <v>1.8063</v>
      </c>
      <c r="E615">
        <v>247</v>
      </c>
      <c r="F615" s="8" t="s">
        <v>17</v>
      </c>
      <c r="G615">
        <v>19.3</v>
      </c>
      <c r="H615">
        <v>62.9</v>
      </c>
      <c r="I615" s="8" t="s">
        <v>28</v>
      </c>
      <c r="J615">
        <v>55</v>
      </c>
      <c r="K615">
        <v>466</v>
      </c>
      <c r="L615">
        <v>2</v>
      </c>
      <c r="M615" s="8" t="s">
        <v>23</v>
      </c>
      <c r="N615">
        <v>78</v>
      </c>
      <c r="O615">
        <v>183</v>
      </c>
      <c r="P615">
        <v>1</v>
      </c>
      <c r="Q615">
        <v>8</v>
      </c>
      <c r="R615">
        <v>2024</v>
      </c>
      <c r="S615">
        <v>2</v>
      </c>
      <c r="T615" s="8" t="s">
        <v>92</v>
      </c>
      <c r="U615">
        <v>0</v>
      </c>
      <c r="V615">
        <v>2</v>
      </c>
      <c r="W615">
        <v>0</v>
      </c>
      <c r="X615">
        <v>0</v>
      </c>
      <c r="Y615">
        <v>0</v>
      </c>
      <c r="Z615">
        <v>1</v>
      </c>
    </row>
    <row r="616" spans="1:26" x14ac:dyDescent="0.25">
      <c r="A616" s="1">
        <v>45544.787731481483</v>
      </c>
      <c r="B616" s="8" t="s">
        <v>29</v>
      </c>
      <c r="C616">
        <v>5.2922000000000002</v>
      </c>
      <c r="D616">
        <v>172.63759999999999</v>
      </c>
      <c r="E616">
        <v>351</v>
      </c>
      <c r="F616" s="8" t="s">
        <v>21</v>
      </c>
      <c r="G616">
        <v>29.7</v>
      </c>
      <c r="H616">
        <v>52.1</v>
      </c>
      <c r="I616" s="8" t="s">
        <v>28</v>
      </c>
      <c r="J616">
        <v>41</v>
      </c>
      <c r="K616">
        <v>330</v>
      </c>
      <c r="L616">
        <v>8</v>
      </c>
      <c r="M616" s="8" t="s">
        <v>23</v>
      </c>
      <c r="N616">
        <v>94.5</v>
      </c>
      <c r="O616">
        <v>108</v>
      </c>
      <c r="P616">
        <v>0</v>
      </c>
      <c r="Q616">
        <v>9</v>
      </c>
      <c r="R616">
        <v>2024</v>
      </c>
      <c r="S616">
        <v>1</v>
      </c>
      <c r="T616" s="8" t="s">
        <v>91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1:26" x14ac:dyDescent="0.25">
      <c r="A617" s="1">
        <v>45312.538993055554</v>
      </c>
      <c r="B617" s="8" t="s">
        <v>35</v>
      </c>
      <c r="C617">
        <v>54.309899999999999</v>
      </c>
      <c r="D617">
        <v>-98.941000000000003</v>
      </c>
      <c r="E617">
        <v>311</v>
      </c>
      <c r="F617" s="8" t="s">
        <v>17</v>
      </c>
      <c r="G617">
        <v>28.9</v>
      </c>
      <c r="H617">
        <v>77.8</v>
      </c>
      <c r="I617" s="8" t="s">
        <v>22</v>
      </c>
      <c r="J617">
        <v>43</v>
      </c>
      <c r="K617">
        <v>415</v>
      </c>
      <c r="L617">
        <v>1</v>
      </c>
      <c r="M617" s="8" t="s">
        <v>31</v>
      </c>
      <c r="N617">
        <v>76.400000000000006</v>
      </c>
      <c r="O617">
        <v>210</v>
      </c>
      <c r="P617">
        <v>1</v>
      </c>
      <c r="Q617">
        <v>1</v>
      </c>
      <c r="R617">
        <v>2024</v>
      </c>
      <c r="S617">
        <v>0</v>
      </c>
      <c r="T617" s="8" t="s">
        <v>93</v>
      </c>
      <c r="U617">
        <v>0</v>
      </c>
      <c r="V617">
        <v>2</v>
      </c>
      <c r="W617">
        <v>2</v>
      </c>
      <c r="X617">
        <v>1</v>
      </c>
      <c r="Y617">
        <v>1</v>
      </c>
      <c r="Z617">
        <v>0</v>
      </c>
    </row>
    <row r="618" spans="1:26" x14ac:dyDescent="0.25">
      <c r="A618" s="1">
        <v>45588.882638888892</v>
      </c>
      <c r="B618" s="8" t="s">
        <v>34</v>
      </c>
      <c r="C618">
        <v>-3.8161</v>
      </c>
      <c r="D618">
        <v>-159.72569999999999</v>
      </c>
      <c r="E618">
        <v>495</v>
      </c>
      <c r="F618" s="8" t="s">
        <v>26</v>
      </c>
      <c r="G618">
        <v>29.5</v>
      </c>
      <c r="H618">
        <v>50.6</v>
      </c>
      <c r="I618" s="8" t="s">
        <v>18</v>
      </c>
      <c r="J618">
        <v>58</v>
      </c>
      <c r="K618">
        <v>179</v>
      </c>
      <c r="L618">
        <v>3</v>
      </c>
      <c r="M618" s="8" t="s">
        <v>31</v>
      </c>
      <c r="N618">
        <v>72.3</v>
      </c>
      <c r="O618">
        <v>245</v>
      </c>
      <c r="P618">
        <v>0</v>
      </c>
      <c r="Q618">
        <v>10</v>
      </c>
      <c r="R618">
        <v>2024</v>
      </c>
      <c r="S618">
        <v>3</v>
      </c>
      <c r="T618" s="8" t="s">
        <v>91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1</v>
      </c>
    </row>
    <row r="619" spans="1:26" x14ac:dyDescent="0.25">
      <c r="A619" s="1">
        <v>45373.129432870373</v>
      </c>
      <c r="B619" s="8" t="s">
        <v>33</v>
      </c>
      <c r="C619">
        <v>-69.843100000000007</v>
      </c>
      <c r="D619">
        <v>-171.5361</v>
      </c>
      <c r="E619">
        <v>237</v>
      </c>
      <c r="F619" s="8" t="s">
        <v>21</v>
      </c>
      <c r="G619">
        <v>23.6</v>
      </c>
      <c r="H619">
        <v>62.7</v>
      </c>
      <c r="I619" s="8" t="s">
        <v>18</v>
      </c>
      <c r="J619">
        <v>35</v>
      </c>
      <c r="K619">
        <v>323</v>
      </c>
      <c r="L619">
        <v>9</v>
      </c>
      <c r="M619" s="8" t="s">
        <v>23</v>
      </c>
      <c r="N619">
        <v>66.8</v>
      </c>
      <c r="O619">
        <v>267</v>
      </c>
      <c r="P619">
        <v>0</v>
      </c>
      <c r="Q619">
        <v>3</v>
      </c>
      <c r="R619">
        <v>2024</v>
      </c>
      <c r="S619">
        <v>5</v>
      </c>
      <c r="T619" s="8" t="s">
        <v>90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</row>
    <row r="620" spans="1:26" x14ac:dyDescent="0.25">
      <c r="A620" s="1">
        <v>45542.082499999997</v>
      </c>
      <c r="B620" s="8" t="s">
        <v>30</v>
      </c>
      <c r="C620">
        <v>9.3528000000000002</v>
      </c>
      <c r="D620">
        <v>120.00109999999999</v>
      </c>
      <c r="E620">
        <v>290</v>
      </c>
      <c r="F620" s="8" t="s">
        <v>26</v>
      </c>
      <c r="G620">
        <v>28.7</v>
      </c>
      <c r="H620">
        <v>72.599999999999994</v>
      </c>
      <c r="I620" s="8" t="s">
        <v>28</v>
      </c>
      <c r="J620">
        <v>45</v>
      </c>
      <c r="K620">
        <v>151</v>
      </c>
      <c r="L620">
        <v>8</v>
      </c>
      <c r="M620" s="8" t="s">
        <v>27</v>
      </c>
      <c r="N620">
        <v>81.7</v>
      </c>
      <c r="O620">
        <v>280</v>
      </c>
      <c r="P620">
        <v>0</v>
      </c>
      <c r="Q620">
        <v>9</v>
      </c>
      <c r="R620">
        <v>2024</v>
      </c>
      <c r="S620">
        <v>6</v>
      </c>
      <c r="T620" s="8" t="s">
        <v>91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</row>
    <row r="621" spans="1:26" x14ac:dyDescent="0.25">
      <c r="A621" s="1">
        <v>45335.22515046296</v>
      </c>
      <c r="B621" s="8" t="s">
        <v>30</v>
      </c>
      <c r="C621">
        <v>-74.339600000000004</v>
      </c>
      <c r="D621">
        <v>-150.63390000000001</v>
      </c>
      <c r="E621">
        <v>111</v>
      </c>
      <c r="F621" s="8" t="s">
        <v>17</v>
      </c>
      <c r="G621">
        <v>22.7</v>
      </c>
      <c r="H621">
        <v>75.599999999999994</v>
      </c>
      <c r="I621" s="8" t="s">
        <v>28</v>
      </c>
      <c r="J621">
        <v>47</v>
      </c>
      <c r="K621">
        <v>207</v>
      </c>
      <c r="L621">
        <v>4</v>
      </c>
      <c r="M621" s="8" t="s">
        <v>19</v>
      </c>
      <c r="N621">
        <v>60.4</v>
      </c>
      <c r="O621">
        <v>131</v>
      </c>
      <c r="P621">
        <v>1</v>
      </c>
      <c r="Q621">
        <v>2</v>
      </c>
      <c r="R621">
        <v>2024</v>
      </c>
      <c r="S621">
        <v>2</v>
      </c>
      <c r="T621" s="8" t="s">
        <v>93</v>
      </c>
      <c r="U621">
        <v>0</v>
      </c>
      <c r="V621">
        <v>2</v>
      </c>
      <c r="W621">
        <v>0</v>
      </c>
      <c r="X621">
        <v>0</v>
      </c>
      <c r="Y621">
        <v>1</v>
      </c>
      <c r="Z621">
        <v>1</v>
      </c>
    </row>
    <row r="622" spans="1:26" x14ac:dyDescent="0.25">
      <c r="A622" s="1">
        <v>45321.650416666664</v>
      </c>
      <c r="B622" s="8" t="s">
        <v>30</v>
      </c>
      <c r="C622">
        <v>-62.0623</v>
      </c>
      <c r="D622">
        <v>133.88720000000001</v>
      </c>
      <c r="E622">
        <v>373</v>
      </c>
      <c r="F622" s="8" t="s">
        <v>17</v>
      </c>
      <c r="G622">
        <v>27.6</v>
      </c>
      <c r="H622">
        <v>65.8</v>
      </c>
      <c r="I622" s="8" t="s">
        <v>22</v>
      </c>
      <c r="J622">
        <v>23</v>
      </c>
      <c r="K622">
        <v>396</v>
      </c>
      <c r="L622">
        <v>1</v>
      </c>
      <c r="M622" s="8" t="s">
        <v>27</v>
      </c>
      <c r="N622">
        <v>79.3</v>
      </c>
      <c r="O622">
        <v>126</v>
      </c>
      <c r="P622">
        <v>1</v>
      </c>
      <c r="Q622">
        <v>1</v>
      </c>
      <c r="R622">
        <v>2024</v>
      </c>
      <c r="S622">
        <v>2</v>
      </c>
      <c r="T622" s="8" t="s">
        <v>93</v>
      </c>
      <c r="U622">
        <v>0</v>
      </c>
      <c r="V622">
        <v>2</v>
      </c>
      <c r="W622">
        <v>2</v>
      </c>
      <c r="X622">
        <v>1</v>
      </c>
      <c r="Y622">
        <v>0</v>
      </c>
      <c r="Z622">
        <v>0</v>
      </c>
    </row>
    <row r="623" spans="1:26" x14ac:dyDescent="0.25">
      <c r="A623" s="1">
        <v>45357.257268518515</v>
      </c>
      <c r="B623" s="8" t="s">
        <v>24</v>
      </c>
      <c r="C623">
        <v>-53.135399999999997</v>
      </c>
      <c r="D623">
        <v>-164.488</v>
      </c>
      <c r="E623">
        <v>458</v>
      </c>
      <c r="F623" s="8" t="s">
        <v>21</v>
      </c>
      <c r="G623">
        <v>25.5</v>
      </c>
      <c r="H623">
        <v>52.1</v>
      </c>
      <c r="I623" s="8" t="s">
        <v>18</v>
      </c>
      <c r="J623">
        <v>32</v>
      </c>
      <c r="K623">
        <v>183</v>
      </c>
      <c r="L623">
        <v>6</v>
      </c>
      <c r="M623" s="8" t="s">
        <v>23</v>
      </c>
      <c r="N623">
        <v>93.5</v>
      </c>
      <c r="O623">
        <v>154</v>
      </c>
      <c r="P623">
        <v>0</v>
      </c>
      <c r="Q623">
        <v>3</v>
      </c>
      <c r="R623">
        <v>2024</v>
      </c>
      <c r="S623">
        <v>3</v>
      </c>
      <c r="T623" s="8" t="s">
        <v>90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</row>
    <row r="624" spans="1:26" x14ac:dyDescent="0.25">
      <c r="A624" s="1">
        <v>45596.323750000003</v>
      </c>
      <c r="B624" s="8" t="s">
        <v>29</v>
      </c>
      <c r="C624">
        <v>85.038899999999998</v>
      </c>
      <c r="D624">
        <v>-138.32480000000001</v>
      </c>
      <c r="E624">
        <v>354</v>
      </c>
      <c r="F624" s="8" t="s">
        <v>21</v>
      </c>
      <c r="G624">
        <v>24.7</v>
      </c>
      <c r="H624">
        <v>64.099999999999994</v>
      </c>
      <c r="I624" s="8" t="s">
        <v>18</v>
      </c>
      <c r="J624">
        <v>15</v>
      </c>
      <c r="K624">
        <v>298</v>
      </c>
      <c r="L624">
        <v>4</v>
      </c>
      <c r="M624" s="8" t="s">
        <v>31</v>
      </c>
      <c r="N624">
        <v>71.900000000000006</v>
      </c>
      <c r="O624">
        <v>162</v>
      </c>
      <c r="P624">
        <v>0</v>
      </c>
      <c r="Q624">
        <v>10</v>
      </c>
      <c r="R624">
        <v>2024</v>
      </c>
      <c r="S624">
        <v>4</v>
      </c>
      <c r="T624" s="8" t="s">
        <v>91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</row>
    <row r="625" spans="1:26" x14ac:dyDescent="0.25">
      <c r="A625" s="1">
        <v>45464.418113425927</v>
      </c>
      <c r="B625" s="8" t="s">
        <v>33</v>
      </c>
      <c r="C625">
        <v>48.959800000000001</v>
      </c>
      <c r="D625">
        <v>-160.9134</v>
      </c>
      <c r="E625">
        <v>165</v>
      </c>
      <c r="F625" s="8" t="s">
        <v>17</v>
      </c>
      <c r="G625">
        <v>28.8</v>
      </c>
      <c r="H625">
        <v>51.6</v>
      </c>
      <c r="I625" s="8" t="s">
        <v>22</v>
      </c>
      <c r="J625">
        <v>49</v>
      </c>
      <c r="K625">
        <v>410</v>
      </c>
      <c r="L625">
        <v>8</v>
      </c>
      <c r="M625" s="8" t="s">
        <v>31</v>
      </c>
      <c r="N625">
        <v>88.4</v>
      </c>
      <c r="O625">
        <v>291</v>
      </c>
      <c r="P625">
        <v>1</v>
      </c>
      <c r="Q625">
        <v>6</v>
      </c>
      <c r="R625">
        <v>2024</v>
      </c>
      <c r="S625">
        <v>5</v>
      </c>
      <c r="T625" s="8" t="s">
        <v>92</v>
      </c>
      <c r="U625">
        <v>1</v>
      </c>
      <c r="V625">
        <v>2</v>
      </c>
      <c r="W625">
        <v>2</v>
      </c>
      <c r="X625">
        <v>1</v>
      </c>
      <c r="Y625">
        <v>0</v>
      </c>
      <c r="Z625">
        <v>1</v>
      </c>
    </row>
    <row r="626" spans="1:26" x14ac:dyDescent="0.25">
      <c r="A626" s="1">
        <v>45498.749745370369</v>
      </c>
      <c r="B626" s="8" t="s">
        <v>32</v>
      </c>
      <c r="C626">
        <v>44.363900000000001</v>
      </c>
      <c r="D626">
        <v>134.39670000000001</v>
      </c>
      <c r="E626">
        <v>471</v>
      </c>
      <c r="F626" s="8" t="s">
        <v>17</v>
      </c>
      <c r="G626">
        <v>19.8</v>
      </c>
      <c r="H626">
        <v>55.2</v>
      </c>
      <c r="I626" s="8" t="s">
        <v>28</v>
      </c>
      <c r="J626">
        <v>36</v>
      </c>
      <c r="K626">
        <v>369</v>
      </c>
      <c r="L626">
        <v>6</v>
      </c>
      <c r="M626" s="8" t="s">
        <v>31</v>
      </c>
      <c r="N626">
        <v>94.7</v>
      </c>
      <c r="O626">
        <v>183</v>
      </c>
      <c r="P626">
        <v>1</v>
      </c>
      <c r="Q626">
        <v>7</v>
      </c>
      <c r="R626">
        <v>2024</v>
      </c>
      <c r="S626">
        <v>4</v>
      </c>
      <c r="T626" s="8" t="s">
        <v>92</v>
      </c>
      <c r="U626">
        <v>0</v>
      </c>
      <c r="V626">
        <v>2</v>
      </c>
      <c r="W626">
        <v>0</v>
      </c>
      <c r="X626">
        <v>0</v>
      </c>
      <c r="Y626">
        <v>0</v>
      </c>
      <c r="Z626">
        <v>0</v>
      </c>
    </row>
    <row r="627" spans="1:26" x14ac:dyDescent="0.25">
      <c r="A627" s="1">
        <v>45343.917071759257</v>
      </c>
      <c r="B627" s="8" t="s">
        <v>32</v>
      </c>
      <c r="C627">
        <v>-33.162799999999997</v>
      </c>
      <c r="D627">
        <v>143.55699999999999</v>
      </c>
      <c r="E627">
        <v>410</v>
      </c>
      <c r="F627" s="8" t="s">
        <v>26</v>
      </c>
      <c r="G627">
        <v>27.5</v>
      </c>
      <c r="H627">
        <v>58.5</v>
      </c>
      <c r="I627" s="8" t="s">
        <v>18</v>
      </c>
      <c r="J627">
        <v>21</v>
      </c>
      <c r="K627">
        <v>439</v>
      </c>
      <c r="L627">
        <v>9</v>
      </c>
      <c r="M627" s="8" t="s">
        <v>31</v>
      </c>
      <c r="N627">
        <v>72.400000000000006</v>
      </c>
      <c r="O627">
        <v>182</v>
      </c>
      <c r="P627">
        <v>0</v>
      </c>
      <c r="Q627">
        <v>2</v>
      </c>
      <c r="R627">
        <v>2024</v>
      </c>
      <c r="S627">
        <v>3</v>
      </c>
      <c r="T627" s="8" t="s">
        <v>93</v>
      </c>
      <c r="U627">
        <v>0</v>
      </c>
      <c r="V627">
        <v>1</v>
      </c>
      <c r="W627">
        <v>1</v>
      </c>
      <c r="X627">
        <v>0</v>
      </c>
      <c r="Y627">
        <v>0</v>
      </c>
      <c r="Z627">
        <v>0</v>
      </c>
    </row>
    <row r="628" spans="1:26" x14ac:dyDescent="0.25">
      <c r="A628" s="1">
        <v>45465.291516203702</v>
      </c>
      <c r="B628" s="8" t="s">
        <v>32</v>
      </c>
      <c r="C628">
        <v>-61.151800000000001</v>
      </c>
      <c r="D628">
        <v>140.8152</v>
      </c>
      <c r="E628">
        <v>407</v>
      </c>
      <c r="F628" s="8" t="s">
        <v>21</v>
      </c>
      <c r="G628">
        <v>19.899999999999999</v>
      </c>
      <c r="H628">
        <v>50.7</v>
      </c>
      <c r="I628" s="8" t="s">
        <v>22</v>
      </c>
      <c r="J628">
        <v>55</v>
      </c>
      <c r="K628">
        <v>421</v>
      </c>
      <c r="L628">
        <v>1</v>
      </c>
      <c r="M628" s="8" t="s">
        <v>31</v>
      </c>
      <c r="N628">
        <v>87.2</v>
      </c>
      <c r="O628">
        <v>237</v>
      </c>
      <c r="P628">
        <v>1</v>
      </c>
      <c r="Q628">
        <v>6</v>
      </c>
      <c r="R628">
        <v>2024</v>
      </c>
      <c r="S628">
        <v>6</v>
      </c>
      <c r="T628" s="8" t="s">
        <v>92</v>
      </c>
      <c r="U628">
        <v>1</v>
      </c>
      <c r="V628">
        <v>0</v>
      </c>
      <c r="W628">
        <v>2</v>
      </c>
      <c r="X628">
        <v>1</v>
      </c>
      <c r="Y628">
        <v>0</v>
      </c>
      <c r="Z628">
        <v>1</v>
      </c>
    </row>
    <row r="629" spans="1:26" x14ac:dyDescent="0.25">
      <c r="A629" s="1">
        <v>45331.875648148147</v>
      </c>
      <c r="B629" s="8" t="s">
        <v>24</v>
      </c>
      <c r="C629">
        <v>-87.811499999999995</v>
      </c>
      <c r="D629">
        <v>97.049199999999999</v>
      </c>
      <c r="E629">
        <v>134</v>
      </c>
      <c r="F629" s="8" t="s">
        <v>26</v>
      </c>
      <c r="G629">
        <v>19.5</v>
      </c>
      <c r="H629">
        <v>75.3</v>
      </c>
      <c r="I629" s="8" t="s">
        <v>28</v>
      </c>
      <c r="J629">
        <v>45</v>
      </c>
      <c r="K629">
        <v>424</v>
      </c>
      <c r="L629">
        <v>6</v>
      </c>
      <c r="M629" s="8" t="s">
        <v>23</v>
      </c>
      <c r="N629">
        <v>80.900000000000006</v>
      </c>
      <c r="O629">
        <v>175</v>
      </c>
      <c r="P629">
        <v>0</v>
      </c>
      <c r="Q629">
        <v>2</v>
      </c>
      <c r="R629">
        <v>2024</v>
      </c>
      <c r="S629">
        <v>5</v>
      </c>
      <c r="T629" s="8" t="s">
        <v>93</v>
      </c>
      <c r="U629">
        <v>1</v>
      </c>
      <c r="V629">
        <v>1</v>
      </c>
      <c r="W629">
        <v>0</v>
      </c>
      <c r="X629">
        <v>0</v>
      </c>
      <c r="Y629">
        <v>1</v>
      </c>
      <c r="Z629">
        <v>0</v>
      </c>
    </row>
    <row r="630" spans="1:26" x14ac:dyDescent="0.25">
      <c r="A630" s="1">
        <v>45642.021435185183</v>
      </c>
      <c r="B630" s="8" t="s">
        <v>24</v>
      </c>
      <c r="C630">
        <v>-48.357500000000002</v>
      </c>
      <c r="D630">
        <v>115.8351</v>
      </c>
      <c r="E630">
        <v>394</v>
      </c>
      <c r="F630" s="8" t="s">
        <v>17</v>
      </c>
      <c r="G630">
        <v>26.9</v>
      </c>
      <c r="H630">
        <v>62.1</v>
      </c>
      <c r="I630" s="8" t="s">
        <v>18</v>
      </c>
      <c r="J630">
        <v>29</v>
      </c>
      <c r="K630">
        <v>419</v>
      </c>
      <c r="L630">
        <v>10</v>
      </c>
      <c r="M630" s="8" t="s">
        <v>19</v>
      </c>
      <c r="N630">
        <v>90.7</v>
      </c>
      <c r="O630">
        <v>139</v>
      </c>
      <c r="P630">
        <v>1</v>
      </c>
      <c r="Q630">
        <v>12</v>
      </c>
      <c r="R630">
        <v>2024</v>
      </c>
      <c r="S630">
        <v>1</v>
      </c>
      <c r="T630" s="8" t="s">
        <v>93</v>
      </c>
      <c r="U630">
        <v>0</v>
      </c>
      <c r="V630">
        <v>2</v>
      </c>
      <c r="W630">
        <v>1</v>
      </c>
      <c r="X630">
        <v>0</v>
      </c>
      <c r="Y630">
        <v>0</v>
      </c>
      <c r="Z630">
        <v>0</v>
      </c>
    </row>
    <row r="631" spans="1:26" x14ac:dyDescent="0.25">
      <c r="A631" s="1">
        <v>45373.995497685188</v>
      </c>
      <c r="B631" s="8" t="s">
        <v>24</v>
      </c>
      <c r="C631">
        <v>-59.567399999999999</v>
      </c>
      <c r="D631">
        <v>11.3653</v>
      </c>
      <c r="E631">
        <v>480</v>
      </c>
      <c r="F631" s="8" t="s">
        <v>17</v>
      </c>
      <c r="G631">
        <v>23.9</v>
      </c>
      <c r="H631">
        <v>57.9</v>
      </c>
      <c r="I631" s="8" t="s">
        <v>22</v>
      </c>
      <c r="J631">
        <v>57</v>
      </c>
      <c r="K631">
        <v>204</v>
      </c>
      <c r="L631">
        <v>6</v>
      </c>
      <c r="M631" s="8" t="s">
        <v>19</v>
      </c>
      <c r="N631">
        <v>62.3</v>
      </c>
      <c r="O631">
        <v>146</v>
      </c>
      <c r="P631">
        <v>1</v>
      </c>
      <c r="Q631">
        <v>3</v>
      </c>
      <c r="R631">
        <v>2024</v>
      </c>
      <c r="S631">
        <v>5</v>
      </c>
      <c r="T631" s="8" t="s">
        <v>90</v>
      </c>
      <c r="U631">
        <v>1</v>
      </c>
      <c r="V631">
        <v>2</v>
      </c>
      <c r="W631">
        <v>2</v>
      </c>
      <c r="X631">
        <v>1</v>
      </c>
      <c r="Y631">
        <v>0</v>
      </c>
      <c r="Z631">
        <v>1</v>
      </c>
    </row>
    <row r="632" spans="1:26" x14ac:dyDescent="0.25">
      <c r="A632" s="1">
        <v>45499.334953703707</v>
      </c>
      <c r="B632" s="8" t="s">
        <v>16</v>
      </c>
      <c r="C632">
        <v>-37.205500000000001</v>
      </c>
      <c r="D632">
        <v>79.448499999999996</v>
      </c>
      <c r="E632">
        <v>159</v>
      </c>
      <c r="F632" s="8" t="s">
        <v>21</v>
      </c>
      <c r="G632">
        <v>25.6</v>
      </c>
      <c r="H632">
        <v>76.599999999999994</v>
      </c>
      <c r="I632" s="8" t="s">
        <v>28</v>
      </c>
      <c r="J632">
        <v>25</v>
      </c>
      <c r="K632">
        <v>213</v>
      </c>
      <c r="L632">
        <v>5</v>
      </c>
      <c r="M632" s="8" t="s">
        <v>23</v>
      </c>
      <c r="N632">
        <v>82.2</v>
      </c>
      <c r="O632">
        <v>144</v>
      </c>
      <c r="P632">
        <v>0</v>
      </c>
      <c r="Q632">
        <v>7</v>
      </c>
      <c r="R632">
        <v>2024</v>
      </c>
      <c r="S632">
        <v>5</v>
      </c>
      <c r="T632" s="8" t="s">
        <v>92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</row>
    <row r="633" spans="1:26" x14ac:dyDescent="0.25">
      <c r="A633" s="1">
        <v>45393.201527777775</v>
      </c>
      <c r="B633" s="8" t="s">
        <v>32</v>
      </c>
      <c r="C633">
        <v>38.109499999999997</v>
      </c>
      <c r="D633">
        <v>164.7654</v>
      </c>
      <c r="E633">
        <v>131</v>
      </c>
      <c r="F633" s="8" t="s">
        <v>17</v>
      </c>
      <c r="G633">
        <v>19.100000000000001</v>
      </c>
      <c r="H633">
        <v>73.3</v>
      </c>
      <c r="I633" s="8" t="s">
        <v>22</v>
      </c>
      <c r="J633">
        <v>10</v>
      </c>
      <c r="K633">
        <v>353</v>
      </c>
      <c r="L633">
        <v>3</v>
      </c>
      <c r="M633" s="8" t="s">
        <v>23</v>
      </c>
      <c r="N633">
        <v>89.4</v>
      </c>
      <c r="O633">
        <v>149</v>
      </c>
      <c r="P633">
        <v>1</v>
      </c>
      <c r="Q633">
        <v>4</v>
      </c>
      <c r="R633">
        <v>2024</v>
      </c>
      <c r="S633">
        <v>4</v>
      </c>
      <c r="T633" s="8" t="s">
        <v>90</v>
      </c>
      <c r="U633">
        <v>0</v>
      </c>
      <c r="V633">
        <v>2</v>
      </c>
      <c r="W633">
        <v>2</v>
      </c>
      <c r="X633">
        <v>1</v>
      </c>
      <c r="Y633">
        <v>0</v>
      </c>
      <c r="Z633">
        <v>0</v>
      </c>
    </row>
    <row r="634" spans="1:26" x14ac:dyDescent="0.25">
      <c r="A634" s="1">
        <v>45443.630046296297</v>
      </c>
      <c r="B634" s="8" t="s">
        <v>35</v>
      </c>
      <c r="C634">
        <v>-20.0991</v>
      </c>
      <c r="D634">
        <v>20.182500000000001</v>
      </c>
      <c r="E634">
        <v>224</v>
      </c>
      <c r="F634" s="8" t="s">
        <v>17</v>
      </c>
      <c r="G634">
        <v>20.2</v>
      </c>
      <c r="H634">
        <v>58.9</v>
      </c>
      <c r="I634" s="8" t="s">
        <v>22</v>
      </c>
      <c r="J634">
        <v>34</v>
      </c>
      <c r="K634">
        <v>166</v>
      </c>
      <c r="L634">
        <v>6</v>
      </c>
      <c r="M634" s="8" t="s">
        <v>31</v>
      </c>
      <c r="N634">
        <v>84.6</v>
      </c>
      <c r="O634">
        <v>105</v>
      </c>
      <c r="P634">
        <v>1</v>
      </c>
      <c r="Q634">
        <v>5</v>
      </c>
      <c r="R634">
        <v>2024</v>
      </c>
      <c r="S634">
        <v>5</v>
      </c>
      <c r="T634" s="8" t="s">
        <v>90</v>
      </c>
      <c r="U634">
        <v>1</v>
      </c>
      <c r="V634">
        <v>2</v>
      </c>
      <c r="W634">
        <v>2</v>
      </c>
      <c r="X634">
        <v>1</v>
      </c>
      <c r="Y634">
        <v>0</v>
      </c>
      <c r="Z634">
        <v>0</v>
      </c>
    </row>
    <row r="635" spans="1:26" x14ac:dyDescent="0.25">
      <c r="A635" s="1">
        <v>45394.656099537038</v>
      </c>
      <c r="B635" s="8" t="s">
        <v>24</v>
      </c>
      <c r="C635">
        <v>89.389799999999994</v>
      </c>
      <c r="D635">
        <v>-93.103399999999993</v>
      </c>
      <c r="E635">
        <v>120</v>
      </c>
      <c r="F635" s="8" t="s">
        <v>26</v>
      </c>
      <c r="G635">
        <v>22.6</v>
      </c>
      <c r="H635">
        <v>56.4</v>
      </c>
      <c r="I635" s="8" t="s">
        <v>28</v>
      </c>
      <c r="J635">
        <v>60</v>
      </c>
      <c r="K635">
        <v>151</v>
      </c>
      <c r="L635">
        <v>9</v>
      </c>
      <c r="M635" s="8" t="s">
        <v>23</v>
      </c>
      <c r="N635">
        <v>69.900000000000006</v>
      </c>
      <c r="O635">
        <v>194</v>
      </c>
      <c r="P635">
        <v>0</v>
      </c>
      <c r="Q635">
        <v>4</v>
      </c>
      <c r="R635">
        <v>2024</v>
      </c>
      <c r="S635">
        <v>5</v>
      </c>
      <c r="T635" s="8" t="s">
        <v>90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1</v>
      </c>
    </row>
    <row r="636" spans="1:26" x14ac:dyDescent="0.25">
      <c r="A636" s="1">
        <v>45365.753784722219</v>
      </c>
      <c r="B636" s="8" t="s">
        <v>29</v>
      </c>
      <c r="C636">
        <v>85.839299999999994</v>
      </c>
      <c r="D636">
        <v>74.4208</v>
      </c>
      <c r="E636">
        <v>321</v>
      </c>
      <c r="F636" s="8" t="s">
        <v>17</v>
      </c>
      <c r="G636">
        <v>30</v>
      </c>
      <c r="H636">
        <v>75.400000000000006</v>
      </c>
      <c r="I636" s="8" t="s">
        <v>22</v>
      </c>
      <c r="J636">
        <v>14</v>
      </c>
      <c r="K636">
        <v>391</v>
      </c>
      <c r="L636">
        <v>1</v>
      </c>
      <c r="M636" s="8" t="s">
        <v>19</v>
      </c>
      <c r="N636">
        <v>67.3</v>
      </c>
      <c r="O636">
        <v>138</v>
      </c>
      <c r="P636">
        <v>1</v>
      </c>
      <c r="Q636">
        <v>3</v>
      </c>
      <c r="R636">
        <v>2024</v>
      </c>
      <c r="S636">
        <v>4</v>
      </c>
      <c r="T636" s="8" t="s">
        <v>90</v>
      </c>
      <c r="U636">
        <v>0</v>
      </c>
      <c r="V636">
        <v>2</v>
      </c>
      <c r="W636">
        <v>2</v>
      </c>
      <c r="X636">
        <v>1</v>
      </c>
      <c r="Y636">
        <v>1</v>
      </c>
      <c r="Z636">
        <v>0</v>
      </c>
    </row>
    <row r="637" spans="1:26" x14ac:dyDescent="0.25">
      <c r="A637" s="1">
        <v>45513.882118055553</v>
      </c>
      <c r="B637" s="8" t="s">
        <v>35</v>
      </c>
      <c r="C637">
        <v>29.563700000000001</v>
      </c>
      <c r="D637">
        <v>-162.339</v>
      </c>
      <c r="E637">
        <v>238</v>
      </c>
      <c r="F637" s="8" t="s">
        <v>26</v>
      </c>
      <c r="G637">
        <v>26.6</v>
      </c>
      <c r="H637">
        <v>50.9</v>
      </c>
      <c r="I637" s="8" t="s">
        <v>22</v>
      </c>
      <c r="J637">
        <v>59</v>
      </c>
      <c r="K637">
        <v>160</v>
      </c>
      <c r="L637">
        <v>1</v>
      </c>
      <c r="M637" s="8" t="s">
        <v>31</v>
      </c>
      <c r="N637">
        <v>76.8</v>
      </c>
      <c r="O637">
        <v>233</v>
      </c>
      <c r="P637">
        <v>1</v>
      </c>
      <c r="Q637">
        <v>8</v>
      </c>
      <c r="R637">
        <v>2024</v>
      </c>
      <c r="S637">
        <v>5</v>
      </c>
      <c r="T637" s="8" t="s">
        <v>92</v>
      </c>
      <c r="U637">
        <v>1</v>
      </c>
      <c r="V637">
        <v>1</v>
      </c>
      <c r="W637">
        <v>2</v>
      </c>
      <c r="X637">
        <v>1</v>
      </c>
      <c r="Y637">
        <v>0</v>
      </c>
      <c r="Z637">
        <v>1</v>
      </c>
    </row>
    <row r="638" spans="1:26" x14ac:dyDescent="0.25">
      <c r="A638" s="1">
        <v>45553.458136574074</v>
      </c>
      <c r="B638" s="8" t="s">
        <v>35</v>
      </c>
      <c r="C638">
        <v>13.5274</v>
      </c>
      <c r="D638">
        <v>-108.9153</v>
      </c>
      <c r="E638">
        <v>297</v>
      </c>
      <c r="F638" s="8" t="s">
        <v>21</v>
      </c>
      <c r="G638">
        <v>18.100000000000001</v>
      </c>
      <c r="H638">
        <v>77.3</v>
      </c>
      <c r="I638" s="8" t="s">
        <v>28</v>
      </c>
      <c r="J638">
        <v>22</v>
      </c>
      <c r="K638">
        <v>376</v>
      </c>
      <c r="L638">
        <v>10</v>
      </c>
      <c r="M638" s="8" t="s">
        <v>19</v>
      </c>
      <c r="N638">
        <v>80.2</v>
      </c>
      <c r="O638">
        <v>168</v>
      </c>
      <c r="P638">
        <v>0</v>
      </c>
      <c r="Q638">
        <v>9</v>
      </c>
      <c r="R638">
        <v>2024</v>
      </c>
      <c r="S638">
        <v>3</v>
      </c>
      <c r="T638" s="8" t="s">
        <v>91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</row>
    <row r="639" spans="1:26" x14ac:dyDescent="0.25">
      <c r="A639" s="1">
        <v>45364.905185185184</v>
      </c>
      <c r="B639" s="8" t="s">
        <v>30</v>
      </c>
      <c r="C639">
        <v>49.889600000000002</v>
      </c>
      <c r="D639">
        <v>46.776499999999999</v>
      </c>
      <c r="E639">
        <v>219</v>
      </c>
      <c r="F639" s="8" t="s">
        <v>26</v>
      </c>
      <c r="G639">
        <v>22.3</v>
      </c>
      <c r="H639">
        <v>56.9</v>
      </c>
      <c r="I639" s="8" t="s">
        <v>22</v>
      </c>
      <c r="J639">
        <v>44</v>
      </c>
      <c r="K639">
        <v>144</v>
      </c>
      <c r="L639">
        <v>8</v>
      </c>
      <c r="M639" s="8" t="s">
        <v>19</v>
      </c>
      <c r="N639">
        <v>62.2</v>
      </c>
      <c r="O639">
        <v>188</v>
      </c>
      <c r="P639">
        <v>1</v>
      </c>
      <c r="Q639">
        <v>3</v>
      </c>
      <c r="R639">
        <v>2024</v>
      </c>
      <c r="S639">
        <v>3</v>
      </c>
      <c r="T639" s="8" t="s">
        <v>90</v>
      </c>
      <c r="U639">
        <v>0</v>
      </c>
      <c r="V639">
        <v>1</v>
      </c>
      <c r="W639">
        <v>2</v>
      </c>
      <c r="X639">
        <v>1</v>
      </c>
      <c r="Y639">
        <v>0</v>
      </c>
      <c r="Z639">
        <v>0</v>
      </c>
    </row>
    <row r="640" spans="1:26" x14ac:dyDescent="0.25">
      <c r="A640" s="1">
        <v>45521.193958333337</v>
      </c>
      <c r="B640" s="8" t="s">
        <v>33</v>
      </c>
      <c r="C640">
        <v>61.995100000000001</v>
      </c>
      <c r="D640">
        <v>28.0639</v>
      </c>
      <c r="E640">
        <v>204</v>
      </c>
      <c r="F640" s="8" t="s">
        <v>21</v>
      </c>
      <c r="G640">
        <v>29.8</v>
      </c>
      <c r="H640">
        <v>58.9</v>
      </c>
      <c r="I640" s="8" t="s">
        <v>22</v>
      </c>
      <c r="J640">
        <v>10</v>
      </c>
      <c r="K640">
        <v>484</v>
      </c>
      <c r="L640">
        <v>3</v>
      </c>
      <c r="M640" s="8" t="s">
        <v>23</v>
      </c>
      <c r="N640">
        <v>93</v>
      </c>
      <c r="O640">
        <v>238</v>
      </c>
      <c r="P640">
        <v>1</v>
      </c>
      <c r="Q640">
        <v>8</v>
      </c>
      <c r="R640">
        <v>2024</v>
      </c>
      <c r="S640">
        <v>6</v>
      </c>
      <c r="T640" s="8" t="s">
        <v>92</v>
      </c>
      <c r="U640">
        <v>1</v>
      </c>
      <c r="V640">
        <v>0</v>
      </c>
      <c r="W640">
        <v>2</v>
      </c>
      <c r="X640">
        <v>1</v>
      </c>
      <c r="Y640">
        <v>0</v>
      </c>
      <c r="Z640">
        <v>0</v>
      </c>
    </row>
    <row r="641" spans="1:26" x14ac:dyDescent="0.25">
      <c r="A641" s="1">
        <v>45322.001099537039</v>
      </c>
      <c r="B641" s="8" t="s">
        <v>35</v>
      </c>
      <c r="C641">
        <v>88.354500000000002</v>
      </c>
      <c r="D641">
        <v>123.8561</v>
      </c>
      <c r="E641">
        <v>469</v>
      </c>
      <c r="F641" s="8" t="s">
        <v>21</v>
      </c>
      <c r="G641">
        <v>21.5</v>
      </c>
      <c r="H641">
        <v>52.2</v>
      </c>
      <c r="I641" s="8" t="s">
        <v>22</v>
      </c>
      <c r="J641">
        <v>56</v>
      </c>
      <c r="K641">
        <v>405</v>
      </c>
      <c r="L641">
        <v>10</v>
      </c>
      <c r="M641" s="8" t="s">
        <v>23</v>
      </c>
      <c r="N641">
        <v>95.5</v>
      </c>
      <c r="O641">
        <v>135</v>
      </c>
      <c r="P641">
        <v>1</v>
      </c>
      <c r="Q641">
        <v>1</v>
      </c>
      <c r="R641">
        <v>2024</v>
      </c>
      <c r="S641">
        <v>3</v>
      </c>
      <c r="T641" s="8" t="s">
        <v>93</v>
      </c>
      <c r="U641">
        <v>0</v>
      </c>
      <c r="V641">
        <v>0</v>
      </c>
      <c r="W641">
        <v>2</v>
      </c>
      <c r="X641">
        <v>1</v>
      </c>
      <c r="Y641">
        <v>0</v>
      </c>
      <c r="Z641">
        <v>1</v>
      </c>
    </row>
    <row r="642" spans="1:26" x14ac:dyDescent="0.25">
      <c r="A642" s="1">
        <v>45349.729594907411</v>
      </c>
      <c r="B642" s="8" t="s">
        <v>25</v>
      </c>
      <c r="C642">
        <v>-1.4258</v>
      </c>
      <c r="D642">
        <v>112.81740000000001</v>
      </c>
      <c r="E642">
        <v>146</v>
      </c>
      <c r="F642" s="8" t="s">
        <v>17</v>
      </c>
      <c r="G642">
        <v>24.2</v>
      </c>
      <c r="H642">
        <v>72.400000000000006</v>
      </c>
      <c r="I642" s="8" t="s">
        <v>28</v>
      </c>
      <c r="J642">
        <v>22</v>
      </c>
      <c r="K642">
        <v>321</v>
      </c>
      <c r="L642">
        <v>9</v>
      </c>
      <c r="M642" s="8" t="s">
        <v>31</v>
      </c>
      <c r="N642">
        <v>88.2</v>
      </c>
      <c r="O642">
        <v>190</v>
      </c>
      <c r="P642">
        <v>1</v>
      </c>
      <c r="Q642">
        <v>2</v>
      </c>
      <c r="R642">
        <v>2024</v>
      </c>
      <c r="S642">
        <v>2</v>
      </c>
      <c r="T642" s="8" t="s">
        <v>93</v>
      </c>
      <c r="U642">
        <v>0</v>
      </c>
      <c r="V642">
        <v>2</v>
      </c>
      <c r="W642">
        <v>0</v>
      </c>
      <c r="X642">
        <v>0</v>
      </c>
      <c r="Y642">
        <v>0</v>
      </c>
      <c r="Z642">
        <v>0</v>
      </c>
    </row>
    <row r="643" spans="1:26" x14ac:dyDescent="0.25">
      <c r="A643" s="1">
        <v>45557.023657407408</v>
      </c>
      <c r="B643" s="8" t="s">
        <v>33</v>
      </c>
      <c r="C643">
        <v>-18.380099999999999</v>
      </c>
      <c r="D643">
        <v>-175.0496</v>
      </c>
      <c r="E643">
        <v>215</v>
      </c>
      <c r="F643" s="8" t="s">
        <v>26</v>
      </c>
      <c r="G643">
        <v>18.899999999999999</v>
      </c>
      <c r="H643">
        <v>63.4</v>
      </c>
      <c r="I643" s="8" t="s">
        <v>22</v>
      </c>
      <c r="J643">
        <v>57</v>
      </c>
      <c r="K643">
        <v>382</v>
      </c>
      <c r="L643">
        <v>4</v>
      </c>
      <c r="M643" s="8" t="s">
        <v>23</v>
      </c>
      <c r="N643">
        <v>71.2</v>
      </c>
      <c r="O643">
        <v>274</v>
      </c>
      <c r="P643">
        <v>1</v>
      </c>
      <c r="Q643">
        <v>9</v>
      </c>
      <c r="R643">
        <v>2024</v>
      </c>
      <c r="S643">
        <v>0</v>
      </c>
      <c r="T643" s="8" t="s">
        <v>91</v>
      </c>
      <c r="U643">
        <v>0</v>
      </c>
      <c r="V643">
        <v>1</v>
      </c>
      <c r="W643">
        <v>2</v>
      </c>
      <c r="X643">
        <v>1</v>
      </c>
      <c r="Y643">
        <v>0</v>
      </c>
      <c r="Z643">
        <v>1</v>
      </c>
    </row>
    <row r="644" spans="1:26" x14ac:dyDescent="0.25">
      <c r="A644" s="1">
        <v>45568.332465277781</v>
      </c>
      <c r="B644" s="8" t="s">
        <v>33</v>
      </c>
      <c r="C644">
        <v>72.620599999999996</v>
      </c>
      <c r="D644">
        <v>46.139299999999999</v>
      </c>
      <c r="E644">
        <v>454</v>
      </c>
      <c r="F644" s="8" t="s">
        <v>21</v>
      </c>
      <c r="G644">
        <v>22.8</v>
      </c>
      <c r="H644">
        <v>73.3</v>
      </c>
      <c r="I644" s="8" t="s">
        <v>22</v>
      </c>
      <c r="J644">
        <v>45</v>
      </c>
      <c r="K644">
        <v>276</v>
      </c>
      <c r="L644">
        <v>5</v>
      </c>
      <c r="M644" s="8" t="s">
        <v>23</v>
      </c>
      <c r="N644">
        <v>87.4</v>
      </c>
      <c r="O644">
        <v>261</v>
      </c>
      <c r="P644">
        <v>1</v>
      </c>
      <c r="Q644">
        <v>10</v>
      </c>
      <c r="R644">
        <v>2024</v>
      </c>
      <c r="S644">
        <v>4</v>
      </c>
      <c r="T644" s="8" t="s">
        <v>91</v>
      </c>
      <c r="U644">
        <v>0</v>
      </c>
      <c r="V644">
        <v>0</v>
      </c>
      <c r="W644">
        <v>2</v>
      </c>
      <c r="X644">
        <v>1</v>
      </c>
      <c r="Y644">
        <v>0</v>
      </c>
      <c r="Z644">
        <v>0</v>
      </c>
    </row>
    <row r="645" spans="1:26" x14ac:dyDescent="0.25">
      <c r="A645" s="1">
        <v>45518.809733796297</v>
      </c>
      <c r="B645" s="8" t="s">
        <v>29</v>
      </c>
      <c r="C645">
        <v>-10.0844</v>
      </c>
      <c r="D645">
        <v>-0.60419999999999996</v>
      </c>
      <c r="E645">
        <v>145</v>
      </c>
      <c r="F645" s="8" t="s">
        <v>26</v>
      </c>
      <c r="G645">
        <v>29.2</v>
      </c>
      <c r="H645">
        <v>67.3</v>
      </c>
      <c r="I645" s="8" t="s">
        <v>28</v>
      </c>
      <c r="J645">
        <v>36</v>
      </c>
      <c r="K645">
        <v>230</v>
      </c>
      <c r="L645">
        <v>4</v>
      </c>
      <c r="M645" s="8" t="s">
        <v>27</v>
      </c>
      <c r="N645">
        <v>85.3</v>
      </c>
      <c r="O645">
        <v>269</v>
      </c>
      <c r="P645">
        <v>0</v>
      </c>
      <c r="Q645">
        <v>8</v>
      </c>
      <c r="R645">
        <v>2024</v>
      </c>
      <c r="S645">
        <v>3</v>
      </c>
      <c r="T645" s="8" t="s">
        <v>92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</row>
    <row r="646" spans="1:26" x14ac:dyDescent="0.25">
      <c r="A646" s="1">
        <v>45650.895868055559</v>
      </c>
      <c r="B646" s="8" t="s">
        <v>24</v>
      </c>
      <c r="C646">
        <v>73.622500000000002</v>
      </c>
      <c r="D646">
        <v>125.9589</v>
      </c>
      <c r="E646">
        <v>410</v>
      </c>
      <c r="F646" s="8" t="s">
        <v>26</v>
      </c>
      <c r="G646">
        <v>18.8</v>
      </c>
      <c r="H646">
        <v>78</v>
      </c>
      <c r="I646" s="8" t="s">
        <v>22</v>
      </c>
      <c r="J646">
        <v>35</v>
      </c>
      <c r="K646">
        <v>228</v>
      </c>
      <c r="L646">
        <v>2</v>
      </c>
      <c r="M646" s="8" t="s">
        <v>31</v>
      </c>
      <c r="N646">
        <v>92.1</v>
      </c>
      <c r="O646">
        <v>111</v>
      </c>
      <c r="P646">
        <v>1</v>
      </c>
      <c r="Q646">
        <v>12</v>
      </c>
      <c r="R646">
        <v>2024</v>
      </c>
      <c r="S646">
        <v>2</v>
      </c>
      <c r="T646" s="8" t="s">
        <v>93</v>
      </c>
      <c r="U646">
        <v>0</v>
      </c>
      <c r="V646">
        <v>1</v>
      </c>
      <c r="W646">
        <v>2</v>
      </c>
      <c r="X646">
        <v>1</v>
      </c>
      <c r="Y646">
        <v>1</v>
      </c>
      <c r="Z646">
        <v>0</v>
      </c>
    </row>
    <row r="647" spans="1:26" x14ac:dyDescent="0.25">
      <c r="A647" s="1">
        <v>45489.884745370371</v>
      </c>
      <c r="B647" s="8" t="s">
        <v>29</v>
      </c>
      <c r="C647">
        <v>-67.510900000000007</v>
      </c>
      <c r="D647">
        <v>-162.05369999999999</v>
      </c>
      <c r="E647">
        <v>350</v>
      </c>
      <c r="F647" s="8" t="s">
        <v>17</v>
      </c>
      <c r="G647">
        <v>21.8</v>
      </c>
      <c r="H647">
        <v>60.4</v>
      </c>
      <c r="I647" s="8" t="s">
        <v>28</v>
      </c>
      <c r="J647">
        <v>15</v>
      </c>
      <c r="K647">
        <v>238</v>
      </c>
      <c r="L647">
        <v>3</v>
      </c>
      <c r="M647" s="8" t="s">
        <v>23</v>
      </c>
      <c r="N647">
        <v>81.099999999999994</v>
      </c>
      <c r="O647">
        <v>300</v>
      </c>
      <c r="P647">
        <v>1</v>
      </c>
      <c r="Q647">
        <v>7</v>
      </c>
      <c r="R647">
        <v>2024</v>
      </c>
      <c r="S647">
        <v>2</v>
      </c>
      <c r="T647" s="8" t="s">
        <v>92</v>
      </c>
      <c r="U647">
        <v>0</v>
      </c>
      <c r="V647">
        <v>2</v>
      </c>
      <c r="W647">
        <v>0</v>
      </c>
      <c r="X647">
        <v>0</v>
      </c>
      <c r="Y647">
        <v>0</v>
      </c>
      <c r="Z647">
        <v>0</v>
      </c>
    </row>
    <row r="648" spans="1:26" x14ac:dyDescent="0.25">
      <c r="A648" s="1">
        <v>45627.735347222224</v>
      </c>
      <c r="B648" s="8" t="s">
        <v>35</v>
      </c>
      <c r="C648">
        <v>-4.42</v>
      </c>
      <c r="D648">
        <v>-44.161900000000003</v>
      </c>
      <c r="E648">
        <v>474</v>
      </c>
      <c r="F648" s="8" t="s">
        <v>17</v>
      </c>
      <c r="G648">
        <v>29.5</v>
      </c>
      <c r="H648">
        <v>51.1</v>
      </c>
      <c r="I648" s="8" t="s">
        <v>18</v>
      </c>
      <c r="J648">
        <v>34</v>
      </c>
      <c r="K648">
        <v>136</v>
      </c>
      <c r="L648">
        <v>8</v>
      </c>
      <c r="M648" s="8" t="s">
        <v>19</v>
      </c>
      <c r="N648">
        <v>67.8</v>
      </c>
      <c r="O648">
        <v>268</v>
      </c>
      <c r="P648">
        <v>1</v>
      </c>
      <c r="Q648">
        <v>12</v>
      </c>
      <c r="R648">
        <v>2024</v>
      </c>
      <c r="S648">
        <v>0</v>
      </c>
      <c r="T648" s="8" t="s">
        <v>93</v>
      </c>
      <c r="U648">
        <v>0</v>
      </c>
      <c r="V648">
        <v>2</v>
      </c>
      <c r="W648">
        <v>1</v>
      </c>
      <c r="X648">
        <v>0</v>
      </c>
      <c r="Y648">
        <v>0</v>
      </c>
      <c r="Z648">
        <v>0</v>
      </c>
    </row>
    <row r="649" spans="1:26" x14ac:dyDescent="0.25">
      <c r="A649" s="1">
        <v>45573.525023148148</v>
      </c>
      <c r="B649" s="8" t="s">
        <v>35</v>
      </c>
      <c r="C649">
        <v>-31.9299</v>
      </c>
      <c r="D649">
        <v>48.953600000000002</v>
      </c>
      <c r="E649">
        <v>357</v>
      </c>
      <c r="F649" s="8" t="s">
        <v>26</v>
      </c>
      <c r="G649">
        <v>20.9</v>
      </c>
      <c r="H649">
        <v>50.9</v>
      </c>
      <c r="I649" s="8" t="s">
        <v>18</v>
      </c>
      <c r="J649">
        <v>30</v>
      </c>
      <c r="K649">
        <v>495</v>
      </c>
      <c r="L649">
        <v>1</v>
      </c>
      <c r="M649" s="8" t="s">
        <v>23</v>
      </c>
      <c r="N649">
        <v>65.599999999999994</v>
      </c>
      <c r="O649">
        <v>288</v>
      </c>
      <c r="P649">
        <v>0</v>
      </c>
      <c r="Q649">
        <v>10</v>
      </c>
      <c r="R649">
        <v>2024</v>
      </c>
      <c r="S649">
        <v>2</v>
      </c>
      <c r="T649" s="8" t="s">
        <v>91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0</v>
      </c>
    </row>
    <row r="650" spans="1:26" x14ac:dyDescent="0.25">
      <c r="A650" s="1">
        <v>45439.806550925925</v>
      </c>
      <c r="B650" s="8" t="s">
        <v>35</v>
      </c>
      <c r="C650">
        <v>-84.586100000000002</v>
      </c>
      <c r="D650">
        <v>-56.904400000000003</v>
      </c>
      <c r="E650">
        <v>171</v>
      </c>
      <c r="F650" s="8" t="s">
        <v>21</v>
      </c>
      <c r="G650">
        <v>28.8</v>
      </c>
      <c r="H650">
        <v>59.3</v>
      </c>
      <c r="I650" s="8" t="s">
        <v>28</v>
      </c>
      <c r="J650">
        <v>56</v>
      </c>
      <c r="K650">
        <v>437</v>
      </c>
      <c r="L650">
        <v>10</v>
      </c>
      <c r="M650" s="8" t="s">
        <v>19</v>
      </c>
      <c r="N650">
        <v>99.6</v>
      </c>
      <c r="O650">
        <v>235</v>
      </c>
      <c r="P650">
        <v>0</v>
      </c>
      <c r="Q650">
        <v>5</v>
      </c>
      <c r="R650">
        <v>2024</v>
      </c>
      <c r="S650">
        <v>1</v>
      </c>
      <c r="T650" s="8" t="s">
        <v>90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 x14ac:dyDescent="0.25">
      <c r="A651" s="1">
        <v>45372.932453703703</v>
      </c>
      <c r="B651" s="8" t="s">
        <v>33</v>
      </c>
      <c r="C651">
        <v>-20.657699999999998</v>
      </c>
      <c r="D651">
        <v>-86.801299999999998</v>
      </c>
      <c r="E651">
        <v>137</v>
      </c>
      <c r="F651" s="8" t="s">
        <v>26</v>
      </c>
      <c r="G651">
        <v>24</v>
      </c>
      <c r="H651">
        <v>78</v>
      </c>
      <c r="I651" s="8" t="s">
        <v>22</v>
      </c>
      <c r="J651">
        <v>29</v>
      </c>
      <c r="K651">
        <v>425</v>
      </c>
      <c r="L651">
        <v>7</v>
      </c>
      <c r="M651" s="8" t="s">
        <v>23</v>
      </c>
      <c r="N651">
        <v>69.400000000000006</v>
      </c>
      <c r="O651">
        <v>270</v>
      </c>
      <c r="P651">
        <v>1</v>
      </c>
      <c r="Q651">
        <v>3</v>
      </c>
      <c r="R651">
        <v>2024</v>
      </c>
      <c r="S651">
        <v>4</v>
      </c>
      <c r="T651" s="8" t="s">
        <v>90</v>
      </c>
      <c r="U651">
        <v>0</v>
      </c>
      <c r="V651">
        <v>1</v>
      </c>
      <c r="W651">
        <v>2</v>
      </c>
      <c r="X651">
        <v>1</v>
      </c>
      <c r="Y651">
        <v>1</v>
      </c>
      <c r="Z651">
        <v>0</v>
      </c>
    </row>
    <row r="652" spans="1:26" x14ac:dyDescent="0.25">
      <c r="A652" s="1">
        <v>45416.452893518515</v>
      </c>
      <c r="B652" s="8" t="s">
        <v>33</v>
      </c>
      <c r="C652">
        <v>-56.5959</v>
      </c>
      <c r="D652">
        <v>153.5316</v>
      </c>
      <c r="E652">
        <v>147</v>
      </c>
      <c r="F652" s="8" t="s">
        <v>26</v>
      </c>
      <c r="G652">
        <v>24.9</v>
      </c>
      <c r="H652">
        <v>67.599999999999994</v>
      </c>
      <c r="I652" s="8" t="s">
        <v>22</v>
      </c>
      <c r="J652">
        <v>57</v>
      </c>
      <c r="K652">
        <v>157</v>
      </c>
      <c r="L652">
        <v>4</v>
      </c>
      <c r="M652" s="8" t="s">
        <v>27</v>
      </c>
      <c r="N652">
        <v>62.1</v>
      </c>
      <c r="O652">
        <v>261</v>
      </c>
      <c r="P652">
        <v>1</v>
      </c>
      <c r="Q652">
        <v>5</v>
      </c>
      <c r="R652">
        <v>2024</v>
      </c>
      <c r="S652">
        <v>6</v>
      </c>
      <c r="T652" s="8" t="s">
        <v>90</v>
      </c>
      <c r="U652">
        <v>1</v>
      </c>
      <c r="V652">
        <v>1</v>
      </c>
      <c r="W652">
        <v>2</v>
      </c>
      <c r="X652">
        <v>1</v>
      </c>
      <c r="Y652">
        <v>0</v>
      </c>
      <c r="Z652">
        <v>1</v>
      </c>
    </row>
    <row r="653" spans="1:26" x14ac:dyDescent="0.25">
      <c r="A653" s="1">
        <v>45423.509340277778</v>
      </c>
      <c r="B653" s="8" t="s">
        <v>34</v>
      </c>
      <c r="C653">
        <v>20.654599999999999</v>
      </c>
      <c r="D653">
        <v>79.9499</v>
      </c>
      <c r="E653">
        <v>194</v>
      </c>
      <c r="F653" s="8" t="s">
        <v>21</v>
      </c>
      <c r="G653">
        <v>22.9</v>
      </c>
      <c r="H653">
        <v>69.7</v>
      </c>
      <c r="I653" s="8" t="s">
        <v>28</v>
      </c>
      <c r="J653">
        <v>11</v>
      </c>
      <c r="K653">
        <v>140</v>
      </c>
      <c r="L653">
        <v>4</v>
      </c>
      <c r="M653" s="8" t="s">
        <v>23</v>
      </c>
      <c r="N653">
        <v>84.7</v>
      </c>
      <c r="O653">
        <v>293</v>
      </c>
      <c r="P653">
        <v>0</v>
      </c>
      <c r="Q653">
        <v>5</v>
      </c>
      <c r="R653">
        <v>2024</v>
      </c>
      <c r="S653">
        <v>6</v>
      </c>
      <c r="T653" s="8" t="s">
        <v>90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25">
      <c r="A654" s="1">
        <v>45654.850914351853</v>
      </c>
      <c r="B654" s="8" t="s">
        <v>34</v>
      </c>
      <c r="C654">
        <v>-19.755299999999998</v>
      </c>
      <c r="D654">
        <v>54.2697</v>
      </c>
      <c r="E654">
        <v>291</v>
      </c>
      <c r="F654" s="8" t="s">
        <v>17</v>
      </c>
      <c r="G654">
        <v>24.1</v>
      </c>
      <c r="H654">
        <v>70.8</v>
      </c>
      <c r="I654" s="8" t="s">
        <v>22</v>
      </c>
      <c r="J654">
        <v>25</v>
      </c>
      <c r="K654">
        <v>414</v>
      </c>
      <c r="L654">
        <v>8</v>
      </c>
      <c r="M654" s="8" t="s">
        <v>19</v>
      </c>
      <c r="N654">
        <v>99.4</v>
      </c>
      <c r="O654">
        <v>225</v>
      </c>
      <c r="P654">
        <v>1</v>
      </c>
      <c r="Q654">
        <v>12</v>
      </c>
      <c r="R654">
        <v>2024</v>
      </c>
      <c r="S654">
        <v>6</v>
      </c>
      <c r="T654" s="8" t="s">
        <v>93</v>
      </c>
      <c r="U654">
        <v>1</v>
      </c>
      <c r="V654">
        <v>2</v>
      </c>
      <c r="W654">
        <v>2</v>
      </c>
      <c r="X654">
        <v>1</v>
      </c>
      <c r="Y654">
        <v>0</v>
      </c>
      <c r="Z654">
        <v>0</v>
      </c>
    </row>
    <row r="655" spans="1:26" x14ac:dyDescent="0.25">
      <c r="A655" s="1">
        <v>45388.075416666667</v>
      </c>
      <c r="B655" s="8" t="s">
        <v>33</v>
      </c>
      <c r="C655">
        <v>68.0702</v>
      </c>
      <c r="D655">
        <v>98.599500000000006</v>
      </c>
      <c r="E655">
        <v>176</v>
      </c>
      <c r="F655" s="8" t="s">
        <v>26</v>
      </c>
      <c r="G655">
        <v>29.5</v>
      </c>
      <c r="H655">
        <v>61.9</v>
      </c>
      <c r="I655" s="8" t="s">
        <v>28</v>
      </c>
      <c r="J655">
        <v>31</v>
      </c>
      <c r="K655">
        <v>306</v>
      </c>
      <c r="L655">
        <v>6</v>
      </c>
      <c r="M655" s="8" t="s">
        <v>23</v>
      </c>
      <c r="N655">
        <v>73.5</v>
      </c>
      <c r="O655">
        <v>217</v>
      </c>
      <c r="P655">
        <v>0</v>
      </c>
      <c r="Q655">
        <v>4</v>
      </c>
      <c r="R655">
        <v>2024</v>
      </c>
      <c r="S655">
        <v>6</v>
      </c>
      <c r="T655" s="8" t="s">
        <v>90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</row>
    <row r="656" spans="1:26" x14ac:dyDescent="0.25">
      <c r="A656" s="1">
        <v>45516.424791666665</v>
      </c>
      <c r="B656" s="8" t="s">
        <v>29</v>
      </c>
      <c r="C656">
        <v>25.963999999999999</v>
      </c>
      <c r="D656">
        <v>-133.3578</v>
      </c>
      <c r="E656">
        <v>240</v>
      </c>
      <c r="F656" s="8" t="s">
        <v>21</v>
      </c>
      <c r="G656">
        <v>27.4</v>
      </c>
      <c r="H656">
        <v>72.900000000000006</v>
      </c>
      <c r="I656" s="8" t="s">
        <v>18</v>
      </c>
      <c r="J656">
        <v>29</v>
      </c>
      <c r="K656">
        <v>272</v>
      </c>
      <c r="L656">
        <v>8</v>
      </c>
      <c r="M656" s="8" t="s">
        <v>31</v>
      </c>
      <c r="N656">
        <v>72.3</v>
      </c>
      <c r="O656">
        <v>106</v>
      </c>
      <c r="P656">
        <v>0</v>
      </c>
      <c r="Q656">
        <v>8</v>
      </c>
      <c r="R656">
        <v>2024</v>
      </c>
      <c r="S656">
        <v>1</v>
      </c>
      <c r="T656" s="8" t="s">
        <v>92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</row>
    <row r="657" spans="1:26" x14ac:dyDescent="0.25">
      <c r="A657" s="1">
        <v>45330.425150462965</v>
      </c>
      <c r="B657" s="8" t="s">
        <v>35</v>
      </c>
      <c r="C657">
        <v>-86.700999999999993</v>
      </c>
      <c r="D657">
        <v>-140.03389999999999</v>
      </c>
      <c r="E657">
        <v>412</v>
      </c>
      <c r="F657" s="8" t="s">
        <v>17</v>
      </c>
      <c r="G657">
        <v>23.8</v>
      </c>
      <c r="H657">
        <v>71.599999999999994</v>
      </c>
      <c r="I657" s="8" t="s">
        <v>22</v>
      </c>
      <c r="J657">
        <v>54</v>
      </c>
      <c r="K657">
        <v>301</v>
      </c>
      <c r="L657">
        <v>6</v>
      </c>
      <c r="M657" s="8" t="s">
        <v>23</v>
      </c>
      <c r="N657">
        <v>76.8</v>
      </c>
      <c r="O657">
        <v>183</v>
      </c>
      <c r="P657">
        <v>1</v>
      </c>
      <c r="Q657">
        <v>2</v>
      </c>
      <c r="R657">
        <v>2024</v>
      </c>
      <c r="S657">
        <v>4</v>
      </c>
      <c r="T657" s="8" t="s">
        <v>93</v>
      </c>
      <c r="U657">
        <v>0</v>
      </c>
      <c r="V657">
        <v>2</v>
      </c>
      <c r="W657">
        <v>2</v>
      </c>
      <c r="X657">
        <v>1</v>
      </c>
      <c r="Y657">
        <v>0</v>
      </c>
      <c r="Z657">
        <v>1</v>
      </c>
    </row>
    <row r="658" spans="1:26" x14ac:dyDescent="0.25">
      <c r="A658" s="1">
        <v>45567.771747685183</v>
      </c>
      <c r="B658" s="8" t="s">
        <v>30</v>
      </c>
      <c r="C658">
        <v>-35.944099999999999</v>
      </c>
      <c r="D658">
        <v>-133.41829999999999</v>
      </c>
      <c r="E658">
        <v>359</v>
      </c>
      <c r="F658" s="8" t="s">
        <v>26</v>
      </c>
      <c r="G658">
        <v>22.6</v>
      </c>
      <c r="H658">
        <v>72.900000000000006</v>
      </c>
      <c r="I658" s="8" t="s">
        <v>28</v>
      </c>
      <c r="J658">
        <v>60</v>
      </c>
      <c r="K658">
        <v>142</v>
      </c>
      <c r="L658">
        <v>4</v>
      </c>
      <c r="M658" s="8" t="s">
        <v>27</v>
      </c>
      <c r="N658">
        <v>78.5</v>
      </c>
      <c r="O658">
        <v>255</v>
      </c>
      <c r="P658">
        <v>0</v>
      </c>
      <c r="Q658">
        <v>10</v>
      </c>
      <c r="R658">
        <v>2024</v>
      </c>
      <c r="S658">
        <v>3</v>
      </c>
      <c r="T658" s="8" t="s">
        <v>91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1</v>
      </c>
    </row>
    <row r="659" spans="1:26" x14ac:dyDescent="0.25">
      <c r="A659" s="1">
        <v>45621.782013888886</v>
      </c>
      <c r="B659" s="8" t="s">
        <v>32</v>
      </c>
      <c r="C659">
        <v>62.9176</v>
      </c>
      <c r="D659">
        <v>116.017</v>
      </c>
      <c r="E659">
        <v>491</v>
      </c>
      <c r="F659" s="8" t="s">
        <v>21</v>
      </c>
      <c r="G659">
        <v>20.6</v>
      </c>
      <c r="H659">
        <v>74.7</v>
      </c>
      <c r="I659" s="8" t="s">
        <v>18</v>
      </c>
      <c r="J659">
        <v>16</v>
      </c>
      <c r="K659">
        <v>183</v>
      </c>
      <c r="L659">
        <v>7</v>
      </c>
      <c r="M659" s="8" t="s">
        <v>23</v>
      </c>
      <c r="N659">
        <v>60.3</v>
      </c>
      <c r="O659">
        <v>273</v>
      </c>
      <c r="P659">
        <v>0</v>
      </c>
      <c r="Q659">
        <v>11</v>
      </c>
      <c r="R659">
        <v>2024</v>
      </c>
      <c r="S659">
        <v>1</v>
      </c>
      <c r="T659" s="8" t="s">
        <v>91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</row>
    <row r="660" spans="1:26" x14ac:dyDescent="0.25">
      <c r="A660" s="1">
        <v>45379.60670138889</v>
      </c>
      <c r="B660" s="8" t="s">
        <v>33</v>
      </c>
      <c r="C660">
        <v>69.754900000000006</v>
      </c>
      <c r="D660">
        <v>-126.81229999999999</v>
      </c>
      <c r="E660">
        <v>130</v>
      </c>
      <c r="F660" s="8" t="s">
        <v>17</v>
      </c>
      <c r="G660">
        <v>29.9</v>
      </c>
      <c r="H660">
        <v>65</v>
      </c>
      <c r="I660" s="8" t="s">
        <v>18</v>
      </c>
      <c r="J660">
        <v>50</v>
      </c>
      <c r="K660">
        <v>385</v>
      </c>
      <c r="L660">
        <v>10</v>
      </c>
      <c r="M660" s="8" t="s">
        <v>27</v>
      </c>
      <c r="N660">
        <v>72.599999999999994</v>
      </c>
      <c r="O660">
        <v>106</v>
      </c>
      <c r="P660">
        <v>1</v>
      </c>
      <c r="Q660">
        <v>3</v>
      </c>
      <c r="R660">
        <v>2024</v>
      </c>
      <c r="S660">
        <v>4</v>
      </c>
      <c r="T660" s="8" t="s">
        <v>90</v>
      </c>
      <c r="U660">
        <v>0</v>
      </c>
      <c r="V660">
        <v>2</v>
      </c>
      <c r="W660">
        <v>1</v>
      </c>
      <c r="X660">
        <v>0</v>
      </c>
      <c r="Y660">
        <v>0</v>
      </c>
      <c r="Z660">
        <v>1</v>
      </c>
    </row>
    <row r="661" spans="1:26" x14ac:dyDescent="0.25">
      <c r="A661" s="1">
        <v>45640.529374999998</v>
      </c>
      <c r="B661" s="8" t="s">
        <v>32</v>
      </c>
      <c r="C661">
        <v>-0.53549999999999998</v>
      </c>
      <c r="D661">
        <v>120.97929999999999</v>
      </c>
      <c r="E661">
        <v>336</v>
      </c>
      <c r="F661" s="8" t="s">
        <v>21</v>
      </c>
      <c r="G661">
        <v>22.1</v>
      </c>
      <c r="H661">
        <v>75.2</v>
      </c>
      <c r="I661" s="8" t="s">
        <v>18</v>
      </c>
      <c r="J661">
        <v>33</v>
      </c>
      <c r="K661">
        <v>443</v>
      </c>
      <c r="L661">
        <v>5</v>
      </c>
      <c r="M661" s="8" t="s">
        <v>31</v>
      </c>
      <c r="N661">
        <v>73.2</v>
      </c>
      <c r="O661">
        <v>186</v>
      </c>
      <c r="P661">
        <v>0</v>
      </c>
      <c r="Q661">
        <v>12</v>
      </c>
      <c r="R661">
        <v>2024</v>
      </c>
      <c r="S661">
        <v>6</v>
      </c>
      <c r="T661" s="8" t="s">
        <v>93</v>
      </c>
      <c r="U661">
        <v>1</v>
      </c>
      <c r="V661">
        <v>0</v>
      </c>
      <c r="W661">
        <v>1</v>
      </c>
      <c r="X661">
        <v>0</v>
      </c>
      <c r="Y661">
        <v>1</v>
      </c>
      <c r="Z661">
        <v>0</v>
      </c>
    </row>
    <row r="662" spans="1:26" x14ac:dyDescent="0.25">
      <c r="A662" s="1">
        <v>45364.782754629632</v>
      </c>
      <c r="B662" s="8" t="s">
        <v>25</v>
      </c>
      <c r="C662">
        <v>57.927700000000002</v>
      </c>
      <c r="D662">
        <v>-106.3278</v>
      </c>
      <c r="E662">
        <v>330</v>
      </c>
      <c r="F662" s="8" t="s">
        <v>21</v>
      </c>
      <c r="G662">
        <v>29.5</v>
      </c>
      <c r="H662">
        <v>68.5</v>
      </c>
      <c r="I662" s="8" t="s">
        <v>28</v>
      </c>
      <c r="J662">
        <v>14</v>
      </c>
      <c r="K662">
        <v>358</v>
      </c>
      <c r="L662">
        <v>1</v>
      </c>
      <c r="M662" s="8" t="s">
        <v>31</v>
      </c>
      <c r="N662">
        <v>70</v>
      </c>
      <c r="O662">
        <v>283</v>
      </c>
      <c r="P662">
        <v>0</v>
      </c>
      <c r="Q662">
        <v>3</v>
      </c>
      <c r="R662">
        <v>2024</v>
      </c>
      <c r="S662">
        <v>3</v>
      </c>
      <c r="T662" s="8" t="s">
        <v>90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25">
      <c r="A663" s="1">
        <v>45350.037210648145</v>
      </c>
      <c r="B663" s="8" t="s">
        <v>20</v>
      </c>
      <c r="C663">
        <v>-86.177000000000007</v>
      </c>
      <c r="D663">
        <v>112.10680000000001</v>
      </c>
      <c r="E663">
        <v>118</v>
      </c>
      <c r="F663" s="8" t="s">
        <v>21</v>
      </c>
      <c r="G663">
        <v>25.1</v>
      </c>
      <c r="H663">
        <v>59.5</v>
      </c>
      <c r="I663" s="8" t="s">
        <v>28</v>
      </c>
      <c r="J663">
        <v>36</v>
      </c>
      <c r="K663">
        <v>200</v>
      </c>
      <c r="L663">
        <v>1</v>
      </c>
      <c r="M663" s="8" t="s">
        <v>19</v>
      </c>
      <c r="N663">
        <v>80.599999999999994</v>
      </c>
      <c r="O663">
        <v>239</v>
      </c>
      <c r="P663">
        <v>0</v>
      </c>
      <c r="Q663">
        <v>2</v>
      </c>
      <c r="R663">
        <v>2024</v>
      </c>
      <c r="S663">
        <v>3</v>
      </c>
      <c r="T663" s="8" t="s">
        <v>93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25">
      <c r="A664" s="1">
        <v>45583.893368055556</v>
      </c>
      <c r="B664" s="8" t="s">
        <v>30</v>
      </c>
      <c r="C664">
        <v>-9.2728000000000002</v>
      </c>
      <c r="D664">
        <v>-173.06989999999999</v>
      </c>
      <c r="E664">
        <v>147</v>
      </c>
      <c r="F664" s="8" t="s">
        <v>21</v>
      </c>
      <c r="G664">
        <v>21.6</v>
      </c>
      <c r="H664">
        <v>52</v>
      </c>
      <c r="I664" s="8" t="s">
        <v>28</v>
      </c>
      <c r="J664">
        <v>24</v>
      </c>
      <c r="K664">
        <v>187</v>
      </c>
      <c r="L664">
        <v>7</v>
      </c>
      <c r="M664" s="8" t="s">
        <v>27</v>
      </c>
      <c r="N664">
        <v>71</v>
      </c>
      <c r="O664">
        <v>173</v>
      </c>
      <c r="P664">
        <v>0</v>
      </c>
      <c r="Q664">
        <v>10</v>
      </c>
      <c r="R664">
        <v>2024</v>
      </c>
      <c r="S664">
        <v>5</v>
      </c>
      <c r="T664" s="8" t="s">
        <v>91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x14ac:dyDescent="0.25">
      <c r="A665" s="1">
        <v>45302.131655092591</v>
      </c>
      <c r="B665" s="8" t="s">
        <v>33</v>
      </c>
      <c r="C665">
        <v>-84.322400000000002</v>
      </c>
      <c r="D665">
        <v>76.116299999999995</v>
      </c>
      <c r="E665">
        <v>258</v>
      </c>
      <c r="F665" s="8" t="s">
        <v>26</v>
      </c>
      <c r="G665">
        <v>23.3</v>
      </c>
      <c r="H665">
        <v>71.8</v>
      </c>
      <c r="I665" s="8" t="s">
        <v>22</v>
      </c>
      <c r="J665">
        <v>20</v>
      </c>
      <c r="K665">
        <v>466</v>
      </c>
      <c r="L665">
        <v>7</v>
      </c>
      <c r="M665" s="8" t="s">
        <v>27</v>
      </c>
      <c r="N665">
        <v>80.599999999999994</v>
      </c>
      <c r="O665">
        <v>277</v>
      </c>
      <c r="P665">
        <v>1</v>
      </c>
      <c r="Q665">
        <v>1</v>
      </c>
      <c r="R665">
        <v>2024</v>
      </c>
      <c r="S665">
        <v>4</v>
      </c>
      <c r="T665" s="8" t="s">
        <v>93</v>
      </c>
      <c r="U665">
        <v>0</v>
      </c>
      <c r="V665">
        <v>1</v>
      </c>
      <c r="W665">
        <v>2</v>
      </c>
      <c r="X665">
        <v>1</v>
      </c>
      <c r="Y665">
        <v>0</v>
      </c>
      <c r="Z665">
        <v>0</v>
      </c>
    </row>
    <row r="666" spans="1:26" x14ac:dyDescent="0.25">
      <c r="A666" s="1">
        <v>45560.406134259261</v>
      </c>
      <c r="B666" s="8" t="s">
        <v>16</v>
      </c>
      <c r="C666">
        <v>-27.880600000000001</v>
      </c>
      <c r="D666">
        <v>-32.477800000000002</v>
      </c>
      <c r="E666">
        <v>315</v>
      </c>
      <c r="F666" s="8" t="s">
        <v>17</v>
      </c>
      <c r="G666">
        <v>21.7</v>
      </c>
      <c r="H666">
        <v>54.9</v>
      </c>
      <c r="I666" s="8" t="s">
        <v>22</v>
      </c>
      <c r="J666">
        <v>51</v>
      </c>
      <c r="K666">
        <v>479</v>
      </c>
      <c r="L666">
        <v>7</v>
      </c>
      <c r="M666" s="8" t="s">
        <v>27</v>
      </c>
      <c r="N666">
        <v>83.7</v>
      </c>
      <c r="O666">
        <v>293</v>
      </c>
      <c r="P666">
        <v>1</v>
      </c>
      <c r="Q666">
        <v>9</v>
      </c>
      <c r="R666">
        <v>2024</v>
      </c>
      <c r="S666">
        <v>3</v>
      </c>
      <c r="T666" s="8" t="s">
        <v>91</v>
      </c>
      <c r="U666">
        <v>0</v>
      </c>
      <c r="V666">
        <v>2</v>
      </c>
      <c r="W666">
        <v>2</v>
      </c>
      <c r="X666">
        <v>1</v>
      </c>
      <c r="Y666">
        <v>0</v>
      </c>
      <c r="Z666">
        <v>1</v>
      </c>
    </row>
    <row r="667" spans="1:26" x14ac:dyDescent="0.25">
      <c r="A667" s="1">
        <v>45469.866423611114</v>
      </c>
      <c r="B667" s="8" t="s">
        <v>32</v>
      </c>
      <c r="C667">
        <v>-48.840899999999998</v>
      </c>
      <c r="D667">
        <v>171.33199999999999</v>
      </c>
      <c r="E667">
        <v>233</v>
      </c>
      <c r="F667" s="8" t="s">
        <v>17</v>
      </c>
      <c r="G667">
        <v>25.3</v>
      </c>
      <c r="H667">
        <v>52.8</v>
      </c>
      <c r="I667" s="8" t="s">
        <v>18</v>
      </c>
      <c r="J667">
        <v>19</v>
      </c>
      <c r="K667">
        <v>123</v>
      </c>
      <c r="L667">
        <v>7</v>
      </c>
      <c r="M667" s="8" t="s">
        <v>23</v>
      </c>
      <c r="N667">
        <v>92.3</v>
      </c>
      <c r="O667">
        <v>192</v>
      </c>
      <c r="P667">
        <v>1</v>
      </c>
      <c r="Q667">
        <v>6</v>
      </c>
      <c r="R667">
        <v>2024</v>
      </c>
      <c r="S667">
        <v>3</v>
      </c>
      <c r="T667" s="8" t="s">
        <v>92</v>
      </c>
      <c r="U667">
        <v>0</v>
      </c>
      <c r="V667">
        <v>2</v>
      </c>
      <c r="W667">
        <v>1</v>
      </c>
      <c r="X667">
        <v>0</v>
      </c>
      <c r="Y667">
        <v>0</v>
      </c>
      <c r="Z667">
        <v>0</v>
      </c>
    </row>
    <row r="668" spans="1:26" x14ac:dyDescent="0.25">
      <c r="A668" s="1">
        <v>45346.308252314811</v>
      </c>
      <c r="B668" s="8" t="s">
        <v>29</v>
      </c>
      <c r="C668">
        <v>28.626999999999999</v>
      </c>
      <c r="D668">
        <v>162.88570000000001</v>
      </c>
      <c r="E668">
        <v>282</v>
      </c>
      <c r="F668" s="8" t="s">
        <v>26</v>
      </c>
      <c r="G668">
        <v>18.399999999999999</v>
      </c>
      <c r="H668">
        <v>68.8</v>
      </c>
      <c r="I668" s="8" t="s">
        <v>22</v>
      </c>
      <c r="J668">
        <v>16</v>
      </c>
      <c r="K668">
        <v>281</v>
      </c>
      <c r="L668">
        <v>4</v>
      </c>
      <c r="M668" s="8" t="s">
        <v>31</v>
      </c>
      <c r="N668">
        <v>78.8</v>
      </c>
      <c r="O668">
        <v>285</v>
      </c>
      <c r="P668">
        <v>1</v>
      </c>
      <c r="Q668">
        <v>2</v>
      </c>
      <c r="R668">
        <v>2024</v>
      </c>
      <c r="S668">
        <v>6</v>
      </c>
      <c r="T668" s="8" t="s">
        <v>93</v>
      </c>
      <c r="U668">
        <v>1</v>
      </c>
      <c r="V668">
        <v>1</v>
      </c>
      <c r="W668">
        <v>2</v>
      </c>
      <c r="X668">
        <v>1</v>
      </c>
      <c r="Y668">
        <v>0</v>
      </c>
      <c r="Z668">
        <v>0</v>
      </c>
    </row>
    <row r="669" spans="1:26" x14ac:dyDescent="0.25">
      <c r="A669" s="1">
        <v>45326.862013888887</v>
      </c>
      <c r="B669" s="8" t="s">
        <v>30</v>
      </c>
      <c r="C669">
        <v>-7.2601000000000004</v>
      </c>
      <c r="D669">
        <v>52.512</v>
      </c>
      <c r="E669">
        <v>117</v>
      </c>
      <c r="F669" s="8" t="s">
        <v>17</v>
      </c>
      <c r="G669">
        <v>28</v>
      </c>
      <c r="H669">
        <v>73.900000000000006</v>
      </c>
      <c r="I669" s="8" t="s">
        <v>22</v>
      </c>
      <c r="J669">
        <v>55</v>
      </c>
      <c r="K669">
        <v>156</v>
      </c>
      <c r="L669">
        <v>10</v>
      </c>
      <c r="M669" s="8" t="s">
        <v>23</v>
      </c>
      <c r="N669">
        <v>63.7</v>
      </c>
      <c r="O669">
        <v>277</v>
      </c>
      <c r="P669">
        <v>1</v>
      </c>
      <c r="Q669">
        <v>2</v>
      </c>
      <c r="R669">
        <v>2024</v>
      </c>
      <c r="S669">
        <v>0</v>
      </c>
      <c r="T669" s="8" t="s">
        <v>93</v>
      </c>
      <c r="U669">
        <v>0</v>
      </c>
      <c r="V669">
        <v>2</v>
      </c>
      <c r="W669">
        <v>2</v>
      </c>
      <c r="X669">
        <v>1</v>
      </c>
      <c r="Y669">
        <v>0</v>
      </c>
      <c r="Z669">
        <v>1</v>
      </c>
    </row>
    <row r="670" spans="1:26" x14ac:dyDescent="0.25">
      <c r="A670" s="1">
        <v>45350.759212962963</v>
      </c>
      <c r="B670" s="8" t="s">
        <v>35</v>
      </c>
      <c r="C670">
        <v>-16.857600000000001</v>
      </c>
      <c r="D670">
        <v>-8.0032999999999994</v>
      </c>
      <c r="E670">
        <v>242</v>
      </c>
      <c r="F670" s="8" t="s">
        <v>21</v>
      </c>
      <c r="G670">
        <v>23.7</v>
      </c>
      <c r="H670">
        <v>56</v>
      </c>
      <c r="I670" s="8" t="s">
        <v>18</v>
      </c>
      <c r="J670">
        <v>41</v>
      </c>
      <c r="K670">
        <v>190</v>
      </c>
      <c r="L670">
        <v>5</v>
      </c>
      <c r="M670" s="8" t="s">
        <v>27</v>
      </c>
      <c r="N670">
        <v>61.8</v>
      </c>
      <c r="O670">
        <v>265</v>
      </c>
      <c r="P670">
        <v>0</v>
      </c>
      <c r="Q670">
        <v>2</v>
      </c>
      <c r="R670">
        <v>2024</v>
      </c>
      <c r="S670">
        <v>3</v>
      </c>
      <c r="T670" s="8" t="s">
        <v>93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</row>
    <row r="671" spans="1:26" x14ac:dyDescent="0.25">
      <c r="A671" s="1">
        <v>45409.647962962961</v>
      </c>
      <c r="B671" s="8" t="s">
        <v>32</v>
      </c>
      <c r="C671">
        <v>-42.165199999999999</v>
      </c>
      <c r="D671">
        <v>-40.9587</v>
      </c>
      <c r="E671">
        <v>497</v>
      </c>
      <c r="F671" s="8" t="s">
        <v>26</v>
      </c>
      <c r="G671">
        <v>24.1</v>
      </c>
      <c r="H671">
        <v>77.5</v>
      </c>
      <c r="I671" s="8" t="s">
        <v>28</v>
      </c>
      <c r="J671">
        <v>39</v>
      </c>
      <c r="K671">
        <v>319</v>
      </c>
      <c r="L671">
        <v>10</v>
      </c>
      <c r="M671" s="8" t="s">
        <v>27</v>
      </c>
      <c r="N671">
        <v>60</v>
      </c>
      <c r="O671">
        <v>224</v>
      </c>
      <c r="P671">
        <v>0</v>
      </c>
      <c r="Q671">
        <v>4</v>
      </c>
      <c r="R671">
        <v>2024</v>
      </c>
      <c r="S671">
        <v>6</v>
      </c>
      <c r="T671" s="8" t="s">
        <v>90</v>
      </c>
      <c r="U671">
        <v>1</v>
      </c>
      <c r="V671">
        <v>1</v>
      </c>
      <c r="W671">
        <v>0</v>
      </c>
      <c r="X671">
        <v>0</v>
      </c>
      <c r="Y671">
        <v>1</v>
      </c>
      <c r="Z671">
        <v>0</v>
      </c>
    </row>
    <row r="672" spans="1:26" x14ac:dyDescent="0.25">
      <c r="A672" s="1">
        <v>45592.025682870371</v>
      </c>
      <c r="B672" s="8" t="s">
        <v>24</v>
      </c>
      <c r="C672">
        <v>4.2073</v>
      </c>
      <c r="D672">
        <v>-152.13200000000001</v>
      </c>
      <c r="E672">
        <v>384</v>
      </c>
      <c r="F672" s="8" t="s">
        <v>17</v>
      </c>
      <c r="G672">
        <v>25.6</v>
      </c>
      <c r="H672">
        <v>78.8</v>
      </c>
      <c r="I672" s="8" t="s">
        <v>18</v>
      </c>
      <c r="J672">
        <v>52</v>
      </c>
      <c r="K672">
        <v>161</v>
      </c>
      <c r="L672">
        <v>10</v>
      </c>
      <c r="M672" s="8" t="s">
        <v>31</v>
      </c>
      <c r="N672">
        <v>83.6</v>
      </c>
      <c r="O672">
        <v>161</v>
      </c>
      <c r="P672">
        <v>1</v>
      </c>
      <c r="Q672">
        <v>10</v>
      </c>
      <c r="R672">
        <v>2024</v>
      </c>
      <c r="S672">
        <v>0</v>
      </c>
      <c r="T672" s="8" t="s">
        <v>91</v>
      </c>
      <c r="U672">
        <v>0</v>
      </c>
      <c r="V672">
        <v>2</v>
      </c>
      <c r="W672">
        <v>1</v>
      </c>
      <c r="X672">
        <v>0</v>
      </c>
      <c r="Y672">
        <v>1</v>
      </c>
      <c r="Z672">
        <v>1</v>
      </c>
    </row>
    <row r="673" spans="1:26" x14ac:dyDescent="0.25">
      <c r="A673" s="1">
        <v>45299.391342592593</v>
      </c>
      <c r="B673" s="8" t="s">
        <v>25</v>
      </c>
      <c r="C673">
        <v>7.8030999999999997</v>
      </c>
      <c r="D673">
        <v>43.4739</v>
      </c>
      <c r="E673">
        <v>258</v>
      </c>
      <c r="F673" s="8" t="s">
        <v>26</v>
      </c>
      <c r="G673">
        <v>26.8</v>
      </c>
      <c r="H673">
        <v>60.5</v>
      </c>
      <c r="I673" s="8" t="s">
        <v>28</v>
      </c>
      <c r="J673">
        <v>12</v>
      </c>
      <c r="K673">
        <v>413</v>
      </c>
      <c r="L673">
        <v>8</v>
      </c>
      <c r="M673" s="8" t="s">
        <v>23</v>
      </c>
      <c r="N673">
        <v>86.9</v>
      </c>
      <c r="O673">
        <v>207</v>
      </c>
      <c r="P673">
        <v>0</v>
      </c>
      <c r="Q673">
        <v>1</v>
      </c>
      <c r="R673">
        <v>2024</v>
      </c>
      <c r="S673">
        <v>1</v>
      </c>
      <c r="T673" s="8" t="s">
        <v>93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</row>
    <row r="674" spans="1:26" x14ac:dyDescent="0.25">
      <c r="A674" s="1">
        <v>45383.774733796294</v>
      </c>
      <c r="B674" s="8" t="s">
        <v>29</v>
      </c>
      <c r="C674">
        <v>-6.8792</v>
      </c>
      <c r="D674">
        <v>165.0017</v>
      </c>
      <c r="E674">
        <v>258</v>
      </c>
      <c r="F674" s="8" t="s">
        <v>26</v>
      </c>
      <c r="G674">
        <v>29.4</v>
      </c>
      <c r="H674">
        <v>66.099999999999994</v>
      </c>
      <c r="I674" s="8" t="s">
        <v>22</v>
      </c>
      <c r="J674">
        <v>54</v>
      </c>
      <c r="K674">
        <v>395</v>
      </c>
      <c r="L674">
        <v>2</v>
      </c>
      <c r="M674" s="8" t="s">
        <v>31</v>
      </c>
      <c r="N674">
        <v>71.400000000000006</v>
      </c>
      <c r="O674">
        <v>256</v>
      </c>
      <c r="P674">
        <v>1</v>
      </c>
      <c r="Q674">
        <v>4</v>
      </c>
      <c r="R674">
        <v>2024</v>
      </c>
      <c r="S674">
        <v>1</v>
      </c>
      <c r="T674" s="8" t="s">
        <v>90</v>
      </c>
      <c r="U674">
        <v>0</v>
      </c>
      <c r="V674">
        <v>1</v>
      </c>
      <c r="W674">
        <v>2</v>
      </c>
      <c r="X674">
        <v>1</v>
      </c>
      <c r="Y674">
        <v>0</v>
      </c>
      <c r="Z674">
        <v>1</v>
      </c>
    </row>
    <row r="675" spans="1:26" x14ac:dyDescent="0.25">
      <c r="A675" s="1">
        <v>45356.524629629632</v>
      </c>
      <c r="B675" s="8" t="s">
        <v>16</v>
      </c>
      <c r="C675">
        <v>60.607300000000002</v>
      </c>
      <c r="D675">
        <v>74.362499999999997</v>
      </c>
      <c r="E675">
        <v>291</v>
      </c>
      <c r="F675" s="8" t="s">
        <v>21</v>
      </c>
      <c r="G675">
        <v>26.9</v>
      </c>
      <c r="H675">
        <v>52.3</v>
      </c>
      <c r="I675" s="8" t="s">
        <v>22</v>
      </c>
      <c r="J675">
        <v>34</v>
      </c>
      <c r="K675">
        <v>253</v>
      </c>
      <c r="L675">
        <v>2</v>
      </c>
      <c r="M675" s="8" t="s">
        <v>27</v>
      </c>
      <c r="N675">
        <v>94.9</v>
      </c>
      <c r="O675">
        <v>228</v>
      </c>
      <c r="P675">
        <v>1</v>
      </c>
      <c r="Q675">
        <v>3</v>
      </c>
      <c r="R675">
        <v>2024</v>
      </c>
      <c r="S675">
        <v>2</v>
      </c>
      <c r="T675" s="8" t="s">
        <v>90</v>
      </c>
      <c r="U675">
        <v>0</v>
      </c>
      <c r="V675">
        <v>0</v>
      </c>
      <c r="W675">
        <v>2</v>
      </c>
      <c r="X675">
        <v>1</v>
      </c>
      <c r="Y675">
        <v>0</v>
      </c>
      <c r="Z675">
        <v>0</v>
      </c>
    </row>
    <row r="676" spans="1:26" x14ac:dyDescent="0.25">
      <c r="A676" s="1">
        <v>45526.276562500003</v>
      </c>
      <c r="B676" s="8" t="s">
        <v>25</v>
      </c>
      <c r="C676">
        <v>-87.231700000000004</v>
      </c>
      <c r="D676">
        <v>143.00059999999999</v>
      </c>
      <c r="E676">
        <v>135</v>
      </c>
      <c r="F676" s="8" t="s">
        <v>17</v>
      </c>
      <c r="G676">
        <v>29</v>
      </c>
      <c r="H676">
        <v>62.2</v>
      </c>
      <c r="I676" s="8" t="s">
        <v>22</v>
      </c>
      <c r="J676">
        <v>24</v>
      </c>
      <c r="K676">
        <v>155</v>
      </c>
      <c r="L676">
        <v>3</v>
      </c>
      <c r="M676" s="8" t="s">
        <v>31</v>
      </c>
      <c r="N676">
        <v>69.400000000000006</v>
      </c>
      <c r="O676">
        <v>196</v>
      </c>
      <c r="P676">
        <v>1</v>
      </c>
      <c r="Q676">
        <v>8</v>
      </c>
      <c r="R676">
        <v>2024</v>
      </c>
      <c r="S676">
        <v>4</v>
      </c>
      <c r="T676" s="8" t="s">
        <v>92</v>
      </c>
      <c r="U676">
        <v>0</v>
      </c>
      <c r="V676">
        <v>2</v>
      </c>
      <c r="W676">
        <v>2</v>
      </c>
      <c r="X676">
        <v>1</v>
      </c>
      <c r="Y676">
        <v>0</v>
      </c>
      <c r="Z676">
        <v>0</v>
      </c>
    </row>
    <row r="677" spans="1:26" x14ac:dyDescent="0.25">
      <c r="A677" s="1">
        <v>45311.610358796293</v>
      </c>
      <c r="B677" s="8" t="s">
        <v>24</v>
      </c>
      <c r="C677">
        <v>38.825000000000003</v>
      </c>
      <c r="D677">
        <v>-51.845100000000002</v>
      </c>
      <c r="E677">
        <v>437</v>
      </c>
      <c r="F677" s="8" t="s">
        <v>17</v>
      </c>
      <c r="G677">
        <v>23.3</v>
      </c>
      <c r="H677">
        <v>61.6</v>
      </c>
      <c r="I677" s="8" t="s">
        <v>22</v>
      </c>
      <c r="J677">
        <v>45</v>
      </c>
      <c r="K677">
        <v>177</v>
      </c>
      <c r="L677">
        <v>5</v>
      </c>
      <c r="M677" s="8" t="s">
        <v>31</v>
      </c>
      <c r="N677">
        <v>93.3</v>
      </c>
      <c r="O677">
        <v>106</v>
      </c>
      <c r="P677">
        <v>1</v>
      </c>
      <c r="Q677">
        <v>1</v>
      </c>
      <c r="R677">
        <v>2024</v>
      </c>
      <c r="S677">
        <v>6</v>
      </c>
      <c r="T677" s="8" t="s">
        <v>93</v>
      </c>
      <c r="U677">
        <v>1</v>
      </c>
      <c r="V677">
        <v>2</v>
      </c>
      <c r="W677">
        <v>2</v>
      </c>
      <c r="X677">
        <v>1</v>
      </c>
      <c r="Y677">
        <v>0</v>
      </c>
      <c r="Z677">
        <v>0</v>
      </c>
    </row>
    <row r="678" spans="1:26" x14ac:dyDescent="0.25">
      <c r="A678" s="1">
        <v>45479.753738425927</v>
      </c>
      <c r="B678" s="8" t="s">
        <v>25</v>
      </c>
      <c r="C678">
        <v>-53.525500000000001</v>
      </c>
      <c r="D678">
        <v>-1.9486000000000001</v>
      </c>
      <c r="E678">
        <v>441</v>
      </c>
      <c r="F678" s="8" t="s">
        <v>17</v>
      </c>
      <c r="G678">
        <v>23.1</v>
      </c>
      <c r="H678">
        <v>57.1</v>
      </c>
      <c r="I678" s="8" t="s">
        <v>28</v>
      </c>
      <c r="J678">
        <v>55</v>
      </c>
      <c r="K678">
        <v>490</v>
      </c>
      <c r="L678">
        <v>10</v>
      </c>
      <c r="M678" s="8" t="s">
        <v>23</v>
      </c>
      <c r="N678">
        <v>65.099999999999994</v>
      </c>
      <c r="O678">
        <v>289</v>
      </c>
      <c r="P678">
        <v>1</v>
      </c>
      <c r="Q678">
        <v>7</v>
      </c>
      <c r="R678">
        <v>2024</v>
      </c>
      <c r="S678">
        <v>6</v>
      </c>
      <c r="T678" s="8" t="s">
        <v>92</v>
      </c>
      <c r="U678">
        <v>1</v>
      </c>
      <c r="V678">
        <v>2</v>
      </c>
      <c r="W678">
        <v>0</v>
      </c>
      <c r="X678">
        <v>0</v>
      </c>
      <c r="Y678">
        <v>0</v>
      </c>
      <c r="Z678">
        <v>1</v>
      </c>
    </row>
    <row r="679" spans="1:26" x14ac:dyDescent="0.25">
      <c r="A679" s="1">
        <v>45424.858483796299</v>
      </c>
      <c r="B679" s="8" t="s">
        <v>20</v>
      </c>
      <c r="C679">
        <v>71.118200000000002</v>
      </c>
      <c r="D679">
        <v>-120.1134</v>
      </c>
      <c r="E679">
        <v>268</v>
      </c>
      <c r="F679" s="8" t="s">
        <v>17</v>
      </c>
      <c r="G679">
        <v>20.3</v>
      </c>
      <c r="H679">
        <v>78.099999999999994</v>
      </c>
      <c r="I679" s="8" t="s">
        <v>18</v>
      </c>
      <c r="J679">
        <v>30</v>
      </c>
      <c r="K679">
        <v>102</v>
      </c>
      <c r="L679">
        <v>6</v>
      </c>
      <c r="M679" s="8" t="s">
        <v>23</v>
      </c>
      <c r="N679">
        <v>91.7</v>
      </c>
      <c r="O679">
        <v>132</v>
      </c>
      <c r="P679">
        <v>1</v>
      </c>
      <c r="Q679">
        <v>5</v>
      </c>
      <c r="R679">
        <v>2024</v>
      </c>
      <c r="S679">
        <v>0</v>
      </c>
      <c r="T679" s="8" t="s">
        <v>90</v>
      </c>
      <c r="U679">
        <v>0</v>
      </c>
      <c r="V679">
        <v>2</v>
      </c>
      <c r="W679">
        <v>1</v>
      </c>
      <c r="X679">
        <v>0</v>
      </c>
      <c r="Y679">
        <v>1</v>
      </c>
      <c r="Z679">
        <v>0</v>
      </c>
    </row>
    <row r="680" spans="1:26" x14ac:dyDescent="0.25">
      <c r="A680" s="1">
        <v>45616.644131944442</v>
      </c>
      <c r="B680" s="8" t="s">
        <v>30</v>
      </c>
      <c r="C680">
        <v>-78.490200000000002</v>
      </c>
      <c r="D680">
        <v>-101.32550000000001</v>
      </c>
      <c r="E680">
        <v>142</v>
      </c>
      <c r="F680" s="8" t="s">
        <v>17</v>
      </c>
      <c r="G680">
        <v>24</v>
      </c>
      <c r="H680">
        <v>51.6</v>
      </c>
      <c r="I680" s="8" t="s">
        <v>28</v>
      </c>
      <c r="J680">
        <v>40</v>
      </c>
      <c r="K680">
        <v>160</v>
      </c>
      <c r="L680">
        <v>7</v>
      </c>
      <c r="M680" s="8" t="s">
        <v>19</v>
      </c>
      <c r="N680">
        <v>70</v>
      </c>
      <c r="O680">
        <v>276</v>
      </c>
      <c r="P680">
        <v>1</v>
      </c>
      <c r="Q680">
        <v>11</v>
      </c>
      <c r="R680">
        <v>2024</v>
      </c>
      <c r="S680">
        <v>3</v>
      </c>
      <c r="T680" s="8" t="s">
        <v>91</v>
      </c>
      <c r="U680">
        <v>0</v>
      </c>
      <c r="V680">
        <v>2</v>
      </c>
      <c r="W680">
        <v>0</v>
      </c>
      <c r="X680">
        <v>0</v>
      </c>
      <c r="Y680">
        <v>0</v>
      </c>
      <c r="Z680">
        <v>0</v>
      </c>
    </row>
    <row r="681" spans="1:26" x14ac:dyDescent="0.25">
      <c r="A681" s="1">
        <v>45518.789421296293</v>
      </c>
      <c r="B681" s="8" t="s">
        <v>25</v>
      </c>
      <c r="C681">
        <v>35.093299999999999</v>
      </c>
      <c r="D681">
        <v>-170.9221</v>
      </c>
      <c r="E681">
        <v>264</v>
      </c>
      <c r="F681" s="8" t="s">
        <v>21</v>
      </c>
      <c r="G681">
        <v>25.3</v>
      </c>
      <c r="H681">
        <v>55.2</v>
      </c>
      <c r="I681" s="8" t="s">
        <v>28</v>
      </c>
      <c r="J681">
        <v>51</v>
      </c>
      <c r="K681">
        <v>213</v>
      </c>
      <c r="L681">
        <v>10</v>
      </c>
      <c r="M681" s="8" t="s">
        <v>31</v>
      </c>
      <c r="N681">
        <v>85.5</v>
      </c>
      <c r="O681">
        <v>173</v>
      </c>
      <c r="P681">
        <v>0</v>
      </c>
      <c r="Q681">
        <v>8</v>
      </c>
      <c r="R681">
        <v>2024</v>
      </c>
      <c r="S681">
        <v>3</v>
      </c>
      <c r="T681" s="8" t="s">
        <v>92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 x14ac:dyDescent="0.25">
      <c r="A682" s="1">
        <v>45567.425347222219</v>
      </c>
      <c r="B682" s="8" t="s">
        <v>33</v>
      </c>
      <c r="C682">
        <v>67.029600000000002</v>
      </c>
      <c r="D682">
        <v>-18.707799999999999</v>
      </c>
      <c r="E682">
        <v>426</v>
      </c>
      <c r="F682" s="8" t="s">
        <v>17</v>
      </c>
      <c r="G682">
        <v>25.3</v>
      </c>
      <c r="H682">
        <v>56.8</v>
      </c>
      <c r="I682" s="8" t="s">
        <v>28</v>
      </c>
      <c r="J682">
        <v>15</v>
      </c>
      <c r="K682">
        <v>241</v>
      </c>
      <c r="L682">
        <v>5</v>
      </c>
      <c r="M682" s="8" t="s">
        <v>27</v>
      </c>
      <c r="N682">
        <v>83.5</v>
      </c>
      <c r="O682">
        <v>224</v>
      </c>
      <c r="P682">
        <v>1</v>
      </c>
      <c r="Q682">
        <v>10</v>
      </c>
      <c r="R682">
        <v>2024</v>
      </c>
      <c r="S682">
        <v>3</v>
      </c>
      <c r="T682" s="8" t="s">
        <v>91</v>
      </c>
      <c r="U682">
        <v>0</v>
      </c>
      <c r="V682">
        <v>2</v>
      </c>
      <c r="W682">
        <v>0</v>
      </c>
      <c r="X682">
        <v>0</v>
      </c>
      <c r="Y682">
        <v>0</v>
      </c>
      <c r="Z682">
        <v>0</v>
      </c>
    </row>
    <row r="683" spans="1:26" x14ac:dyDescent="0.25">
      <c r="A683" s="1">
        <v>45386.730613425927</v>
      </c>
      <c r="B683" s="8" t="s">
        <v>32</v>
      </c>
      <c r="C683">
        <v>-29.657299999999999</v>
      </c>
      <c r="D683">
        <v>-37.602899999999998</v>
      </c>
      <c r="E683">
        <v>214</v>
      </c>
      <c r="F683" s="8" t="s">
        <v>17</v>
      </c>
      <c r="G683">
        <v>24.3</v>
      </c>
      <c r="H683">
        <v>56.9</v>
      </c>
      <c r="I683" s="8" t="s">
        <v>28</v>
      </c>
      <c r="J683">
        <v>35</v>
      </c>
      <c r="K683">
        <v>497</v>
      </c>
      <c r="L683">
        <v>6</v>
      </c>
      <c r="M683" s="8" t="s">
        <v>23</v>
      </c>
      <c r="N683">
        <v>70.2</v>
      </c>
      <c r="O683">
        <v>111</v>
      </c>
      <c r="P683">
        <v>1</v>
      </c>
      <c r="Q683">
        <v>4</v>
      </c>
      <c r="R683">
        <v>2024</v>
      </c>
      <c r="S683">
        <v>4</v>
      </c>
      <c r="T683" s="8" t="s">
        <v>90</v>
      </c>
      <c r="U683">
        <v>0</v>
      </c>
      <c r="V683">
        <v>2</v>
      </c>
      <c r="W683">
        <v>0</v>
      </c>
      <c r="X683">
        <v>0</v>
      </c>
      <c r="Y683">
        <v>0</v>
      </c>
      <c r="Z683">
        <v>0</v>
      </c>
    </row>
    <row r="684" spans="1:26" x14ac:dyDescent="0.25">
      <c r="A684" s="1">
        <v>45299.886631944442</v>
      </c>
      <c r="B684" s="8" t="s">
        <v>34</v>
      </c>
      <c r="C684">
        <v>-9.1109000000000009</v>
      </c>
      <c r="D684">
        <v>76.762</v>
      </c>
      <c r="E684">
        <v>123</v>
      </c>
      <c r="F684" s="8" t="s">
        <v>26</v>
      </c>
      <c r="G684">
        <v>19.3</v>
      </c>
      <c r="H684">
        <v>63.4</v>
      </c>
      <c r="I684" s="8" t="s">
        <v>18</v>
      </c>
      <c r="J684">
        <v>35</v>
      </c>
      <c r="K684">
        <v>303</v>
      </c>
      <c r="L684">
        <v>3</v>
      </c>
      <c r="M684" s="8" t="s">
        <v>19</v>
      </c>
      <c r="N684">
        <v>64.900000000000006</v>
      </c>
      <c r="O684">
        <v>240</v>
      </c>
      <c r="P684">
        <v>0</v>
      </c>
      <c r="Q684">
        <v>1</v>
      </c>
      <c r="R684">
        <v>2024</v>
      </c>
      <c r="S684">
        <v>1</v>
      </c>
      <c r="T684" s="8" t="s">
        <v>93</v>
      </c>
      <c r="U684">
        <v>0</v>
      </c>
      <c r="V684">
        <v>1</v>
      </c>
      <c r="W684">
        <v>1</v>
      </c>
      <c r="X684">
        <v>0</v>
      </c>
      <c r="Y684">
        <v>0</v>
      </c>
      <c r="Z684">
        <v>0</v>
      </c>
    </row>
    <row r="685" spans="1:26" x14ac:dyDescent="0.25">
      <c r="A685" s="1">
        <v>45384.947534722225</v>
      </c>
      <c r="B685" s="8" t="s">
        <v>16</v>
      </c>
      <c r="C685">
        <v>50.707599999999999</v>
      </c>
      <c r="D685">
        <v>-21.7653</v>
      </c>
      <c r="E685">
        <v>295</v>
      </c>
      <c r="F685" s="8" t="s">
        <v>21</v>
      </c>
      <c r="G685">
        <v>22.2</v>
      </c>
      <c r="H685">
        <v>64.900000000000006</v>
      </c>
      <c r="I685" s="8" t="s">
        <v>22</v>
      </c>
      <c r="J685">
        <v>19</v>
      </c>
      <c r="K685">
        <v>385</v>
      </c>
      <c r="L685">
        <v>9</v>
      </c>
      <c r="M685" s="8" t="s">
        <v>23</v>
      </c>
      <c r="N685">
        <v>77.099999999999994</v>
      </c>
      <c r="O685">
        <v>235</v>
      </c>
      <c r="P685">
        <v>1</v>
      </c>
      <c r="Q685">
        <v>4</v>
      </c>
      <c r="R685">
        <v>2024</v>
      </c>
      <c r="S685">
        <v>2</v>
      </c>
      <c r="T685" s="8" t="s">
        <v>90</v>
      </c>
      <c r="U685">
        <v>0</v>
      </c>
      <c r="V685">
        <v>0</v>
      </c>
      <c r="W685">
        <v>2</v>
      </c>
      <c r="X685">
        <v>1</v>
      </c>
      <c r="Y685">
        <v>0</v>
      </c>
      <c r="Z685">
        <v>0</v>
      </c>
    </row>
    <row r="686" spans="1:26" x14ac:dyDescent="0.25">
      <c r="A686" s="1">
        <v>45391.925162037034</v>
      </c>
      <c r="B686" s="8" t="s">
        <v>34</v>
      </c>
      <c r="C686">
        <v>48.351999999999997</v>
      </c>
      <c r="D686">
        <v>-54.56</v>
      </c>
      <c r="E686">
        <v>378</v>
      </c>
      <c r="F686" s="8" t="s">
        <v>21</v>
      </c>
      <c r="G686">
        <v>23.3</v>
      </c>
      <c r="H686">
        <v>78.7</v>
      </c>
      <c r="I686" s="8" t="s">
        <v>28</v>
      </c>
      <c r="J686">
        <v>17</v>
      </c>
      <c r="K686">
        <v>364</v>
      </c>
      <c r="L686">
        <v>8</v>
      </c>
      <c r="M686" s="8" t="s">
        <v>31</v>
      </c>
      <c r="N686">
        <v>96.1</v>
      </c>
      <c r="O686">
        <v>230</v>
      </c>
      <c r="P686">
        <v>0</v>
      </c>
      <c r="Q686">
        <v>4</v>
      </c>
      <c r="R686">
        <v>2024</v>
      </c>
      <c r="S686">
        <v>2</v>
      </c>
      <c r="T686" s="8" t="s">
        <v>90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</row>
    <row r="687" spans="1:26" x14ac:dyDescent="0.25">
      <c r="A687" s="1">
        <v>45481.459293981483</v>
      </c>
      <c r="B687" s="8" t="s">
        <v>29</v>
      </c>
      <c r="C687">
        <v>-39.786700000000003</v>
      </c>
      <c r="D687">
        <v>81.563599999999994</v>
      </c>
      <c r="E687">
        <v>209</v>
      </c>
      <c r="F687" s="8" t="s">
        <v>17</v>
      </c>
      <c r="G687">
        <v>19.3</v>
      </c>
      <c r="H687">
        <v>51</v>
      </c>
      <c r="I687" s="8" t="s">
        <v>18</v>
      </c>
      <c r="J687">
        <v>18</v>
      </c>
      <c r="K687">
        <v>443</v>
      </c>
      <c r="L687">
        <v>2</v>
      </c>
      <c r="M687" s="8" t="s">
        <v>31</v>
      </c>
      <c r="N687">
        <v>91.5</v>
      </c>
      <c r="O687">
        <v>213</v>
      </c>
      <c r="P687">
        <v>1</v>
      </c>
      <c r="Q687">
        <v>7</v>
      </c>
      <c r="R687">
        <v>2024</v>
      </c>
      <c r="S687">
        <v>1</v>
      </c>
      <c r="T687" s="8" t="s">
        <v>92</v>
      </c>
      <c r="U687">
        <v>0</v>
      </c>
      <c r="V687">
        <v>2</v>
      </c>
      <c r="W687">
        <v>1</v>
      </c>
      <c r="X687">
        <v>0</v>
      </c>
      <c r="Y687">
        <v>0</v>
      </c>
      <c r="Z687">
        <v>0</v>
      </c>
    </row>
    <row r="688" spans="1:26" x14ac:dyDescent="0.25">
      <c r="A688" s="1">
        <v>45372.451863425929</v>
      </c>
      <c r="B688" s="8" t="s">
        <v>20</v>
      </c>
      <c r="C688">
        <v>36.543599999999998</v>
      </c>
      <c r="D688">
        <v>71.759699999999995</v>
      </c>
      <c r="E688">
        <v>325</v>
      </c>
      <c r="F688" s="8" t="s">
        <v>17</v>
      </c>
      <c r="G688">
        <v>28.8</v>
      </c>
      <c r="H688">
        <v>55</v>
      </c>
      <c r="I688" s="8" t="s">
        <v>28</v>
      </c>
      <c r="J688">
        <v>56</v>
      </c>
      <c r="K688">
        <v>316</v>
      </c>
      <c r="L688">
        <v>4</v>
      </c>
      <c r="M688" s="8" t="s">
        <v>23</v>
      </c>
      <c r="N688">
        <v>77.8</v>
      </c>
      <c r="O688">
        <v>300</v>
      </c>
      <c r="P688">
        <v>1</v>
      </c>
      <c r="Q688">
        <v>3</v>
      </c>
      <c r="R688">
        <v>2024</v>
      </c>
      <c r="S688">
        <v>4</v>
      </c>
      <c r="T688" s="8" t="s">
        <v>90</v>
      </c>
      <c r="U688">
        <v>0</v>
      </c>
      <c r="V688">
        <v>2</v>
      </c>
      <c r="W688">
        <v>0</v>
      </c>
      <c r="X688">
        <v>0</v>
      </c>
      <c r="Y688">
        <v>0</v>
      </c>
      <c r="Z688">
        <v>1</v>
      </c>
    </row>
    <row r="689" spans="1:26" x14ac:dyDescent="0.25">
      <c r="A689" s="1">
        <v>45618.9296412037</v>
      </c>
      <c r="B689" s="8" t="s">
        <v>20</v>
      </c>
      <c r="C689">
        <v>32.866300000000003</v>
      </c>
      <c r="D689">
        <v>-79.992000000000004</v>
      </c>
      <c r="E689">
        <v>362</v>
      </c>
      <c r="F689" s="8" t="s">
        <v>17</v>
      </c>
      <c r="G689">
        <v>21.7</v>
      </c>
      <c r="H689">
        <v>54.6</v>
      </c>
      <c r="I689" s="8" t="s">
        <v>22</v>
      </c>
      <c r="J689">
        <v>22</v>
      </c>
      <c r="K689">
        <v>441</v>
      </c>
      <c r="L689">
        <v>3</v>
      </c>
      <c r="M689" s="8" t="s">
        <v>19</v>
      </c>
      <c r="N689">
        <v>74.599999999999994</v>
      </c>
      <c r="O689">
        <v>194</v>
      </c>
      <c r="P689">
        <v>1</v>
      </c>
      <c r="Q689">
        <v>11</v>
      </c>
      <c r="R689">
        <v>2024</v>
      </c>
      <c r="S689">
        <v>5</v>
      </c>
      <c r="T689" s="8" t="s">
        <v>91</v>
      </c>
      <c r="U689">
        <v>1</v>
      </c>
      <c r="V689">
        <v>2</v>
      </c>
      <c r="W689">
        <v>2</v>
      </c>
      <c r="X689">
        <v>1</v>
      </c>
      <c r="Y689">
        <v>0</v>
      </c>
      <c r="Z689">
        <v>0</v>
      </c>
    </row>
    <row r="690" spans="1:26" x14ac:dyDescent="0.25">
      <c r="A690" s="1">
        <v>45406.00613425926</v>
      </c>
      <c r="B690" s="8" t="s">
        <v>29</v>
      </c>
      <c r="C690">
        <v>-0.1019</v>
      </c>
      <c r="D690">
        <v>99.806899999999999</v>
      </c>
      <c r="E690">
        <v>451</v>
      </c>
      <c r="F690" s="8" t="s">
        <v>26</v>
      </c>
      <c r="G690">
        <v>27.5</v>
      </c>
      <c r="H690">
        <v>56.7</v>
      </c>
      <c r="I690" s="8" t="s">
        <v>28</v>
      </c>
      <c r="J690">
        <v>23</v>
      </c>
      <c r="K690">
        <v>446</v>
      </c>
      <c r="L690">
        <v>6</v>
      </c>
      <c r="M690" s="8" t="s">
        <v>27</v>
      </c>
      <c r="N690">
        <v>62.1</v>
      </c>
      <c r="O690">
        <v>203</v>
      </c>
      <c r="P690">
        <v>0</v>
      </c>
      <c r="Q690">
        <v>4</v>
      </c>
      <c r="R690">
        <v>2024</v>
      </c>
      <c r="S690">
        <v>3</v>
      </c>
      <c r="T690" s="8" t="s">
        <v>90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</row>
    <row r="691" spans="1:26" x14ac:dyDescent="0.25">
      <c r="A691" s="1">
        <v>45448.368784722225</v>
      </c>
      <c r="B691" s="8" t="s">
        <v>25</v>
      </c>
      <c r="C691">
        <v>-56.823099999999997</v>
      </c>
      <c r="D691">
        <v>71.584100000000007</v>
      </c>
      <c r="E691">
        <v>201</v>
      </c>
      <c r="F691" s="8" t="s">
        <v>21</v>
      </c>
      <c r="G691">
        <v>27.5</v>
      </c>
      <c r="H691">
        <v>53.1</v>
      </c>
      <c r="I691" s="8" t="s">
        <v>28</v>
      </c>
      <c r="J691">
        <v>10</v>
      </c>
      <c r="K691">
        <v>169</v>
      </c>
      <c r="L691">
        <v>3</v>
      </c>
      <c r="M691" s="8" t="s">
        <v>19</v>
      </c>
      <c r="N691">
        <v>65.099999999999994</v>
      </c>
      <c r="O691">
        <v>242</v>
      </c>
      <c r="P691">
        <v>0</v>
      </c>
      <c r="Q691">
        <v>6</v>
      </c>
      <c r="R691">
        <v>2024</v>
      </c>
      <c r="S691">
        <v>3</v>
      </c>
      <c r="T691" s="8" t="s">
        <v>92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25">
      <c r="A692" s="1">
        <v>45352.423796296294</v>
      </c>
      <c r="B692" s="8" t="s">
        <v>33</v>
      </c>
      <c r="C692">
        <v>-61.966799999999999</v>
      </c>
      <c r="D692">
        <v>113.8899</v>
      </c>
      <c r="E692">
        <v>442</v>
      </c>
      <c r="F692" s="8" t="s">
        <v>17</v>
      </c>
      <c r="G692">
        <v>23.6</v>
      </c>
      <c r="H692">
        <v>58.1</v>
      </c>
      <c r="I692" s="8" t="s">
        <v>28</v>
      </c>
      <c r="J692">
        <v>47</v>
      </c>
      <c r="K692">
        <v>165</v>
      </c>
      <c r="L692">
        <v>1</v>
      </c>
      <c r="M692" s="8" t="s">
        <v>27</v>
      </c>
      <c r="N692">
        <v>93.3</v>
      </c>
      <c r="O692">
        <v>191</v>
      </c>
      <c r="P692">
        <v>1</v>
      </c>
      <c r="Q692">
        <v>3</v>
      </c>
      <c r="R692">
        <v>2024</v>
      </c>
      <c r="S692">
        <v>5</v>
      </c>
      <c r="T692" s="8" t="s">
        <v>90</v>
      </c>
      <c r="U692">
        <v>1</v>
      </c>
      <c r="V692">
        <v>2</v>
      </c>
      <c r="W692">
        <v>0</v>
      </c>
      <c r="X692">
        <v>0</v>
      </c>
      <c r="Y692">
        <v>0</v>
      </c>
      <c r="Z692">
        <v>1</v>
      </c>
    </row>
    <row r="693" spans="1:26" x14ac:dyDescent="0.25">
      <c r="A693" s="1">
        <v>45479.881562499999</v>
      </c>
      <c r="B693" s="8" t="s">
        <v>35</v>
      </c>
      <c r="C693">
        <v>-63.8035</v>
      </c>
      <c r="D693">
        <v>61.457099999999997</v>
      </c>
      <c r="E693">
        <v>274</v>
      </c>
      <c r="F693" s="8" t="s">
        <v>21</v>
      </c>
      <c r="G693">
        <v>19.3</v>
      </c>
      <c r="H693">
        <v>70.3</v>
      </c>
      <c r="I693" s="8" t="s">
        <v>18</v>
      </c>
      <c r="J693">
        <v>26</v>
      </c>
      <c r="K693">
        <v>404</v>
      </c>
      <c r="L693">
        <v>7</v>
      </c>
      <c r="M693" s="8" t="s">
        <v>23</v>
      </c>
      <c r="N693">
        <v>81</v>
      </c>
      <c r="O693">
        <v>141</v>
      </c>
      <c r="P693">
        <v>0</v>
      </c>
      <c r="Q693">
        <v>7</v>
      </c>
      <c r="R693">
        <v>2024</v>
      </c>
      <c r="S693">
        <v>6</v>
      </c>
      <c r="T693" s="8" t="s">
        <v>92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</row>
    <row r="694" spans="1:26" x14ac:dyDescent="0.25">
      <c r="A694" s="1">
        <v>45624.67082175926</v>
      </c>
      <c r="B694" s="8" t="s">
        <v>34</v>
      </c>
      <c r="C694">
        <v>-31.727499999999999</v>
      </c>
      <c r="D694">
        <v>-28.567599999999999</v>
      </c>
      <c r="E694">
        <v>180</v>
      </c>
      <c r="F694" s="8" t="s">
        <v>21</v>
      </c>
      <c r="G694">
        <v>24.9</v>
      </c>
      <c r="H694">
        <v>68.900000000000006</v>
      </c>
      <c r="I694" s="8" t="s">
        <v>28</v>
      </c>
      <c r="J694">
        <v>14</v>
      </c>
      <c r="K694">
        <v>189</v>
      </c>
      <c r="L694">
        <v>3</v>
      </c>
      <c r="M694" s="8" t="s">
        <v>27</v>
      </c>
      <c r="N694">
        <v>89.4</v>
      </c>
      <c r="O694">
        <v>275</v>
      </c>
      <c r="P694">
        <v>0</v>
      </c>
      <c r="Q694">
        <v>11</v>
      </c>
      <c r="R694">
        <v>2024</v>
      </c>
      <c r="S694">
        <v>4</v>
      </c>
      <c r="T694" s="8" t="s">
        <v>91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25">
      <c r="A695" s="1">
        <v>45374.890636574077</v>
      </c>
      <c r="B695" s="8" t="s">
        <v>35</v>
      </c>
      <c r="C695">
        <v>69.995900000000006</v>
      </c>
      <c r="D695">
        <v>-10.5335</v>
      </c>
      <c r="E695">
        <v>213</v>
      </c>
      <c r="F695" s="8" t="s">
        <v>17</v>
      </c>
      <c r="G695">
        <v>22.8</v>
      </c>
      <c r="H695">
        <v>65</v>
      </c>
      <c r="I695" s="8" t="s">
        <v>18</v>
      </c>
      <c r="J695">
        <v>51</v>
      </c>
      <c r="K695">
        <v>361</v>
      </c>
      <c r="L695">
        <v>6</v>
      </c>
      <c r="M695" s="8" t="s">
        <v>19</v>
      </c>
      <c r="N695">
        <v>74.5</v>
      </c>
      <c r="O695">
        <v>274</v>
      </c>
      <c r="P695">
        <v>1</v>
      </c>
      <c r="Q695">
        <v>3</v>
      </c>
      <c r="R695">
        <v>2024</v>
      </c>
      <c r="S695">
        <v>6</v>
      </c>
      <c r="T695" s="8" t="s">
        <v>90</v>
      </c>
      <c r="U695">
        <v>1</v>
      </c>
      <c r="V695">
        <v>2</v>
      </c>
      <c r="W695">
        <v>1</v>
      </c>
      <c r="X695">
        <v>0</v>
      </c>
      <c r="Y695">
        <v>0</v>
      </c>
      <c r="Z695">
        <v>1</v>
      </c>
    </row>
    <row r="696" spans="1:26" x14ac:dyDescent="0.25">
      <c r="A696" s="1">
        <v>45406.238946759258</v>
      </c>
      <c r="B696" s="8" t="s">
        <v>24</v>
      </c>
      <c r="C696">
        <v>-63.172199999999997</v>
      </c>
      <c r="D696">
        <v>145.37559999999999</v>
      </c>
      <c r="E696">
        <v>353</v>
      </c>
      <c r="F696" s="8" t="s">
        <v>21</v>
      </c>
      <c r="G696">
        <v>22</v>
      </c>
      <c r="H696">
        <v>66.8</v>
      </c>
      <c r="I696" s="8" t="s">
        <v>22</v>
      </c>
      <c r="J696">
        <v>27</v>
      </c>
      <c r="K696">
        <v>327</v>
      </c>
      <c r="L696">
        <v>9</v>
      </c>
      <c r="M696" s="8" t="s">
        <v>27</v>
      </c>
      <c r="N696">
        <v>71.2</v>
      </c>
      <c r="O696">
        <v>146</v>
      </c>
      <c r="P696">
        <v>1</v>
      </c>
      <c r="Q696">
        <v>4</v>
      </c>
      <c r="R696">
        <v>2024</v>
      </c>
      <c r="S696">
        <v>3</v>
      </c>
      <c r="T696" s="8" t="s">
        <v>90</v>
      </c>
      <c r="U696">
        <v>0</v>
      </c>
      <c r="V696">
        <v>0</v>
      </c>
      <c r="W696">
        <v>2</v>
      </c>
      <c r="X696">
        <v>1</v>
      </c>
      <c r="Y696">
        <v>0</v>
      </c>
      <c r="Z696">
        <v>0</v>
      </c>
    </row>
    <row r="697" spans="1:26" x14ac:dyDescent="0.25">
      <c r="A697" s="1">
        <v>45454.199386574073</v>
      </c>
      <c r="B697" s="8" t="s">
        <v>32</v>
      </c>
      <c r="C697">
        <v>35.7913</v>
      </c>
      <c r="D697">
        <v>6.3765000000000001</v>
      </c>
      <c r="E697">
        <v>495</v>
      </c>
      <c r="F697" s="8" t="s">
        <v>26</v>
      </c>
      <c r="G697">
        <v>20.6</v>
      </c>
      <c r="H697">
        <v>71.5</v>
      </c>
      <c r="I697" s="8" t="s">
        <v>22</v>
      </c>
      <c r="J697">
        <v>32</v>
      </c>
      <c r="K697">
        <v>166</v>
      </c>
      <c r="L697">
        <v>2</v>
      </c>
      <c r="M697" s="8" t="s">
        <v>23</v>
      </c>
      <c r="N697">
        <v>62.5</v>
      </c>
      <c r="O697">
        <v>282</v>
      </c>
      <c r="P697">
        <v>1</v>
      </c>
      <c r="Q697">
        <v>6</v>
      </c>
      <c r="R697">
        <v>2024</v>
      </c>
      <c r="S697">
        <v>2</v>
      </c>
      <c r="T697" s="8" t="s">
        <v>92</v>
      </c>
      <c r="U697">
        <v>0</v>
      </c>
      <c r="V697">
        <v>1</v>
      </c>
      <c r="W697">
        <v>2</v>
      </c>
      <c r="X697">
        <v>1</v>
      </c>
      <c r="Y697">
        <v>0</v>
      </c>
      <c r="Z697">
        <v>0</v>
      </c>
    </row>
    <row r="698" spans="1:26" x14ac:dyDescent="0.25">
      <c r="A698" s="1">
        <v>45516.037592592591</v>
      </c>
      <c r="B698" s="8" t="s">
        <v>35</v>
      </c>
      <c r="C698">
        <v>-58.853099999999998</v>
      </c>
      <c r="D698">
        <v>45.049799999999998</v>
      </c>
      <c r="E698">
        <v>162</v>
      </c>
      <c r="F698" s="8" t="s">
        <v>17</v>
      </c>
      <c r="G698">
        <v>21.3</v>
      </c>
      <c r="H698">
        <v>76.8</v>
      </c>
      <c r="I698" s="8" t="s">
        <v>18</v>
      </c>
      <c r="J698">
        <v>53</v>
      </c>
      <c r="K698">
        <v>164</v>
      </c>
      <c r="L698">
        <v>3</v>
      </c>
      <c r="M698" s="8" t="s">
        <v>19</v>
      </c>
      <c r="N698">
        <v>61.6</v>
      </c>
      <c r="O698">
        <v>104</v>
      </c>
      <c r="P698">
        <v>1</v>
      </c>
      <c r="Q698">
        <v>8</v>
      </c>
      <c r="R698">
        <v>2024</v>
      </c>
      <c r="S698">
        <v>1</v>
      </c>
      <c r="T698" s="8" t="s">
        <v>92</v>
      </c>
      <c r="U698">
        <v>0</v>
      </c>
      <c r="V698">
        <v>2</v>
      </c>
      <c r="W698">
        <v>1</v>
      </c>
      <c r="X698">
        <v>0</v>
      </c>
      <c r="Y698">
        <v>1</v>
      </c>
      <c r="Z698">
        <v>1</v>
      </c>
    </row>
    <row r="699" spans="1:26" x14ac:dyDescent="0.25">
      <c r="A699" s="1">
        <v>45443.128842592596</v>
      </c>
      <c r="B699" s="8" t="s">
        <v>33</v>
      </c>
      <c r="C699">
        <v>49.400700000000001</v>
      </c>
      <c r="D699">
        <v>-106.15309999999999</v>
      </c>
      <c r="E699">
        <v>252</v>
      </c>
      <c r="F699" s="8" t="s">
        <v>17</v>
      </c>
      <c r="G699">
        <v>28</v>
      </c>
      <c r="H699">
        <v>66.5</v>
      </c>
      <c r="I699" s="8" t="s">
        <v>18</v>
      </c>
      <c r="J699">
        <v>44</v>
      </c>
      <c r="K699">
        <v>298</v>
      </c>
      <c r="L699">
        <v>6</v>
      </c>
      <c r="M699" s="8" t="s">
        <v>27</v>
      </c>
      <c r="N699">
        <v>72.8</v>
      </c>
      <c r="O699">
        <v>150</v>
      </c>
      <c r="P699">
        <v>1</v>
      </c>
      <c r="Q699">
        <v>5</v>
      </c>
      <c r="R699">
        <v>2024</v>
      </c>
      <c r="S699">
        <v>5</v>
      </c>
      <c r="T699" s="8" t="s">
        <v>90</v>
      </c>
      <c r="U699">
        <v>1</v>
      </c>
      <c r="V699">
        <v>2</v>
      </c>
      <c r="W699">
        <v>1</v>
      </c>
      <c r="X699">
        <v>0</v>
      </c>
      <c r="Y699">
        <v>0</v>
      </c>
      <c r="Z699">
        <v>0</v>
      </c>
    </row>
    <row r="700" spans="1:26" x14ac:dyDescent="0.25">
      <c r="A700" s="1">
        <v>45387.435104166667</v>
      </c>
      <c r="B700" s="8" t="s">
        <v>30</v>
      </c>
      <c r="C700">
        <v>8.4222000000000001</v>
      </c>
      <c r="D700">
        <v>-69.752200000000002</v>
      </c>
      <c r="E700">
        <v>361</v>
      </c>
      <c r="F700" s="8" t="s">
        <v>26</v>
      </c>
      <c r="G700">
        <v>19.5</v>
      </c>
      <c r="H700">
        <v>78.599999999999994</v>
      </c>
      <c r="I700" s="8" t="s">
        <v>28</v>
      </c>
      <c r="J700">
        <v>21</v>
      </c>
      <c r="K700">
        <v>358</v>
      </c>
      <c r="L700">
        <v>9</v>
      </c>
      <c r="M700" s="8" t="s">
        <v>23</v>
      </c>
      <c r="N700">
        <v>93</v>
      </c>
      <c r="O700">
        <v>235</v>
      </c>
      <c r="P700">
        <v>0</v>
      </c>
      <c r="Q700">
        <v>4</v>
      </c>
      <c r="R700">
        <v>2024</v>
      </c>
      <c r="S700">
        <v>5</v>
      </c>
      <c r="T700" s="8" t="s">
        <v>90</v>
      </c>
      <c r="U700">
        <v>1</v>
      </c>
      <c r="V700">
        <v>1</v>
      </c>
      <c r="W700">
        <v>0</v>
      </c>
      <c r="X700">
        <v>0</v>
      </c>
      <c r="Y700">
        <v>1</v>
      </c>
      <c r="Z700">
        <v>0</v>
      </c>
    </row>
    <row r="701" spans="1:26" x14ac:dyDescent="0.25">
      <c r="A701" s="1">
        <v>45638.681296296294</v>
      </c>
      <c r="B701" s="8" t="s">
        <v>20</v>
      </c>
      <c r="C701">
        <v>-6.5166000000000004</v>
      </c>
      <c r="D701">
        <v>-143.38220000000001</v>
      </c>
      <c r="E701">
        <v>115</v>
      </c>
      <c r="F701" s="8" t="s">
        <v>26</v>
      </c>
      <c r="G701">
        <v>29.3</v>
      </c>
      <c r="H701">
        <v>65.099999999999994</v>
      </c>
      <c r="I701" s="8" t="s">
        <v>22</v>
      </c>
      <c r="J701">
        <v>32</v>
      </c>
      <c r="K701">
        <v>445</v>
      </c>
      <c r="L701">
        <v>1</v>
      </c>
      <c r="M701" s="8" t="s">
        <v>23</v>
      </c>
      <c r="N701">
        <v>79.400000000000006</v>
      </c>
      <c r="O701">
        <v>123</v>
      </c>
      <c r="P701">
        <v>1</v>
      </c>
      <c r="Q701">
        <v>12</v>
      </c>
      <c r="R701">
        <v>2024</v>
      </c>
      <c r="S701">
        <v>4</v>
      </c>
      <c r="T701" s="8" t="s">
        <v>93</v>
      </c>
      <c r="U701">
        <v>0</v>
      </c>
      <c r="V701">
        <v>1</v>
      </c>
      <c r="W701">
        <v>2</v>
      </c>
      <c r="X701">
        <v>1</v>
      </c>
      <c r="Y701">
        <v>0</v>
      </c>
      <c r="Z701">
        <v>0</v>
      </c>
    </row>
    <row r="702" spans="1:26" x14ac:dyDescent="0.25">
      <c r="A702" s="1">
        <v>45333.345902777779</v>
      </c>
      <c r="B702" s="8" t="s">
        <v>33</v>
      </c>
      <c r="C702">
        <v>-43.179699999999997</v>
      </c>
      <c r="D702">
        <v>-64.476900000000001</v>
      </c>
      <c r="E702">
        <v>172</v>
      </c>
      <c r="F702" s="8" t="s">
        <v>26</v>
      </c>
      <c r="G702">
        <v>22.5</v>
      </c>
      <c r="H702">
        <v>69.7</v>
      </c>
      <c r="I702" s="8" t="s">
        <v>22</v>
      </c>
      <c r="J702">
        <v>55</v>
      </c>
      <c r="K702">
        <v>216</v>
      </c>
      <c r="L702">
        <v>9</v>
      </c>
      <c r="M702" s="8" t="s">
        <v>23</v>
      </c>
      <c r="N702">
        <v>72.099999999999994</v>
      </c>
      <c r="O702">
        <v>106</v>
      </c>
      <c r="P702">
        <v>1</v>
      </c>
      <c r="Q702">
        <v>2</v>
      </c>
      <c r="R702">
        <v>2024</v>
      </c>
      <c r="S702">
        <v>0</v>
      </c>
      <c r="T702" s="8" t="s">
        <v>93</v>
      </c>
      <c r="U702">
        <v>0</v>
      </c>
      <c r="V702">
        <v>1</v>
      </c>
      <c r="W702">
        <v>2</v>
      </c>
      <c r="X702">
        <v>1</v>
      </c>
      <c r="Y702">
        <v>0</v>
      </c>
      <c r="Z702">
        <v>1</v>
      </c>
    </row>
    <row r="703" spans="1:26" x14ac:dyDescent="0.25">
      <c r="A703" s="1">
        <v>45576.641516203701</v>
      </c>
      <c r="B703" s="8" t="s">
        <v>32</v>
      </c>
      <c r="C703">
        <v>45.046999999999997</v>
      </c>
      <c r="D703">
        <v>69.701400000000007</v>
      </c>
      <c r="E703">
        <v>403</v>
      </c>
      <c r="F703" s="8" t="s">
        <v>21</v>
      </c>
      <c r="G703">
        <v>28.2</v>
      </c>
      <c r="H703">
        <v>76.099999999999994</v>
      </c>
      <c r="I703" s="8" t="s">
        <v>22</v>
      </c>
      <c r="J703">
        <v>51</v>
      </c>
      <c r="K703">
        <v>457</v>
      </c>
      <c r="L703">
        <v>7</v>
      </c>
      <c r="M703" s="8" t="s">
        <v>27</v>
      </c>
      <c r="N703">
        <v>73.900000000000006</v>
      </c>
      <c r="O703">
        <v>229</v>
      </c>
      <c r="P703">
        <v>1</v>
      </c>
      <c r="Q703">
        <v>10</v>
      </c>
      <c r="R703">
        <v>2024</v>
      </c>
      <c r="S703">
        <v>5</v>
      </c>
      <c r="T703" s="8" t="s">
        <v>91</v>
      </c>
      <c r="U703">
        <v>1</v>
      </c>
      <c r="V703">
        <v>0</v>
      </c>
      <c r="W703">
        <v>2</v>
      </c>
      <c r="X703">
        <v>1</v>
      </c>
      <c r="Y703">
        <v>1</v>
      </c>
      <c r="Z703">
        <v>1</v>
      </c>
    </row>
    <row r="704" spans="1:26" x14ac:dyDescent="0.25">
      <c r="A704" s="1">
        <v>45470.685648148145</v>
      </c>
      <c r="B704" s="8" t="s">
        <v>30</v>
      </c>
      <c r="C704">
        <v>-15.8011</v>
      </c>
      <c r="D704">
        <v>138.77850000000001</v>
      </c>
      <c r="E704">
        <v>426</v>
      </c>
      <c r="F704" s="8" t="s">
        <v>21</v>
      </c>
      <c r="G704">
        <v>22</v>
      </c>
      <c r="H704">
        <v>73.099999999999994</v>
      </c>
      <c r="I704" s="8" t="s">
        <v>28</v>
      </c>
      <c r="J704">
        <v>29</v>
      </c>
      <c r="K704">
        <v>392</v>
      </c>
      <c r="L704">
        <v>5</v>
      </c>
      <c r="M704" s="8" t="s">
        <v>19</v>
      </c>
      <c r="N704">
        <v>94.6</v>
      </c>
      <c r="O704">
        <v>236</v>
      </c>
      <c r="P704">
        <v>0</v>
      </c>
      <c r="Q704">
        <v>6</v>
      </c>
      <c r="R704">
        <v>2024</v>
      </c>
      <c r="S704">
        <v>4</v>
      </c>
      <c r="T704" s="8" t="s">
        <v>92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25">
      <c r="A705" s="1">
        <v>45545.824594907404</v>
      </c>
      <c r="B705" s="8" t="s">
        <v>16</v>
      </c>
      <c r="C705">
        <v>-30.856400000000001</v>
      </c>
      <c r="D705">
        <v>26.7562</v>
      </c>
      <c r="E705">
        <v>368</v>
      </c>
      <c r="F705" s="8" t="s">
        <v>17</v>
      </c>
      <c r="G705">
        <v>26.6</v>
      </c>
      <c r="H705">
        <v>74.900000000000006</v>
      </c>
      <c r="I705" s="8" t="s">
        <v>18</v>
      </c>
      <c r="J705">
        <v>28</v>
      </c>
      <c r="K705">
        <v>341</v>
      </c>
      <c r="L705">
        <v>6</v>
      </c>
      <c r="M705" s="8" t="s">
        <v>19</v>
      </c>
      <c r="N705">
        <v>97.1</v>
      </c>
      <c r="O705">
        <v>217</v>
      </c>
      <c r="P705">
        <v>1</v>
      </c>
      <c r="Q705">
        <v>9</v>
      </c>
      <c r="R705">
        <v>2024</v>
      </c>
      <c r="S705">
        <v>2</v>
      </c>
      <c r="T705" s="8" t="s">
        <v>91</v>
      </c>
      <c r="U705">
        <v>0</v>
      </c>
      <c r="V705">
        <v>2</v>
      </c>
      <c r="W705">
        <v>1</v>
      </c>
      <c r="X705">
        <v>0</v>
      </c>
      <c r="Y705">
        <v>0</v>
      </c>
      <c r="Z705">
        <v>0</v>
      </c>
    </row>
    <row r="706" spans="1:26" x14ac:dyDescent="0.25">
      <c r="A706" s="1">
        <v>45475.546423611115</v>
      </c>
      <c r="B706" s="8" t="s">
        <v>25</v>
      </c>
      <c r="C706">
        <v>16.029599999999999</v>
      </c>
      <c r="D706">
        <v>-36.334899999999998</v>
      </c>
      <c r="E706">
        <v>173</v>
      </c>
      <c r="F706" s="8" t="s">
        <v>17</v>
      </c>
      <c r="G706">
        <v>24.9</v>
      </c>
      <c r="H706">
        <v>58.1</v>
      </c>
      <c r="I706" s="8" t="s">
        <v>28</v>
      </c>
      <c r="J706">
        <v>34</v>
      </c>
      <c r="K706">
        <v>287</v>
      </c>
      <c r="L706">
        <v>9</v>
      </c>
      <c r="M706" s="8" t="s">
        <v>31</v>
      </c>
      <c r="N706">
        <v>96.8</v>
      </c>
      <c r="O706">
        <v>131</v>
      </c>
      <c r="P706">
        <v>1</v>
      </c>
      <c r="Q706">
        <v>7</v>
      </c>
      <c r="R706">
        <v>2024</v>
      </c>
      <c r="S706">
        <v>2</v>
      </c>
      <c r="T706" s="8" t="s">
        <v>92</v>
      </c>
      <c r="U706">
        <v>0</v>
      </c>
      <c r="V706">
        <v>2</v>
      </c>
      <c r="W706">
        <v>0</v>
      </c>
      <c r="X706">
        <v>0</v>
      </c>
      <c r="Y706">
        <v>0</v>
      </c>
      <c r="Z706">
        <v>0</v>
      </c>
    </row>
    <row r="707" spans="1:26" x14ac:dyDescent="0.25">
      <c r="A707" s="1">
        <v>45535.846493055556</v>
      </c>
      <c r="B707" s="8" t="s">
        <v>25</v>
      </c>
      <c r="C707">
        <v>81.396199999999993</v>
      </c>
      <c r="D707">
        <v>-79.619299999999996</v>
      </c>
      <c r="E707">
        <v>371</v>
      </c>
      <c r="F707" s="8" t="s">
        <v>21</v>
      </c>
      <c r="G707">
        <v>22.9</v>
      </c>
      <c r="H707">
        <v>67.2</v>
      </c>
      <c r="I707" s="8" t="s">
        <v>22</v>
      </c>
      <c r="J707">
        <v>35</v>
      </c>
      <c r="K707">
        <v>121</v>
      </c>
      <c r="L707">
        <v>8</v>
      </c>
      <c r="M707" s="8" t="s">
        <v>23</v>
      </c>
      <c r="N707">
        <v>90.9</v>
      </c>
      <c r="O707">
        <v>213</v>
      </c>
      <c r="P707">
        <v>1</v>
      </c>
      <c r="Q707">
        <v>8</v>
      </c>
      <c r="R707">
        <v>2024</v>
      </c>
      <c r="S707">
        <v>6</v>
      </c>
      <c r="T707" s="8" t="s">
        <v>92</v>
      </c>
      <c r="U707">
        <v>1</v>
      </c>
      <c r="V707">
        <v>0</v>
      </c>
      <c r="W707">
        <v>2</v>
      </c>
      <c r="X707">
        <v>1</v>
      </c>
      <c r="Y707">
        <v>0</v>
      </c>
      <c r="Z707">
        <v>0</v>
      </c>
    </row>
    <row r="708" spans="1:26" x14ac:dyDescent="0.25">
      <c r="A708" s="1">
        <v>45486.016655092593</v>
      </c>
      <c r="B708" s="8" t="s">
        <v>29</v>
      </c>
      <c r="C708">
        <v>77.543599999999998</v>
      </c>
      <c r="D708">
        <v>-156.24789999999999</v>
      </c>
      <c r="E708">
        <v>199</v>
      </c>
      <c r="F708" s="8" t="s">
        <v>17</v>
      </c>
      <c r="G708">
        <v>28.5</v>
      </c>
      <c r="H708">
        <v>68.8</v>
      </c>
      <c r="I708" s="8" t="s">
        <v>22</v>
      </c>
      <c r="J708">
        <v>18</v>
      </c>
      <c r="K708">
        <v>201</v>
      </c>
      <c r="L708">
        <v>2</v>
      </c>
      <c r="M708" s="8" t="s">
        <v>31</v>
      </c>
      <c r="N708">
        <v>71.2</v>
      </c>
      <c r="O708">
        <v>181</v>
      </c>
      <c r="P708">
        <v>1</v>
      </c>
      <c r="Q708">
        <v>7</v>
      </c>
      <c r="R708">
        <v>2024</v>
      </c>
      <c r="S708">
        <v>6</v>
      </c>
      <c r="T708" s="8" t="s">
        <v>92</v>
      </c>
      <c r="U708">
        <v>1</v>
      </c>
      <c r="V708">
        <v>2</v>
      </c>
      <c r="W708">
        <v>2</v>
      </c>
      <c r="X708">
        <v>1</v>
      </c>
      <c r="Y708">
        <v>0</v>
      </c>
      <c r="Z708">
        <v>0</v>
      </c>
    </row>
    <row r="709" spans="1:26" x14ac:dyDescent="0.25">
      <c r="A709" s="1">
        <v>45482.425486111111</v>
      </c>
      <c r="B709" s="8" t="s">
        <v>29</v>
      </c>
      <c r="C709">
        <v>51.804699999999997</v>
      </c>
      <c r="D709">
        <v>66.019300000000001</v>
      </c>
      <c r="E709">
        <v>319</v>
      </c>
      <c r="F709" s="8" t="s">
        <v>21</v>
      </c>
      <c r="G709">
        <v>22.3</v>
      </c>
      <c r="H709">
        <v>50.8</v>
      </c>
      <c r="I709" s="8" t="s">
        <v>28</v>
      </c>
      <c r="J709">
        <v>52</v>
      </c>
      <c r="K709">
        <v>188</v>
      </c>
      <c r="L709">
        <v>8</v>
      </c>
      <c r="M709" s="8" t="s">
        <v>27</v>
      </c>
      <c r="N709">
        <v>66.400000000000006</v>
      </c>
      <c r="O709">
        <v>153</v>
      </c>
      <c r="P709">
        <v>0</v>
      </c>
      <c r="Q709">
        <v>7</v>
      </c>
      <c r="R709">
        <v>2024</v>
      </c>
      <c r="S709">
        <v>2</v>
      </c>
      <c r="T709" s="8" t="s">
        <v>92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 x14ac:dyDescent="0.25">
      <c r="A710" s="1">
        <v>45418.998773148145</v>
      </c>
      <c r="B710" s="8" t="s">
        <v>29</v>
      </c>
      <c r="C710">
        <v>37.552300000000002</v>
      </c>
      <c r="D710">
        <v>145.19730000000001</v>
      </c>
      <c r="E710">
        <v>437</v>
      </c>
      <c r="F710" s="8" t="s">
        <v>21</v>
      </c>
      <c r="G710">
        <v>29.1</v>
      </c>
      <c r="H710">
        <v>76.5</v>
      </c>
      <c r="I710" s="8" t="s">
        <v>28</v>
      </c>
      <c r="J710">
        <v>46</v>
      </c>
      <c r="K710">
        <v>122</v>
      </c>
      <c r="L710">
        <v>10</v>
      </c>
      <c r="M710" s="8" t="s">
        <v>19</v>
      </c>
      <c r="N710">
        <v>73.599999999999994</v>
      </c>
      <c r="O710">
        <v>111</v>
      </c>
      <c r="P710">
        <v>0</v>
      </c>
      <c r="Q710">
        <v>5</v>
      </c>
      <c r="R710">
        <v>2024</v>
      </c>
      <c r="S710">
        <v>1</v>
      </c>
      <c r="T710" s="8" t="s">
        <v>90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1</v>
      </c>
    </row>
    <row r="711" spans="1:26" x14ac:dyDescent="0.25">
      <c r="A711" s="1">
        <v>45298.625439814816</v>
      </c>
      <c r="B711" s="8" t="s">
        <v>25</v>
      </c>
      <c r="C711">
        <v>30.587499999999999</v>
      </c>
      <c r="D711">
        <v>132.73089999999999</v>
      </c>
      <c r="E711">
        <v>203</v>
      </c>
      <c r="F711" s="8" t="s">
        <v>17</v>
      </c>
      <c r="G711">
        <v>19.2</v>
      </c>
      <c r="H711">
        <v>63.6</v>
      </c>
      <c r="I711" s="8" t="s">
        <v>22</v>
      </c>
      <c r="J711">
        <v>31</v>
      </c>
      <c r="K711">
        <v>123</v>
      </c>
      <c r="L711">
        <v>9</v>
      </c>
      <c r="M711" s="8" t="s">
        <v>31</v>
      </c>
      <c r="N711">
        <v>84.1</v>
      </c>
      <c r="O711">
        <v>270</v>
      </c>
      <c r="P711">
        <v>1</v>
      </c>
      <c r="Q711">
        <v>1</v>
      </c>
      <c r="R711">
        <v>2024</v>
      </c>
      <c r="S711">
        <v>0</v>
      </c>
      <c r="T711" s="8" t="s">
        <v>93</v>
      </c>
      <c r="U711">
        <v>0</v>
      </c>
      <c r="V711">
        <v>2</v>
      </c>
      <c r="W711">
        <v>2</v>
      </c>
      <c r="X711">
        <v>1</v>
      </c>
      <c r="Y711">
        <v>0</v>
      </c>
      <c r="Z711">
        <v>0</v>
      </c>
    </row>
    <row r="712" spans="1:26" x14ac:dyDescent="0.25">
      <c r="A712" s="1">
        <v>45359.751921296294</v>
      </c>
      <c r="B712" s="8" t="s">
        <v>32</v>
      </c>
      <c r="C712">
        <v>-86.927599999999998</v>
      </c>
      <c r="D712">
        <v>120.7534</v>
      </c>
      <c r="E712">
        <v>466</v>
      </c>
      <c r="F712" s="8" t="s">
        <v>21</v>
      </c>
      <c r="G712">
        <v>26.3</v>
      </c>
      <c r="H712">
        <v>70.400000000000006</v>
      </c>
      <c r="I712" s="8" t="s">
        <v>22</v>
      </c>
      <c r="J712">
        <v>53</v>
      </c>
      <c r="K712">
        <v>291</v>
      </c>
      <c r="L712">
        <v>8</v>
      </c>
      <c r="M712" s="8" t="s">
        <v>23</v>
      </c>
      <c r="N712">
        <v>62.1</v>
      </c>
      <c r="O712">
        <v>287</v>
      </c>
      <c r="P712">
        <v>1</v>
      </c>
      <c r="Q712">
        <v>3</v>
      </c>
      <c r="R712">
        <v>2024</v>
      </c>
      <c r="S712">
        <v>5</v>
      </c>
      <c r="T712" s="8" t="s">
        <v>90</v>
      </c>
      <c r="U712">
        <v>1</v>
      </c>
      <c r="V712">
        <v>0</v>
      </c>
      <c r="W712">
        <v>2</v>
      </c>
      <c r="X712">
        <v>1</v>
      </c>
      <c r="Y712">
        <v>0</v>
      </c>
      <c r="Z712">
        <v>1</v>
      </c>
    </row>
    <row r="713" spans="1:26" x14ac:dyDescent="0.25">
      <c r="A713" s="1">
        <v>45355.393275462964</v>
      </c>
      <c r="B713" s="8" t="s">
        <v>32</v>
      </c>
      <c r="C713">
        <v>-44.6569</v>
      </c>
      <c r="D713">
        <v>129.86250000000001</v>
      </c>
      <c r="E713">
        <v>418</v>
      </c>
      <c r="F713" s="8" t="s">
        <v>21</v>
      </c>
      <c r="G713">
        <v>22.9</v>
      </c>
      <c r="H713">
        <v>62</v>
      </c>
      <c r="I713" s="8" t="s">
        <v>18</v>
      </c>
      <c r="J713">
        <v>26</v>
      </c>
      <c r="K713">
        <v>405</v>
      </c>
      <c r="L713">
        <v>1</v>
      </c>
      <c r="M713" s="8" t="s">
        <v>19</v>
      </c>
      <c r="N713">
        <v>62.3</v>
      </c>
      <c r="O713">
        <v>124</v>
      </c>
      <c r="P713">
        <v>0</v>
      </c>
      <c r="Q713">
        <v>3</v>
      </c>
      <c r="R713">
        <v>2024</v>
      </c>
      <c r="S713">
        <v>1</v>
      </c>
      <c r="T713" s="8" t="s">
        <v>90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</row>
    <row r="714" spans="1:26" x14ac:dyDescent="0.25">
      <c r="A714" s="1">
        <v>45577.296620370369</v>
      </c>
      <c r="B714" s="8" t="s">
        <v>16</v>
      </c>
      <c r="C714">
        <v>53.818600000000004</v>
      </c>
      <c r="D714">
        <v>-158.42519999999999</v>
      </c>
      <c r="E714">
        <v>124</v>
      </c>
      <c r="F714" s="8" t="s">
        <v>17</v>
      </c>
      <c r="G714">
        <v>26.7</v>
      </c>
      <c r="H714">
        <v>50.1</v>
      </c>
      <c r="I714" s="8" t="s">
        <v>28</v>
      </c>
      <c r="J714">
        <v>10</v>
      </c>
      <c r="K714">
        <v>460</v>
      </c>
      <c r="L714">
        <v>5</v>
      </c>
      <c r="M714" s="8" t="s">
        <v>31</v>
      </c>
      <c r="N714">
        <v>69.400000000000006</v>
      </c>
      <c r="O714">
        <v>130</v>
      </c>
      <c r="P714">
        <v>1</v>
      </c>
      <c r="Q714">
        <v>10</v>
      </c>
      <c r="R714">
        <v>2024</v>
      </c>
      <c r="S714">
        <v>6</v>
      </c>
      <c r="T714" s="8" t="s">
        <v>91</v>
      </c>
      <c r="U714">
        <v>1</v>
      </c>
      <c r="V714">
        <v>2</v>
      </c>
      <c r="W714">
        <v>0</v>
      </c>
      <c r="X714">
        <v>0</v>
      </c>
      <c r="Y714">
        <v>0</v>
      </c>
      <c r="Z714">
        <v>0</v>
      </c>
    </row>
    <row r="715" spans="1:26" x14ac:dyDescent="0.25">
      <c r="A715" s="1">
        <v>45511.220231481479</v>
      </c>
      <c r="B715" s="8" t="s">
        <v>35</v>
      </c>
      <c r="C715">
        <v>26.022600000000001</v>
      </c>
      <c r="D715">
        <v>103.2098</v>
      </c>
      <c r="E715">
        <v>322</v>
      </c>
      <c r="F715" s="8" t="s">
        <v>17</v>
      </c>
      <c r="G715">
        <v>25</v>
      </c>
      <c r="H715">
        <v>57.7</v>
      </c>
      <c r="I715" s="8" t="s">
        <v>28</v>
      </c>
      <c r="J715">
        <v>15</v>
      </c>
      <c r="K715">
        <v>190</v>
      </c>
      <c r="L715">
        <v>4</v>
      </c>
      <c r="M715" s="8" t="s">
        <v>27</v>
      </c>
      <c r="N715">
        <v>86.8</v>
      </c>
      <c r="O715">
        <v>159</v>
      </c>
      <c r="P715">
        <v>1</v>
      </c>
      <c r="Q715">
        <v>8</v>
      </c>
      <c r="R715">
        <v>2024</v>
      </c>
      <c r="S715">
        <v>3</v>
      </c>
      <c r="T715" s="8" t="s">
        <v>92</v>
      </c>
      <c r="U715">
        <v>0</v>
      </c>
      <c r="V715">
        <v>2</v>
      </c>
      <c r="W715">
        <v>0</v>
      </c>
      <c r="X715">
        <v>0</v>
      </c>
      <c r="Y715">
        <v>0</v>
      </c>
      <c r="Z715">
        <v>0</v>
      </c>
    </row>
    <row r="716" spans="1:26" x14ac:dyDescent="0.25">
      <c r="A716" s="1">
        <v>45378.875509259262</v>
      </c>
      <c r="B716" s="8" t="s">
        <v>32</v>
      </c>
      <c r="C716">
        <v>14.1508</v>
      </c>
      <c r="D716">
        <v>-54.465899999999998</v>
      </c>
      <c r="E716">
        <v>351</v>
      </c>
      <c r="F716" s="8" t="s">
        <v>26</v>
      </c>
      <c r="G716">
        <v>25.1</v>
      </c>
      <c r="H716">
        <v>74.2</v>
      </c>
      <c r="I716" s="8" t="s">
        <v>22</v>
      </c>
      <c r="J716">
        <v>54</v>
      </c>
      <c r="K716">
        <v>223</v>
      </c>
      <c r="L716">
        <v>9</v>
      </c>
      <c r="M716" s="8" t="s">
        <v>27</v>
      </c>
      <c r="N716">
        <v>62.2</v>
      </c>
      <c r="O716">
        <v>267</v>
      </c>
      <c r="P716">
        <v>1</v>
      </c>
      <c r="Q716">
        <v>3</v>
      </c>
      <c r="R716">
        <v>2024</v>
      </c>
      <c r="S716">
        <v>3</v>
      </c>
      <c r="T716" s="8" t="s">
        <v>90</v>
      </c>
      <c r="U716">
        <v>0</v>
      </c>
      <c r="V716">
        <v>1</v>
      </c>
      <c r="W716">
        <v>2</v>
      </c>
      <c r="X716">
        <v>1</v>
      </c>
      <c r="Y716">
        <v>0</v>
      </c>
      <c r="Z716">
        <v>1</v>
      </c>
    </row>
    <row r="717" spans="1:26" x14ac:dyDescent="0.25">
      <c r="A717" s="1">
        <v>45568.31890046296</v>
      </c>
      <c r="B717" s="8" t="s">
        <v>29</v>
      </c>
      <c r="C717">
        <v>22.835599999999999</v>
      </c>
      <c r="D717">
        <v>-12.872999999999999</v>
      </c>
      <c r="E717">
        <v>350</v>
      </c>
      <c r="F717" s="8" t="s">
        <v>21</v>
      </c>
      <c r="G717">
        <v>27</v>
      </c>
      <c r="H717">
        <v>66.7</v>
      </c>
      <c r="I717" s="8" t="s">
        <v>18</v>
      </c>
      <c r="J717">
        <v>56</v>
      </c>
      <c r="K717">
        <v>207</v>
      </c>
      <c r="L717">
        <v>2</v>
      </c>
      <c r="M717" s="8" t="s">
        <v>31</v>
      </c>
      <c r="N717">
        <v>64</v>
      </c>
      <c r="O717">
        <v>248</v>
      </c>
      <c r="P717">
        <v>0</v>
      </c>
      <c r="Q717">
        <v>10</v>
      </c>
      <c r="R717">
        <v>2024</v>
      </c>
      <c r="S717">
        <v>4</v>
      </c>
      <c r="T717" s="8" t="s">
        <v>91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1</v>
      </c>
    </row>
    <row r="718" spans="1:26" x14ac:dyDescent="0.25">
      <c r="A718" s="1">
        <v>45467.05914351852</v>
      </c>
      <c r="B718" s="8" t="s">
        <v>16</v>
      </c>
      <c r="C718">
        <v>79.233400000000003</v>
      </c>
      <c r="D718">
        <v>166.45490000000001</v>
      </c>
      <c r="E718">
        <v>179</v>
      </c>
      <c r="F718" s="8" t="s">
        <v>26</v>
      </c>
      <c r="G718">
        <v>20.6</v>
      </c>
      <c r="H718">
        <v>53.6</v>
      </c>
      <c r="I718" s="8" t="s">
        <v>22</v>
      </c>
      <c r="J718">
        <v>36</v>
      </c>
      <c r="K718">
        <v>480</v>
      </c>
      <c r="L718">
        <v>7</v>
      </c>
      <c r="M718" s="8" t="s">
        <v>31</v>
      </c>
      <c r="N718">
        <v>72.099999999999994</v>
      </c>
      <c r="O718">
        <v>246</v>
      </c>
      <c r="P718">
        <v>1</v>
      </c>
      <c r="Q718">
        <v>6</v>
      </c>
      <c r="R718">
        <v>2024</v>
      </c>
      <c r="S718">
        <v>1</v>
      </c>
      <c r="T718" s="8" t="s">
        <v>92</v>
      </c>
      <c r="U718">
        <v>0</v>
      </c>
      <c r="V718">
        <v>1</v>
      </c>
      <c r="W718">
        <v>2</v>
      </c>
      <c r="X718">
        <v>1</v>
      </c>
      <c r="Y718">
        <v>0</v>
      </c>
      <c r="Z718">
        <v>0</v>
      </c>
    </row>
    <row r="719" spans="1:26" x14ac:dyDescent="0.25">
      <c r="A719" s="1">
        <v>45321.356168981481</v>
      </c>
      <c r="B719" s="8" t="s">
        <v>20</v>
      </c>
      <c r="C719">
        <v>-9.0289000000000001</v>
      </c>
      <c r="D719">
        <v>-69.425600000000003</v>
      </c>
      <c r="E719">
        <v>338</v>
      </c>
      <c r="F719" s="8" t="s">
        <v>26</v>
      </c>
      <c r="G719">
        <v>27.3</v>
      </c>
      <c r="H719">
        <v>70.099999999999994</v>
      </c>
      <c r="I719" s="8" t="s">
        <v>22</v>
      </c>
      <c r="J719">
        <v>29</v>
      </c>
      <c r="K719">
        <v>129</v>
      </c>
      <c r="L719">
        <v>1</v>
      </c>
      <c r="M719" s="8" t="s">
        <v>19</v>
      </c>
      <c r="N719">
        <v>82.4</v>
      </c>
      <c r="O719">
        <v>281</v>
      </c>
      <c r="P719">
        <v>1</v>
      </c>
      <c r="Q719">
        <v>1</v>
      </c>
      <c r="R719">
        <v>2024</v>
      </c>
      <c r="S719">
        <v>2</v>
      </c>
      <c r="T719" s="8" t="s">
        <v>93</v>
      </c>
      <c r="U719">
        <v>0</v>
      </c>
      <c r="V719">
        <v>1</v>
      </c>
      <c r="W719">
        <v>2</v>
      </c>
      <c r="X719">
        <v>1</v>
      </c>
      <c r="Y719">
        <v>0</v>
      </c>
      <c r="Z719">
        <v>0</v>
      </c>
    </row>
    <row r="720" spans="1:26" x14ac:dyDescent="0.25">
      <c r="A720" s="1">
        <v>45306.325439814813</v>
      </c>
      <c r="B720" s="8" t="s">
        <v>24</v>
      </c>
      <c r="C720">
        <v>71.222800000000007</v>
      </c>
      <c r="D720">
        <v>-86.399299999999997</v>
      </c>
      <c r="E720">
        <v>334</v>
      </c>
      <c r="F720" s="8" t="s">
        <v>26</v>
      </c>
      <c r="G720">
        <v>28.9</v>
      </c>
      <c r="H720">
        <v>62.8</v>
      </c>
      <c r="I720" s="8" t="s">
        <v>28</v>
      </c>
      <c r="J720">
        <v>15</v>
      </c>
      <c r="K720">
        <v>106</v>
      </c>
      <c r="L720">
        <v>5</v>
      </c>
      <c r="M720" s="8" t="s">
        <v>23</v>
      </c>
      <c r="N720">
        <v>97.2</v>
      </c>
      <c r="O720">
        <v>127</v>
      </c>
      <c r="P720">
        <v>0</v>
      </c>
      <c r="Q720">
        <v>1</v>
      </c>
      <c r="R720">
        <v>2024</v>
      </c>
      <c r="S720">
        <v>1</v>
      </c>
      <c r="T720" s="8" t="s">
        <v>93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</row>
    <row r="721" spans="1:26" x14ac:dyDescent="0.25">
      <c r="A721" s="1">
        <v>45656.344282407408</v>
      </c>
      <c r="B721" s="8" t="s">
        <v>24</v>
      </c>
      <c r="C721">
        <v>-29.686399999999999</v>
      </c>
      <c r="D721">
        <v>-88.690100000000001</v>
      </c>
      <c r="E721">
        <v>411</v>
      </c>
      <c r="F721" s="8" t="s">
        <v>21</v>
      </c>
      <c r="G721">
        <v>19</v>
      </c>
      <c r="H721">
        <v>55.4</v>
      </c>
      <c r="I721" s="8" t="s">
        <v>28</v>
      </c>
      <c r="J721">
        <v>14</v>
      </c>
      <c r="K721">
        <v>409</v>
      </c>
      <c r="L721">
        <v>7</v>
      </c>
      <c r="M721" s="8" t="s">
        <v>19</v>
      </c>
      <c r="N721">
        <v>94.5</v>
      </c>
      <c r="O721">
        <v>192</v>
      </c>
      <c r="P721">
        <v>0</v>
      </c>
      <c r="Q721">
        <v>12</v>
      </c>
      <c r="R721">
        <v>2024</v>
      </c>
      <c r="S721">
        <v>1</v>
      </c>
      <c r="T721" s="8" t="s">
        <v>93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25">
      <c r="A722" s="1">
        <v>45505.904722222222</v>
      </c>
      <c r="B722" s="8" t="s">
        <v>16</v>
      </c>
      <c r="C722">
        <v>-19.575900000000001</v>
      </c>
      <c r="D722">
        <v>-39.553100000000001</v>
      </c>
      <c r="E722">
        <v>481</v>
      </c>
      <c r="F722" s="8" t="s">
        <v>17</v>
      </c>
      <c r="G722">
        <v>22.8</v>
      </c>
      <c r="H722">
        <v>74.7</v>
      </c>
      <c r="I722" s="8" t="s">
        <v>18</v>
      </c>
      <c r="J722">
        <v>42</v>
      </c>
      <c r="K722">
        <v>157</v>
      </c>
      <c r="L722">
        <v>1</v>
      </c>
      <c r="M722" s="8" t="s">
        <v>23</v>
      </c>
      <c r="N722">
        <v>65.2</v>
      </c>
      <c r="O722">
        <v>259</v>
      </c>
      <c r="P722">
        <v>1</v>
      </c>
      <c r="Q722">
        <v>8</v>
      </c>
      <c r="R722">
        <v>2024</v>
      </c>
      <c r="S722">
        <v>4</v>
      </c>
      <c r="T722" s="8" t="s">
        <v>92</v>
      </c>
      <c r="U722">
        <v>0</v>
      </c>
      <c r="V722">
        <v>2</v>
      </c>
      <c r="W722">
        <v>1</v>
      </c>
      <c r="X722">
        <v>0</v>
      </c>
      <c r="Y722">
        <v>0</v>
      </c>
      <c r="Z722">
        <v>0</v>
      </c>
    </row>
    <row r="723" spans="1:26" x14ac:dyDescent="0.25">
      <c r="A723" s="1">
        <v>45429.828819444447</v>
      </c>
      <c r="B723" s="8" t="s">
        <v>30</v>
      </c>
      <c r="C723">
        <v>81.099999999999994</v>
      </c>
      <c r="D723">
        <v>113.2247</v>
      </c>
      <c r="E723">
        <v>224</v>
      </c>
      <c r="F723" s="8" t="s">
        <v>17</v>
      </c>
      <c r="G723">
        <v>26.4</v>
      </c>
      <c r="H723">
        <v>75.400000000000006</v>
      </c>
      <c r="I723" s="8" t="s">
        <v>18</v>
      </c>
      <c r="J723">
        <v>23</v>
      </c>
      <c r="K723">
        <v>234</v>
      </c>
      <c r="L723">
        <v>4</v>
      </c>
      <c r="M723" s="8" t="s">
        <v>31</v>
      </c>
      <c r="N723">
        <v>86.6</v>
      </c>
      <c r="O723">
        <v>131</v>
      </c>
      <c r="P723">
        <v>1</v>
      </c>
      <c r="Q723">
        <v>5</v>
      </c>
      <c r="R723">
        <v>2024</v>
      </c>
      <c r="S723">
        <v>5</v>
      </c>
      <c r="T723" s="8" t="s">
        <v>90</v>
      </c>
      <c r="U723">
        <v>1</v>
      </c>
      <c r="V723">
        <v>2</v>
      </c>
      <c r="W723">
        <v>1</v>
      </c>
      <c r="X723">
        <v>0</v>
      </c>
      <c r="Y723">
        <v>1</v>
      </c>
      <c r="Z723">
        <v>0</v>
      </c>
    </row>
    <row r="724" spans="1:26" x14ac:dyDescent="0.25">
      <c r="A724" s="1">
        <v>45326.226805555554</v>
      </c>
      <c r="B724" s="8" t="s">
        <v>32</v>
      </c>
      <c r="C724">
        <v>32.7849</v>
      </c>
      <c r="D724">
        <v>30.954999999999998</v>
      </c>
      <c r="E724">
        <v>377</v>
      </c>
      <c r="F724" s="8" t="s">
        <v>17</v>
      </c>
      <c r="G724">
        <v>19.5</v>
      </c>
      <c r="H724">
        <v>51</v>
      </c>
      <c r="I724" s="8" t="s">
        <v>18</v>
      </c>
      <c r="J724">
        <v>11</v>
      </c>
      <c r="K724">
        <v>226</v>
      </c>
      <c r="L724">
        <v>8</v>
      </c>
      <c r="M724" s="8" t="s">
        <v>23</v>
      </c>
      <c r="N724">
        <v>64.099999999999994</v>
      </c>
      <c r="O724">
        <v>266</v>
      </c>
      <c r="P724">
        <v>1</v>
      </c>
      <c r="Q724">
        <v>2</v>
      </c>
      <c r="R724">
        <v>2024</v>
      </c>
      <c r="S724">
        <v>0</v>
      </c>
      <c r="T724" s="8" t="s">
        <v>93</v>
      </c>
      <c r="U724">
        <v>0</v>
      </c>
      <c r="V724">
        <v>2</v>
      </c>
      <c r="W724">
        <v>1</v>
      </c>
      <c r="X724">
        <v>0</v>
      </c>
      <c r="Y724">
        <v>0</v>
      </c>
      <c r="Z724">
        <v>0</v>
      </c>
    </row>
    <row r="725" spans="1:26" x14ac:dyDescent="0.25">
      <c r="A725" s="1">
        <v>45491.550532407404</v>
      </c>
      <c r="B725" s="8" t="s">
        <v>16</v>
      </c>
      <c r="C725">
        <v>49.048000000000002</v>
      </c>
      <c r="D725">
        <v>4.8895999999999997</v>
      </c>
      <c r="E725">
        <v>283</v>
      </c>
      <c r="F725" s="8" t="s">
        <v>17</v>
      </c>
      <c r="G725">
        <v>19.600000000000001</v>
      </c>
      <c r="H725">
        <v>75.5</v>
      </c>
      <c r="I725" s="8" t="s">
        <v>22</v>
      </c>
      <c r="J725">
        <v>49</v>
      </c>
      <c r="K725">
        <v>496</v>
      </c>
      <c r="L725">
        <v>6</v>
      </c>
      <c r="M725" s="8" t="s">
        <v>23</v>
      </c>
      <c r="N725">
        <v>78.900000000000006</v>
      </c>
      <c r="O725">
        <v>130</v>
      </c>
      <c r="P725">
        <v>1</v>
      </c>
      <c r="Q725">
        <v>7</v>
      </c>
      <c r="R725">
        <v>2024</v>
      </c>
      <c r="S725">
        <v>4</v>
      </c>
      <c r="T725" s="8" t="s">
        <v>92</v>
      </c>
      <c r="U725">
        <v>0</v>
      </c>
      <c r="V725">
        <v>2</v>
      </c>
      <c r="W725">
        <v>2</v>
      </c>
      <c r="X725">
        <v>1</v>
      </c>
      <c r="Y725">
        <v>1</v>
      </c>
      <c r="Z725">
        <v>1</v>
      </c>
    </row>
    <row r="726" spans="1:26" x14ac:dyDescent="0.25">
      <c r="A726" s="1">
        <v>45292.732499999998</v>
      </c>
      <c r="B726" s="8" t="s">
        <v>24</v>
      </c>
      <c r="C726">
        <v>-13.9612</v>
      </c>
      <c r="D726">
        <v>89.534199999999998</v>
      </c>
      <c r="E726">
        <v>174</v>
      </c>
      <c r="F726" s="8" t="s">
        <v>17</v>
      </c>
      <c r="G726">
        <v>20.2</v>
      </c>
      <c r="H726">
        <v>74.2</v>
      </c>
      <c r="I726" s="8" t="s">
        <v>18</v>
      </c>
      <c r="J726">
        <v>49</v>
      </c>
      <c r="K726">
        <v>403</v>
      </c>
      <c r="L726">
        <v>5</v>
      </c>
      <c r="M726" s="8" t="s">
        <v>19</v>
      </c>
      <c r="N726">
        <v>83.5</v>
      </c>
      <c r="O726">
        <v>227</v>
      </c>
      <c r="P726">
        <v>1</v>
      </c>
      <c r="Q726">
        <v>1</v>
      </c>
      <c r="R726">
        <v>2024</v>
      </c>
      <c r="S726">
        <v>1</v>
      </c>
      <c r="T726" s="8" t="s">
        <v>93</v>
      </c>
      <c r="U726">
        <v>0</v>
      </c>
      <c r="V726">
        <v>2</v>
      </c>
      <c r="W726">
        <v>1</v>
      </c>
      <c r="X726">
        <v>0</v>
      </c>
      <c r="Y726">
        <v>0</v>
      </c>
      <c r="Z726">
        <v>1</v>
      </c>
    </row>
    <row r="727" spans="1:26" x14ac:dyDescent="0.25">
      <c r="A727" s="1">
        <v>45543.603668981479</v>
      </c>
      <c r="B727" s="8" t="s">
        <v>29</v>
      </c>
      <c r="C727">
        <v>64.411299999999997</v>
      </c>
      <c r="D727">
        <v>-121.7647</v>
      </c>
      <c r="E727">
        <v>440</v>
      </c>
      <c r="F727" s="8" t="s">
        <v>26</v>
      </c>
      <c r="G727">
        <v>20.399999999999999</v>
      </c>
      <c r="H727">
        <v>62.4</v>
      </c>
      <c r="I727" s="8" t="s">
        <v>28</v>
      </c>
      <c r="J727">
        <v>35</v>
      </c>
      <c r="K727">
        <v>199</v>
      </c>
      <c r="L727">
        <v>10</v>
      </c>
      <c r="M727" s="8" t="s">
        <v>19</v>
      </c>
      <c r="N727">
        <v>80.3</v>
      </c>
      <c r="O727">
        <v>269</v>
      </c>
      <c r="P727">
        <v>0</v>
      </c>
      <c r="Q727">
        <v>9</v>
      </c>
      <c r="R727">
        <v>2024</v>
      </c>
      <c r="S727">
        <v>0</v>
      </c>
      <c r="T727" s="8" t="s">
        <v>91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s="1">
        <v>45348.142789351848</v>
      </c>
      <c r="B728" s="8" t="s">
        <v>30</v>
      </c>
      <c r="C728">
        <v>-77.798599999999993</v>
      </c>
      <c r="D728">
        <v>-155.40979999999999</v>
      </c>
      <c r="E728">
        <v>497</v>
      </c>
      <c r="F728" s="8" t="s">
        <v>17</v>
      </c>
      <c r="G728">
        <v>21.8</v>
      </c>
      <c r="H728">
        <v>71.3</v>
      </c>
      <c r="I728" s="8" t="s">
        <v>22</v>
      </c>
      <c r="J728">
        <v>22</v>
      </c>
      <c r="K728">
        <v>424</v>
      </c>
      <c r="L728">
        <v>2</v>
      </c>
      <c r="M728" s="8" t="s">
        <v>23</v>
      </c>
      <c r="N728">
        <v>79.8</v>
      </c>
      <c r="O728">
        <v>168</v>
      </c>
      <c r="P728">
        <v>1</v>
      </c>
      <c r="Q728">
        <v>2</v>
      </c>
      <c r="R728">
        <v>2024</v>
      </c>
      <c r="S728">
        <v>1</v>
      </c>
      <c r="T728" s="8" t="s">
        <v>93</v>
      </c>
      <c r="U728">
        <v>0</v>
      </c>
      <c r="V728">
        <v>2</v>
      </c>
      <c r="W728">
        <v>2</v>
      </c>
      <c r="X728">
        <v>1</v>
      </c>
      <c r="Y728">
        <v>0</v>
      </c>
      <c r="Z728">
        <v>0</v>
      </c>
    </row>
    <row r="729" spans="1:26" x14ac:dyDescent="0.25">
      <c r="A729" s="1">
        <v>45398.19263888889</v>
      </c>
      <c r="B729" s="8" t="s">
        <v>16</v>
      </c>
      <c r="C729">
        <v>16.2591</v>
      </c>
      <c r="D729">
        <v>175.14850000000001</v>
      </c>
      <c r="E729">
        <v>337</v>
      </c>
      <c r="F729" s="8" t="s">
        <v>26</v>
      </c>
      <c r="G729">
        <v>21.1</v>
      </c>
      <c r="H729">
        <v>64.400000000000006</v>
      </c>
      <c r="I729" s="8" t="s">
        <v>18</v>
      </c>
      <c r="J729">
        <v>49</v>
      </c>
      <c r="K729">
        <v>226</v>
      </c>
      <c r="L729">
        <v>2</v>
      </c>
      <c r="M729" s="8" t="s">
        <v>27</v>
      </c>
      <c r="N729">
        <v>89.6</v>
      </c>
      <c r="O729">
        <v>298</v>
      </c>
      <c r="P729">
        <v>0</v>
      </c>
      <c r="Q729">
        <v>4</v>
      </c>
      <c r="R729">
        <v>2024</v>
      </c>
      <c r="S729">
        <v>2</v>
      </c>
      <c r="T729" s="8" t="s">
        <v>90</v>
      </c>
      <c r="U729">
        <v>0</v>
      </c>
      <c r="V729">
        <v>1</v>
      </c>
      <c r="W729">
        <v>1</v>
      </c>
      <c r="X729">
        <v>0</v>
      </c>
      <c r="Y729">
        <v>0</v>
      </c>
      <c r="Z729">
        <v>1</v>
      </c>
    </row>
    <row r="730" spans="1:26" x14ac:dyDescent="0.25">
      <c r="A730" s="1">
        <v>45637.736006944448</v>
      </c>
      <c r="B730" s="8" t="s">
        <v>24</v>
      </c>
      <c r="C730">
        <v>30.674900000000001</v>
      </c>
      <c r="D730">
        <v>78.474299999999999</v>
      </c>
      <c r="E730">
        <v>315</v>
      </c>
      <c r="F730" s="8" t="s">
        <v>26</v>
      </c>
      <c r="G730">
        <v>21.4</v>
      </c>
      <c r="H730">
        <v>62.6</v>
      </c>
      <c r="I730" s="8" t="s">
        <v>22</v>
      </c>
      <c r="J730">
        <v>27</v>
      </c>
      <c r="K730">
        <v>482</v>
      </c>
      <c r="L730">
        <v>9</v>
      </c>
      <c r="M730" s="8" t="s">
        <v>27</v>
      </c>
      <c r="N730">
        <v>77.2</v>
      </c>
      <c r="O730">
        <v>153</v>
      </c>
      <c r="P730">
        <v>1</v>
      </c>
      <c r="Q730">
        <v>12</v>
      </c>
      <c r="R730">
        <v>2024</v>
      </c>
      <c r="S730">
        <v>3</v>
      </c>
      <c r="T730" s="8" t="s">
        <v>93</v>
      </c>
      <c r="U730">
        <v>0</v>
      </c>
      <c r="V730">
        <v>1</v>
      </c>
      <c r="W730">
        <v>2</v>
      </c>
      <c r="X730">
        <v>1</v>
      </c>
      <c r="Y730">
        <v>0</v>
      </c>
      <c r="Z730">
        <v>0</v>
      </c>
    </row>
    <row r="731" spans="1:26" x14ac:dyDescent="0.25">
      <c r="A731" s="1">
        <v>45551.532094907408</v>
      </c>
      <c r="B731" s="8" t="s">
        <v>16</v>
      </c>
      <c r="C731">
        <v>-18.067499999999999</v>
      </c>
      <c r="D731">
        <v>76.780199999999994</v>
      </c>
      <c r="E731">
        <v>219</v>
      </c>
      <c r="F731" s="8" t="s">
        <v>26</v>
      </c>
      <c r="G731">
        <v>18.100000000000001</v>
      </c>
      <c r="H731">
        <v>64.599999999999994</v>
      </c>
      <c r="I731" s="8" t="s">
        <v>28</v>
      </c>
      <c r="J731">
        <v>24</v>
      </c>
      <c r="K731">
        <v>179</v>
      </c>
      <c r="L731">
        <v>8</v>
      </c>
      <c r="M731" s="8" t="s">
        <v>23</v>
      </c>
      <c r="N731">
        <v>83.3</v>
      </c>
      <c r="O731">
        <v>202</v>
      </c>
      <c r="P731">
        <v>0</v>
      </c>
      <c r="Q731">
        <v>9</v>
      </c>
      <c r="R731">
        <v>2024</v>
      </c>
      <c r="S731">
        <v>1</v>
      </c>
      <c r="T731" s="8" t="s">
        <v>91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s="1">
        <v>45314.786759259259</v>
      </c>
      <c r="B732" s="8" t="s">
        <v>32</v>
      </c>
      <c r="C732">
        <v>-89.778400000000005</v>
      </c>
      <c r="D732">
        <v>-163.79650000000001</v>
      </c>
      <c r="E732">
        <v>247</v>
      </c>
      <c r="F732" s="8" t="s">
        <v>17</v>
      </c>
      <c r="G732">
        <v>28.3</v>
      </c>
      <c r="H732">
        <v>76.2</v>
      </c>
      <c r="I732" s="8" t="s">
        <v>28</v>
      </c>
      <c r="J732">
        <v>53</v>
      </c>
      <c r="K732">
        <v>190</v>
      </c>
      <c r="L732">
        <v>10</v>
      </c>
      <c r="M732" s="8" t="s">
        <v>31</v>
      </c>
      <c r="N732">
        <v>93.6</v>
      </c>
      <c r="O732">
        <v>111</v>
      </c>
      <c r="P732">
        <v>1</v>
      </c>
      <c r="Q732">
        <v>1</v>
      </c>
      <c r="R732">
        <v>2024</v>
      </c>
      <c r="S732">
        <v>2</v>
      </c>
      <c r="T732" s="8" t="s">
        <v>93</v>
      </c>
      <c r="U732">
        <v>0</v>
      </c>
      <c r="V732">
        <v>2</v>
      </c>
      <c r="W732">
        <v>0</v>
      </c>
      <c r="X732">
        <v>0</v>
      </c>
      <c r="Y732">
        <v>1</v>
      </c>
      <c r="Z732">
        <v>1</v>
      </c>
    </row>
    <row r="733" spans="1:26" x14ac:dyDescent="0.25">
      <c r="A733" s="1">
        <v>45379.306585648148</v>
      </c>
      <c r="B733" s="8" t="s">
        <v>25</v>
      </c>
      <c r="C733">
        <v>-30.547599999999999</v>
      </c>
      <c r="D733">
        <v>63.528199999999998</v>
      </c>
      <c r="E733">
        <v>148</v>
      </c>
      <c r="F733" s="8" t="s">
        <v>17</v>
      </c>
      <c r="G733">
        <v>19</v>
      </c>
      <c r="H733">
        <v>50.3</v>
      </c>
      <c r="I733" s="8" t="s">
        <v>18</v>
      </c>
      <c r="J733">
        <v>50</v>
      </c>
      <c r="K733">
        <v>481</v>
      </c>
      <c r="L733">
        <v>2</v>
      </c>
      <c r="M733" s="8" t="s">
        <v>31</v>
      </c>
      <c r="N733">
        <v>87.3</v>
      </c>
      <c r="O733">
        <v>243</v>
      </c>
      <c r="P733">
        <v>1</v>
      </c>
      <c r="Q733">
        <v>3</v>
      </c>
      <c r="R733">
        <v>2024</v>
      </c>
      <c r="S733">
        <v>4</v>
      </c>
      <c r="T733" s="8" t="s">
        <v>90</v>
      </c>
      <c r="U733">
        <v>0</v>
      </c>
      <c r="V733">
        <v>2</v>
      </c>
      <c r="W733">
        <v>1</v>
      </c>
      <c r="X733">
        <v>0</v>
      </c>
      <c r="Y733">
        <v>0</v>
      </c>
      <c r="Z733">
        <v>1</v>
      </c>
    </row>
    <row r="734" spans="1:26" x14ac:dyDescent="0.25">
      <c r="A734" s="1">
        <v>45410.150150462963</v>
      </c>
      <c r="B734" s="8" t="s">
        <v>20</v>
      </c>
      <c r="C734">
        <v>-16.831700000000001</v>
      </c>
      <c r="D734">
        <v>-114.4787</v>
      </c>
      <c r="E734">
        <v>205</v>
      </c>
      <c r="F734" s="8" t="s">
        <v>21</v>
      </c>
      <c r="G734">
        <v>23.4</v>
      </c>
      <c r="H734">
        <v>61.4</v>
      </c>
      <c r="I734" s="8" t="s">
        <v>28</v>
      </c>
      <c r="J734">
        <v>31</v>
      </c>
      <c r="K734">
        <v>279</v>
      </c>
      <c r="L734">
        <v>2</v>
      </c>
      <c r="M734" s="8" t="s">
        <v>27</v>
      </c>
      <c r="N734">
        <v>79.099999999999994</v>
      </c>
      <c r="O734">
        <v>118</v>
      </c>
      <c r="P734">
        <v>0</v>
      </c>
      <c r="Q734">
        <v>4</v>
      </c>
      <c r="R734">
        <v>2024</v>
      </c>
      <c r="S734">
        <v>0</v>
      </c>
      <c r="T734" s="8" t="s">
        <v>90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 s="1">
        <v>45394.823217592595</v>
      </c>
      <c r="B735" s="8" t="s">
        <v>30</v>
      </c>
      <c r="C735">
        <v>42.6126</v>
      </c>
      <c r="D735">
        <v>-69.540800000000004</v>
      </c>
      <c r="E735">
        <v>243</v>
      </c>
      <c r="F735" s="8" t="s">
        <v>21</v>
      </c>
      <c r="G735">
        <v>28.9</v>
      </c>
      <c r="H735">
        <v>57.8</v>
      </c>
      <c r="I735" s="8" t="s">
        <v>28</v>
      </c>
      <c r="J735">
        <v>33</v>
      </c>
      <c r="K735">
        <v>277</v>
      </c>
      <c r="L735">
        <v>10</v>
      </c>
      <c r="M735" s="8" t="s">
        <v>27</v>
      </c>
      <c r="N735">
        <v>84.4</v>
      </c>
      <c r="O735">
        <v>151</v>
      </c>
      <c r="P735">
        <v>0</v>
      </c>
      <c r="Q735">
        <v>4</v>
      </c>
      <c r="R735">
        <v>2024</v>
      </c>
      <c r="S735">
        <v>5</v>
      </c>
      <c r="T735" s="8" t="s">
        <v>90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s="1">
        <v>45656.105219907404</v>
      </c>
      <c r="B736" s="8" t="s">
        <v>32</v>
      </c>
      <c r="C736">
        <v>44.5289</v>
      </c>
      <c r="D736">
        <v>31.100200000000001</v>
      </c>
      <c r="E736">
        <v>226</v>
      </c>
      <c r="F736" s="8" t="s">
        <v>17</v>
      </c>
      <c r="G736">
        <v>21</v>
      </c>
      <c r="H736">
        <v>69.400000000000006</v>
      </c>
      <c r="I736" s="8" t="s">
        <v>18</v>
      </c>
      <c r="J736">
        <v>27</v>
      </c>
      <c r="K736">
        <v>406</v>
      </c>
      <c r="L736">
        <v>5</v>
      </c>
      <c r="M736" s="8" t="s">
        <v>19</v>
      </c>
      <c r="N736">
        <v>99.9</v>
      </c>
      <c r="O736">
        <v>285</v>
      </c>
      <c r="P736">
        <v>1</v>
      </c>
      <c r="Q736">
        <v>12</v>
      </c>
      <c r="R736">
        <v>2024</v>
      </c>
      <c r="S736">
        <v>1</v>
      </c>
      <c r="T736" s="8" t="s">
        <v>93</v>
      </c>
      <c r="U736">
        <v>0</v>
      </c>
      <c r="V736">
        <v>2</v>
      </c>
      <c r="W736">
        <v>1</v>
      </c>
      <c r="X736">
        <v>0</v>
      </c>
      <c r="Y736">
        <v>0</v>
      </c>
      <c r="Z736">
        <v>0</v>
      </c>
    </row>
    <row r="737" spans="1:26" x14ac:dyDescent="0.25">
      <c r="A737" s="1">
        <v>45504.716192129628</v>
      </c>
      <c r="B737" s="8" t="s">
        <v>30</v>
      </c>
      <c r="C737">
        <v>84.716099999999997</v>
      </c>
      <c r="D737">
        <v>77.111400000000003</v>
      </c>
      <c r="E737">
        <v>350</v>
      </c>
      <c r="F737" s="8" t="s">
        <v>26</v>
      </c>
      <c r="G737">
        <v>23.7</v>
      </c>
      <c r="H737">
        <v>59.8</v>
      </c>
      <c r="I737" s="8" t="s">
        <v>18</v>
      </c>
      <c r="J737">
        <v>42</v>
      </c>
      <c r="K737">
        <v>188</v>
      </c>
      <c r="L737">
        <v>10</v>
      </c>
      <c r="M737" s="8" t="s">
        <v>19</v>
      </c>
      <c r="N737">
        <v>98.6</v>
      </c>
      <c r="O737">
        <v>248</v>
      </c>
      <c r="P737">
        <v>0</v>
      </c>
      <c r="Q737">
        <v>7</v>
      </c>
      <c r="R737">
        <v>2024</v>
      </c>
      <c r="S737">
        <v>3</v>
      </c>
      <c r="T737" s="8" t="s">
        <v>92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0</v>
      </c>
    </row>
    <row r="738" spans="1:26" x14ac:dyDescent="0.25">
      <c r="A738" s="1">
        <v>45295.832118055558</v>
      </c>
      <c r="B738" s="8" t="s">
        <v>29</v>
      </c>
      <c r="C738">
        <v>-64.095399999999998</v>
      </c>
      <c r="D738">
        <v>-155.4074</v>
      </c>
      <c r="E738">
        <v>272</v>
      </c>
      <c r="F738" s="8" t="s">
        <v>17</v>
      </c>
      <c r="G738">
        <v>23.4</v>
      </c>
      <c r="H738">
        <v>57.2</v>
      </c>
      <c r="I738" s="8" t="s">
        <v>28</v>
      </c>
      <c r="J738">
        <v>51</v>
      </c>
      <c r="K738">
        <v>419</v>
      </c>
      <c r="L738">
        <v>6</v>
      </c>
      <c r="M738" s="8" t="s">
        <v>31</v>
      </c>
      <c r="N738">
        <v>63.1</v>
      </c>
      <c r="O738">
        <v>159</v>
      </c>
      <c r="P738">
        <v>1</v>
      </c>
      <c r="Q738">
        <v>1</v>
      </c>
      <c r="R738">
        <v>2024</v>
      </c>
      <c r="S738">
        <v>4</v>
      </c>
      <c r="T738" s="8" t="s">
        <v>93</v>
      </c>
      <c r="U738">
        <v>0</v>
      </c>
      <c r="V738">
        <v>2</v>
      </c>
      <c r="W738">
        <v>0</v>
      </c>
      <c r="X738">
        <v>0</v>
      </c>
      <c r="Y738">
        <v>0</v>
      </c>
      <c r="Z738">
        <v>1</v>
      </c>
    </row>
    <row r="739" spans="1:26" x14ac:dyDescent="0.25">
      <c r="A739" s="1">
        <v>45327.033541666664</v>
      </c>
      <c r="B739" s="8" t="s">
        <v>30</v>
      </c>
      <c r="C739">
        <v>20.338799999999999</v>
      </c>
      <c r="D739">
        <v>-109.3313</v>
      </c>
      <c r="E739">
        <v>378</v>
      </c>
      <c r="F739" s="8" t="s">
        <v>21</v>
      </c>
      <c r="G739">
        <v>21</v>
      </c>
      <c r="H739">
        <v>60.8</v>
      </c>
      <c r="I739" s="8" t="s">
        <v>22</v>
      </c>
      <c r="J739">
        <v>30</v>
      </c>
      <c r="K739">
        <v>318</v>
      </c>
      <c r="L739">
        <v>3</v>
      </c>
      <c r="M739" s="8" t="s">
        <v>23</v>
      </c>
      <c r="N739">
        <v>84.8</v>
      </c>
      <c r="O739">
        <v>181</v>
      </c>
      <c r="P739">
        <v>1</v>
      </c>
      <c r="Q739">
        <v>2</v>
      </c>
      <c r="R739">
        <v>2024</v>
      </c>
      <c r="S739">
        <v>1</v>
      </c>
      <c r="T739" s="8" t="s">
        <v>93</v>
      </c>
      <c r="U739">
        <v>0</v>
      </c>
      <c r="V739">
        <v>0</v>
      </c>
      <c r="W739">
        <v>2</v>
      </c>
      <c r="X739">
        <v>1</v>
      </c>
      <c r="Y739">
        <v>0</v>
      </c>
      <c r="Z739">
        <v>0</v>
      </c>
    </row>
    <row r="740" spans="1:26" x14ac:dyDescent="0.25">
      <c r="A740" s="1">
        <v>45562.723703703705</v>
      </c>
      <c r="B740" s="8" t="s">
        <v>24</v>
      </c>
      <c r="C740">
        <v>-14.5017</v>
      </c>
      <c r="D740">
        <v>-20.148599999999998</v>
      </c>
      <c r="E740">
        <v>127</v>
      </c>
      <c r="F740" s="8" t="s">
        <v>17</v>
      </c>
      <c r="G740">
        <v>23.7</v>
      </c>
      <c r="H740">
        <v>51.2</v>
      </c>
      <c r="I740" s="8" t="s">
        <v>22</v>
      </c>
      <c r="J740">
        <v>38</v>
      </c>
      <c r="K740">
        <v>463</v>
      </c>
      <c r="L740">
        <v>1</v>
      </c>
      <c r="M740" s="8" t="s">
        <v>27</v>
      </c>
      <c r="N740">
        <v>78.900000000000006</v>
      </c>
      <c r="O740">
        <v>272</v>
      </c>
      <c r="P740">
        <v>1</v>
      </c>
      <c r="Q740">
        <v>9</v>
      </c>
      <c r="R740">
        <v>2024</v>
      </c>
      <c r="S740">
        <v>5</v>
      </c>
      <c r="T740" s="8" t="s">
        <v>91</v>
      </c>
      <c r="U740">
        <v>1</v>
      </c>
      <c r="V740">
        <v>2</v>
      </c>
      <c r="W740">
        <v>2</v>
      </c>
      <c r="X740">
        <v>1</v>
      </c>
      <c r="Y740">
        <v>0</v>
      </c>
      <c r="Z740">
        <v>0</v>
      </c>
    </row>
    <row r="741" spans="1:26" x14ac:dyDescent="0.25">
      <c r="A741" s="1">
        <v>45572.601435185185</v>
      </c>
      <c r="B741" s="8" t="s">
        <v>29</v>
      </c>
      <c r="C741">
        <v>-35.3643</v>
      </c>
      <c r="D741">
        <v>134.89089999999999</v>
      </c>
      <c r="E741">
        <v>275</v>
      </c>
      <c r="F741" s="8" t="s">
        <v>21</v>
      </c>
      <c r="G741">
        <v>23</v>
      </c>
      <c r="H741">
        <v>55.7</v>
      </c>
      <c r="I741" s="8" t="s">
        <v>28</v>
      </c>
      <c r="J741">
        <v>39</v>
      </c>
      <c r="K741">
        <v>264</v>
      </c>
      <c r="L741">
        <v>1</v>
      </c>
      <c r="M741" s="8" t="s">
        <v>31</v>
      </c>
      <c r="N741">
        <v>64.400000000000006</v>
      </c>
      <c r="O741">
        <v>281</v>
      </c>
      <c r="P741">
        <v>0</v>
      </c>
      <c r="Q741">
        <v>10</v>
      </c>
      <c r="R741">
        <v>2024</v>
      </c>
      <c r="S741">
        <v>1</v>
      </c>
      <c r="T741" s="8" t="s">
        <v>91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 s="1">
        <v>45300.97111111111</v>
      </c>
      <c r="B742" s="8" t="s">
        <v>16</v>
      </c>
      <c r="C742">
        <v>1.3294999999999999</v>
      </c>
      <c r="D742">
        <v>83.6357</v>
      </c>
      <c r="E742">
        <v>483</v>
      </c>
      <c r="F742" s="8" t="s">
        <v>17</v>
      </c>
      <c r="G742">
        <v>28.6</v>
      </c>
      <c r="H742">
        <v>72.400000000000006</v>
      </c>
      <c r="I742" s="8" t="s">
        <v>28</v>
      </c>
      <c r="J742">
        <v>51</v>
      </c>
      <c r="K742">
        <v>243</v>
      </c>
      <c r="L742">
        <v>1</v>
      </c>
      <c r="M742" s="8" t="s">
        <v>27</v>
      </c>
      <c r="N742">
        <v>73.7</v>
      </c>
      <c r="O742">
        <v>167</v>
      </c>
      <c r="P742">
        <v>1</v>
      </c>
      <c r="Q742">
        <v>1</v>
      </c>
      <c r="R742">
        <v>2024</v>
      </c>
      <c r="S742">
        <v>2</v>
      </c>
      <c r="T742" s="8" t="s">
        <v>93</v>
      </c>
      <c r="U742">
        <v>0</v>
      </c>
      <c r="V742">
        <v>2</v>
      </c>
      <c r="W742">
        <v>0</v>
      </c>
      <c r="X742">
        <v>0</v>
      </c>
      <c r="Y742">
        <v>0</v>
      </c>
      <c r="Z742">
        <v>1</v>
      </c>
    </row>
    <row r="743" spans="1:26" x14ac:dyDescent="0.25">
      <c r="A743" s="1">
        <v>45292.770335648151</v>
      </c>
      <c r="B743" s="8" t="s">
        <v>33</v>
      </c>
      <c r="C743">
        <v>88.765199999999993</v>
      </c>
      <c r="D743">
        <v>-178.2706</v>
      </c>
      <c r="E743">
        <v>179</v>
      </c>
      <c r="F743" s="8" t="s">
        <v>17</v>
      </c>
      <c r="G743">
        <v>25.5</v>
      </c>
      <c r="H743">
        <v>70.900000000000006</v>
      </c>
      <c r="I743" s="8" t="s">
        <v>18</v>
      </c>
      <c r="J743">
        <v>12</v>
      </c>
      <c r="K743">
        <v>427</v>
      </c>
      <c r="L743">
        <v>9</v>
      </c>
      <c r="M743" s="8" t="s">
        <v>19</v>
      </c>
      <c r="N743">
        <v>60.3</v>
      </c>
      <c r="O743">
        <v>157</v>
      </c>
      <c r="P743">
        <v>1</v>
      </c>
      <c r="Q743">
        <v>1</v>
      </c>
      <c r="R743">
        <v>2024</v>
      </c>
      <c r="S743">
        <v>1</v>
      </c>
      <c r="T743" s="8" t="s">
        <v>93</v>
      </c>
      <c r="U743">
        <v>0</v>
      </c>
      <c r="V743">
        <v>2</v>
      </c>
      <c r="W743">
        <v>1</v>
      </c>
      <c r="X743">
        <v>0</v>
      </c>
      <c r="Y743">
        <v>0</v>
      </c>
      <c r="Z743">
        <v>0</v>
      </c>
    </row>
    <row r="744" spans="1:26" x14ac:dyDescent="0.25">
      <c r="A744" s="1">
        <v>45644.350648148145</v>
      </c>
      <c r="B744" s="8" t="s">
        <v>33</v>
      </c>
      <c r="C744">
        <v>54.493000000000002</v>
      </c>
      <c r="D744">
        <v>24.597899999999999</v>
      </c>
      <c r="E744">
        <v>325</v>
      </c>
      <c r="F744" s="8" t="s">
        <v>26</v>
      </c>
      <c r="G744">
        <v>26.4</v>
      </c>
      <c r="H744">
        <v>53.7</v>
      </c>
      <c r="I744" s="8" t="s">
        <v>18</v>
      </c>
      <c r="J744">
        <v>49</v>
      </c>
      <c r="K744">
        <v>495</v>
      </c>
      <c r="L744">
        <v>3</v>
      </c>
      <c r="M744" s="8" t="s">
        <v>23</v>
      </c>
      <c r="N744">
        <v>79.5</v>
      </c>
      <c r="O744">
        <v>145</v>
      </c>
      <c r="P744">
        <v>0</v>
      </c>
      <c r="Q744">
        <v>12</v>
      </c>
      <c r="R744">
        <v>2024</v>
      </c>
      <c r="S744">
        <v>3</v>
      </c>
      <c r="T744" s="8" t="s">
        <v>93</v>
      </c>
      <c r="U744">
        <v>0</v>
      </c>
      <c r="V744">
        <v>1</v>
      </c>
      <c r="W744">
        <v>1</v>
      </c>
      <c r="X744">
        <v>0</v>
      </c>
      <c r="Y744">
        <v>0</v>
      </c>
      <c r="Z744">
        <v>1</v>
      </c>
    </row>
    <row r="745" spans="1:26" x14ac:dyDescent="0.25">
      <c r="A745" s="1">
        <v>45307.407731481479</v>
      </c>
      <c r="B745" s="8" t="s">
        <v>24</v>
      </c>
      <c r="C745">
        <v>49.743099999999998</v>
      </c>
      <c r="D745">
        <v>156.32159999999999</v>
      </c>
      <c r="E745">
        <v>256</v>
      </c>
      <c r="F745" s="8" t="s">
        <v>26</v>
      </c>
      <c r="G745">
        <v>22.3</v>
      </c>
      <c r="H745">
        <v>66.3</v>
      </c>
      <c r="I745" s="8" t="s">
        <v>22</v>
      </c>
      <c r="J745">
        <v>10</v>
      </c>
      <c r="K745">
        <v>462</v>
      </c>
      <c r="L745">
        <v>1</v>
      </c>
      <c r="M745" s="8" t="s">
        <v>23</v>
      </c>
      <c r="N745">
        <v>95.5</v>
      </c>
      <c r="O745">
        <v>276</v>
      </c>
      <c r="P745">
        <v>1</v>
      </c>
      <c r="Q745">
        <v>1</v>
      </c>
      <c r="R745">
        <v>2024</v>
      </c>
      <c r="S745">
        <v>2</v>
      </c>
      <c r="T745" s="8" t="s">
        <v>93</v>
      </c>
      <c r="U745">
        <v>0</v>
      </c>
      <c r="V745">
        <v>1</v>
      </c>
      <c r="W745">
        <v>2</v>
      </c>
      <c r="X745">
        <v>1</v>
      </c>
      <c r="Y745">
        <v>0</v>
      </c>
      <c r="Z745">
        <v>0</v>
      </c>
    </row>
    <row r="746" spans="1:26" x14ac:dyDescent="0.25">
      <c r="A746" s="1">
        <v>45547.135000000002</v>
      </c>
      <c r="B746" s="8" t="s">
        <v>29</v>
      </c>
      <c r="C746">
        <v>-86.935699999999997</v>
      </c>
      <c r="D746">
        <v>-84.971800000000002</v>
      </c>
      <c r="E746">
        <v>405</v>
      </c>
      <c r="F746" s="8" t="s">
        <v>21</v>
      </c>
      <c r="G746">
        <v>20.5</v>
      </c>
      <c r="H746">
        <v>55.6</v>
      </c>
      <c r="I746" s="8" t="s">
        <v>22</v>
      </c>
      <c r="J746">
        <v>25</v>
      </c>
      <c r="K746">
        <v>442</v>
      </c>
      <c r="L746">
        <v>4</v>
      </c>
      <c r="M746" s="8" t="s">
        <v>27</v>
      </c>
      <c r="N746">
        <v>70.5</v>
      </c>
      <c r="O746">
        <v>269</v>
      </c>
      <c r="P746">
        <v>1</v>
      </c>
      <c r="Q746">
        <v>9</v>
      </c>
      <c r="R746">
        <v>2024</v>
      </c>
      <c r="S746">
        <v>4</v>
      </c>
      <c r="T746" s="8" t="s">
        <v>91</v>
      </c>
      <c r="U746">
        <v>0</v>
      </c>
      <c r="V746">
        <v>0</v>
      </c>
      <c r="W746">
        <v>2</v>
      </c>
      <c r="X746">
        <v>1</v>
      </c>
      <c r="Y746">
        <v>0</v>
      </c>
      <c r="Z746">
        <v>0</v>
      </c>
    </row>
    <row r="747" spans="1:26" x14ac:dyDescent="0.25">
      <c r="A747" s="1">
        <v>45612.074664351851</v>
      </c>
      <c r="B747" s="8" t="s">
        <v>34</v>
      </c>
      <c r="C747">
        <v>-59.607799999999997</v>
      </c>
      <c r="D747">
        <v>157.02000000000001</v>
      </c>
      <c r="E747">
        <v>428</v>
      </c>
      <c r="F747" s="8" t="s">
        <v>17</v>
      </c>
      <c r="G747">
        <v>23.5</v>
      </c>
      <c r="H747">
        <v>67.3</v>
      </c>
      <c r="I747" s="8" t="s">
        <v>22</v>
      </c>
      <c r="J747">
        <v>33</v>
      </c>
      <c r="K747">
        <v>152</v>
      </c>
      <c r="L747">
        <v>8</v>
      </c>
      <c r="M747" s="8" t="s">
        <v>19</v>
      </c>
      <c r="N747">
        <v>71.3</v>
      </c>
      <c r="O747">
        <v>300</v>
      </c>
      <c r="P747">
        <v>1</v>
      </c>
      <c r="Q747">
        <v>11</v>
      </c>
      <c r="R747">
        <v>2024</v>
      </c>
      <c r="S747">
        <v>6</v>
      </c>
      <c r="T747" s="8" t="s">
        <v>91</v>
      </c>
      <c r="U747">
        <v>1</v>
      </c>
      <c r="V747">
        <v>2</v>
      </c>
      <c r="W747">
        <v>2</v>
      </c>
      <c r="X747">
        <v>1</v>
      </c>
      <c r="Y747">
        <v>0</v>
      </c>
      <c r="Z747">
        <v>0</v>
      </c>
    </row>
    <row r="748" spans="1:26" x14ac:dyDescent="0.25">
      <c r="A748" s="1">
        <v>45434.201550925929</v>
      </c>
      <c r="B748" s="8" t="s">
        <v>35</v>
      </c>
      <c r="C748">
        <v>-10.9298</v>
      </c>
      <c r="D748">
        <v>-89.030600000000007</v>
      </c>
      <c r="E748">
        <v>247</v>
      </c>
      <c r="F748" s="8" t="s">
        <v>17</v>
      </c>
      <c r="G748">
        <v>18.3</v>
      </c>
      <c r="H748">
        <v>56.7</v>
      </c>
      <c r="I748" s="8" t="s">
        <v>22</v>
      </c>
      <c r="J748">
        <v>60</v>
      </c>
      <c r="K748">
        <v>194</v>
      </c>
      <c r="L748">
        <v>6</v>
      </c>
      <c r="M748" s="8" t="s">
        <v>19</v>
      </c>
      <c r="N748">
        <v>66.8</v>
      </c>
      <c r="O748">
        <v>192</v>
      </c>
      <c r="P748">
        <v>1</v>
      </c>
      <c r="Q748">
        <v>5</v>
      </c>
      <c r="R748">
        <v>2024</v>
      </c>
      <c r="S748">
        <v>3</v>
      </c>
      <c r="T748" s="8" t="s">
        <v>90</v>
      </c>
      <c r="U748">
        <v>0</v>
      </c>
      <c r="V748">
        <v>2</v>
      </c>
      <c r="W748">
        <v>2</v>
      </c>
      <c r="X748">
        <v>1</v>
      </c>
      <c r="Y748">
        <v>0</v>
      </c>
      <c r="Z748">
        <v>1</v>
      </c>
    </row>
    <row r="749" spans="1:26" x14ac:dyDescent="0.25">
      <c r="A749" s="1">
        <v>45446.845567129632</v>
      </c>
      <c r="B749" s="8" t="s">
        <v>32</v>
      </c>
      <c r="C749">
        <v>-54.357100000000003</v>
      </c>
      <c r="D749">
        <v>-133.19380000000001</v>
      </c>
      <c r="E749">
        <v>276</v>
      </c>
      <c r="F749" s="8" t="s">
        <v>26</v>
      </c>
      <c r="G749">
        <v>19.600000000000001</v>
      </c>
      <c r="H749">
        <v>53.4</v>
      </c>
      <c r="I749" s="8" t="s">
        <v>22</v>
      </c>
      <c r="J749">
        <v>38</v>
      </c>
      <c r="K749">
        <v>408</v>
      </c>
      <c r="L749">
        <v>2</v>
      </c>
      <c r="M749" s="8" t="s">
        <v>27</v>
      </c>
      <c r="N749">
        <v>89.2</v>
      </c>
      <c r="O749">
        <v>118</v>
      </c>
      <c r="P749">
        <v>1</v>
      </c>
      <c r="Q749">
        <v>6</v>
      </c>
      <c r="R749">
        <v>2024</v>
      </c>
      <c r="S749">
        <v>1</v>
      </c>
      <c r="T749" s="8" t="s">
        <v>92</v>
      </c>
      <c r="U749">
        <v>0</v>
      </c>
      <c r="V749">
        <v>1</v>
      </c>
      <c r="W749">
        <v>2</v>
      </c>
      <c r="X749">
        <v>1</v>
      </c>
      <c r="Y749">
        <v>0</v>
      </c>
      <c r="Z749">
        <v>0</v>
      </c>
    </row>
    <row r="750" spans="1:26" x14ac:dyDescent="0.25">
      <c r="A750" s="1">
        <v>45368.012974537036</v>
      </c>
      <c r="B750" s="8" t="s">
        <v>32</v>
      </c>
      <c r="C750">
        <v>-82.175399999999996</v>
      </c>
      <c r="D750">
        <v>-169.42189999999999</v>
      </c>
      <c r="E750">
        <v>410</v>
      </c>
      <c r="F750" s="8" t="s">
        <v>26</v>
      </c>
      <c r="G750">
        <v>25</v>
      </c>
      <c r="H750">
        <v>72.900000000000006</v>
      </c>
      <c r="I750" s="8" t="s">
        <v>28</v>
      </c>
      <c r="J750">
        <v>21</v>
      </c>
      <c r="K750">
        <v>306</v>
      </c>
      <c r="L750">
        <v>2</v>
      </c>
      <c r="M750" s="8" t="s">
        <v>27</v>
      </c>
      <c r="N750">
        <v>71.2</v>
      </c>
      <c r="O750">
        <v>132</v>
      </c>
      <c r="P750">
        <v>0</v>
      </c>
      <c r="Q750">
        <v>3</v>
      </c>
      <c r="R750">
        <v>2024</v>
      </c>
      <c r="S750">
        <v>0</v>
      </c>
      <c r="T750" s="8" t="s">
        <v>90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</row>
    <row r="751" spans="1:26" x14ac:dyDescent="0.25">
      <c r="A751" s="1">
        <v>45494.405474537038</v>
      </c>
      <c r="B751" s="8" t="s">
        <v>35</v>
      </c>
      <c r="C751">
        <v>-11.363099999999999</v>
      </c>
      <c r="D751">
        <v>83.081900000000005</v>
      </c>
      <c r="E751">
        <v>449</v>
      </c>
      <c r="F751" s="8" t="s">
        <v>26</v>
      </c>
      <c r="G751">
        <v>28.8</v>
      </c>
      <c r="H751">
        <v>76.2</v>
      </c>
      <c r="I751" s="8" t="s">
        <v>28</v>
      </c>
      <c r="J751">
        <v>31</v>
      </c>
      <c r="K751">
        <v>234</v>
      </c>
      <c r="L751">
        <v>8</v>
      </c>
      <c r="M751" s="8" t="s">
        <v>27</v>
      </c>
      <c r="N751">
        <v>91.7</v>
      </c>
      <c r="O751">
        <v>129</v>
      </c>
      <c r="P751">
        <v>0</v>
      </c>
      <c r="Q751">
        <v>7</v>
      </c>
      <c r="R751">
        <v>2024</v>
      </c>
      <c r="S751">
        <v>0</v>
      </c>
      <c r="T751" s="8" t="s">
        <v>92</v>
      </c>
      <c r="U751">
        <v>0</v>
      </c>
      <c r="V751">
        <v>1</v>
      </c>
      <c r="W751">
        <v>0</v>
      </c>
      <c r="X751">
        <v>0</v>
      </c>
      <c r="Y751">
        <v>1</v>
      </c>
      <c r="Z751">
        <v>0</v>
      </c>
    </row>
    <row r="752" spans="1:26" x14ac:dyDescent="0.25">
      <c r="A752" s="1">
        <v>45387.281157407408</v>
      </c>
      <c r="B752" s="8" t="s">
        <v>20</v>
      </c>
      <c r="C752">
        <v>-48.383800000000001</v>
      </c>
      <c r="D752">
        <v>-163.11770000000001</v>
      </c>
      <c r="E752">
        <v>403</v>
      </c>
      <c r="F752" s="8" t="s">
        <v>26</v>
      </c>
      <c r="G752">
        <v>19.399999999999999</v>
      </c>
      <c r="H752">
        <v>70.3</v>
      </c>
      <c r="I752" s="8" t="s">
        <v>28</v>
      </c>
      <c r="J752">
        <v>43</v>
      </c>
      <c r="K752">
        <v>238</v>
      </c>
      <c r="L752">
        <v>5</v>
      </c>
      <c r="M752" s="8" t="s">
        <v>31</v>
      </c>
      <c r="N752">
        <v>79.7</v>
      </c>
      <c r="O752">
        <v>202</v>
      </c>
      <c r="P752">
        <v>0</v>
      </c>
      <c r="Q752">
        <v>4</v>
      </c>
      <c r="R752">
        <v>2024</v>
      </c>
      <c r="S752">
        <v>5</v>
      </c>
      <c r="T752" s="8" t="s">
        <v>90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</row>
    <row r="753" spans="1:26" x14ac:dyDescent="0.25">
      <c r="A753" s="1">
        <v>45307.728414351855</v>
      </c>
      <c r="B753" s="8" t="s">
        <v>16</v>
      </c>
      <c r="C753">
        <v>7.0556999999999999</v>
      </c>
      <c r="D753">
        <v>-122.6525</v>
      </c>
      <c r="E753">
        <v>380</v>
      </c>
      <c r="F753" s="8" t="s">
        <v>17</v>
      </c>
      <c r="G753">
        <v>27.1</v>
      </c>
      <c r="H753">
        <v>71.5</v>
      </c>
      <c r="I753" s="8" t="s">
        <v>28</v>
      </c>
      <c r="J753">
        <v>23</v>
      </c>
      <c r="K753">
        <v>373</v>
      </c>
      <c r="L753">
        <v>3</v>
      </c>
      <c r="M753" s="8" t="s">
        <v>31</v>
      </c>
      <c r="N753">
        <v>97.1</v>
      </c>
      <c r="O753">
        <v>286</v>
      </c>
      <c r="P753">
        <v>1</v>
      </c>
      <c r="Q753">
        <v>1</v>
      </c>
      <c r="R753">
        <v>2024</v>
      </c>
      <c r="S753">
        <v>2</v>
      </c>
      <c r="T753" s="8" t="s">
        <v>93</v>
      </c>
      <c r="U753">
        <v>0</v>
      </c>
      <c r="V753">
        <v>2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 s="1">
        <v>45644.058263888888</v>
      </c>
      <c r="B754" s="8" t="s">
        <v>34</v>
      </c>
      <c r="C754">
        <v>-1.0775999999999999</v>
      </c>
      <c r="D754">
        <v>51.907499999999999</v>
      </c>
      <c r="E754">
        <v>417</v>
      </c>
      <c r="F754" s="8" t="s">
        <v>21</v>
      </c>
      <c r="G754">
        <v>27</v>
      </c>
      <c r="H754">
        <v>62.8</v>
      </c>
      <c r="I754" s="8" t="s">
        <v>22</v>
      </c>
      <c r="J754">
        <v>33</v>
      </c>
      <c r="K754">
        <v>373</v>
      </c>
      <c r="L754">
        <v>1</v>
      </c>
      <c r="M754" s="8" t="s">
        <v>23</v>
      </c>
      <c r="N754">
        <v>74.099999999999994</v>
      </c>
      <c r="O754">
        <v>122</v>
      </c>
      <c r="P754">
        <v>1</v>
      </c>
      <c r="Q754">
        <v>12</v>
      </c>
      <c r="R754">
        <v>2024</v>
      </c>
      <c r="S754">
        <v>3</v>
      </c>
      <c r="T754" s="8" t="s">
        <v>93</v>
      </c>
      <c r="U754">
        <v>0</v>
      </c>
      <c r="V754">
        <v>0</v>
      </c>
      <c r="W754">
        <v>2</v>
      </c>
      <c r="X754">
        <v>1</v>
      </c>
      <c r="Y754">
        <v>0</v>
      </c>
      <c r="Z754">
        <v>0</v>
      </c>
    </row>
    <row r="755" spans="1:26" x14ac:dyDescent="0.25">
      <c r="A755" s="1">
        <v>45644.611215277779</v>
      </c>
      <c r="B755" s="8" t="s">
        <v>35</v>
      </c>
      <c r="C755">
        <v>-81.573300000000003</v>
      </c>
      <c r="D755">
        <v>-17.378699999999998</v>
      </c>
      <c r="E755">
        <v>169</v>
      </c>
      <c r="F755" s="8" t="s">
        <v>17</v>
      </c>
      <c r="G755">
        <v>28.4</v>
      </c>
      <c r="H755">
        <v>74.400000000000006</v>
      </c>
      <c r="I755" s="8" t="s">
        <v>22</v>
      </c>
      <c r="J755">
        <v>53</v>
      </c>
      <c r="K755">
        <v>342</v>
      </c>
      <c r="L755">
        <v>6</v>
      </c>
      <c r="M755" s="8" t="s">
        <v>27</v>
      </c>
      <c r="N755">
        <v>98.1</v>
      </c>
      <c r="O755">
        <v>179</v>
      </c>
      <c r="P755">
        <v>1</v>
      </c>
      <c r="Q755">
        <v>12</v>
      </c>
      <c r="R755">
        <v>2024</v>
      </c>
      <c r="S755">
        <v>3</v>
      </c>
      <c r="T755" s="8" t="s">
        <v>93</v>
      </c>
      <c r="U755">
        <v>0</v>
      </c>
      <c r="V755">
        <v>2</v>
      </c>
      <c r="W755">
        <v>2</v>
      </c>
      <c r="X755">
        <v>1</v>
      </c>
      <c r="Y755">
        <v>0</v>
      </c>
      <c r="Z755">
        <v>1</v>
      </c>
    </row>
    <row r="756" spans="1:26" x14ac:dyDescent="0.25">
      <c r="A756" s="1">
        <v>45355.378217592595</v>
      </c>
      <c r="B756" s="8" t="s">
        <v>16</v>
      </c>
      <c r="C756">
        <v>75.210899999999995</v>
      </c>
      <c r="D756">
        <v>170.33709999999999</v>
      </c>
      <c r="E756">
        <v>382</v>
      </c>
      <c r="F756" s="8" t="s">
        <v>17</v>
      </c>
      <c r="G756">
        <v>22.2</v>
      </c>
      <c r="H756">
        <v>63.2</v>
      </c>
      <c r="I756" s="8" t="s">
        <v>28</v>
      </c>
      <c r="J756">
        <v>12</v>
      </c>
      <c r="K756">
        <v>467</v>
      </c>
      <c r="L756">
        <v>6</v>
      </c>
      <c r="M756" s="8" t="s">
        <v>19</v>
      </c>
      <c r="N756">
        <v>80.599999999999994</v>
      </c>
      <c r="O756">
        <v>210</v>
      </c>
      <c r="P756">
        <v>1</v>
      </c>
      <c r="Q756">
        <v>3</v>
      </c>
      <c r="R756">
        <v>2024</v>
      </c>
      <c r="S756">
        <v>1</v>
      </c>
      <c r="T756" s="8" t="s">
        <v>90</v>
      </c>
      <c r="U756">
        <v>0</v>
      </c>
      <c r="V756">
        <v>2</v>
      </c>
      <c r="W756">
        <v>0</v>
      </c>
      <c r="X756">
        <v>0</v>
      </c>
      <c r="Y756">
        <v>0</v>
      </c>
      <c r="Z756">
        <v>0</v>
      </c>
    </row>
    <row r="757" spans="1:26" x14ac:dyDescent="0.25">
      <c r="A757" s="1">
        <v>45604.089143518519</v>
      </c>
      <c r="B757" s="8" t="s">
        <v>20</v>
      </c>
      <c r="C757">
        <v>-21.428799999999999</v>
      </c>
      <c r="D757">
        <v>-164.29150000000001</v>
      </c>
      <c r="E757">
        <v>404</v>
      </c>
      <c r="F757" s="8" t="s">
        <v>17</v>
      </c>
      <c r="G757">
        <v>18.8</v>
      </c>
      <c r="H757">
        <v>69.3</v>
      </c>
      <c r="I757" s="8" t="s">
        <v>18</v>
      </c>
      <c r="J757">
        <v>59</v>
      </c>
      <c r="K757">
        <v>307</v>
      </c>
      <c r="L757">
        <v>10</v>
      </c>
      <c r="M757" s="8" t="s">
        <v>23</v>
      </c>
      <c r="N757">
        <v>67.7</v>
      </c>
      <c r="O757">
        <v>223</v>
      </c>
      <c r="P757">
        <v>1</v>
      </c>
      <c r="Q757">
        <v>11</v>
      </c>
      <c r="R757">
        <v>2024</v>
      </c>
      <c r="S757">
        <v>5</v>
      </c>
      <c r="T757" s="8" t="s">
        <v>91</v>
      </c>
      <c r="U757">
        <v>1</v>
      </c>
      <c r="V757">
        <v>2</v>
      </c>
      <c r="W757">
        <v>1</v>
      </c>
      <c r="X757">
        <v>0</v>
      </c>
      <c r="Y757">
        <v>0</v>
      </c>
      <c r="Z757">
        <v>1</v>
      </c>
    </row>
    <row r="758" spans="1:26" x14ac:dyDescent="0.25">
      <c r="A758" s="1">
        <v>45434.147349537037</v>
      </c>
      <c r="B758" s="8" t="s">
        <v>32</v>
      </c>
      <c r="C758">
        <v>-49.145000000000003</v>
      </c>
      <c r="D758">
        <v>-120.0898</v>
      </c>
      <c r="E758">
        <v>399</v>
      </c>
      <c r="F758" s="8" t="s">
        <v>17</v>
      </c>
      <c r="G758">
        <v>20.100000000000001</v>
      </c>
      <c r="H758">
        <v>74.2</v>
      </c>
      <c r="I758" s="8" t="s">
        <v>18</v>
      </c>
      <c r="J758">
        <v>54</v>
      </c>
      <c r="K758">
        <v>317</v>
      </c>
      <c r="L758">
        <v>8</v>
      </c>
      <c r="M758" s="8" t="s">
        <v>31</v>
      </c>
      <c r="N758">
        <v>88.2</v>
      </c>
      <c r="O758">
        <v>143</v>
      </c>
      <c r="P758">
        <v>1</v>
      </c>
      <c r="Q758">
        <v>5</v>
      </c>
      <c r="R758">
        <v>2024</v>
      </c>
      <c r="S758">
        <v>3</v>
      </c>
      <c r="T758" s="8" t="s">
        <v>90</v>
      </c>
      <c r="U758">
        <v>0</v>
      </c>
      <c r="V758">
        <v>2</v>
      </c>
      <c r="W758">
        <v>1</v>
      </c>
      <c r="X758">
        <v>0</v>
      </c>
      <c r="Y758">
        <v>0</v>
      </c>
      <c r="Z758">
        <v>1</v>
      </c>
    </row>
    <row r="759" spans="1:26" x14ac:dyDescent="0.25">
      <c r="A759" s="1">
        <v>45489.102870370371</v>
      </c>
      <c r="B759" s="8" t="s">
        <v>35</v>
      </c>
      <c r="C759">
        <v>-87.383499999999998</v>
      </c>
      <c r="D759">
        <v>60.460900000000002</v>
      </c>
      <c r="E759">
        <v>271</v>
      </c>
      <c r="F759" s="8" t="s">
        <v>26</v>
      </c>
      <c r="G759">
        <v>24.6</v>
      </c>
      <c r="H759">
        <v>73</v>
      </c>
      <c r="I759" s="8" t="s">
        <v>18</v>
      </c>
      <c r="J759">
        <v>53</v>
      </c>
      <c r="K759">
        <v>382</v>
      </c>
      <c r="L759">
        <v>3</v>
      </c>
      <c r="M759" s="8" t="s">
        <v>19</v>
      </c>
      <c r="N759">
        <v>94.1</v>
      </c>
      <c r="O759">
        <v>166</v>
      </c>
      <c r="P759">
        <v>0</v>
      </c>
      <c r="Q759">
        <v>7</v>
      </c>
      <c r="R759">
        <v>2024</v>
      </c>
      <c r="S759">
        <v>2</v>
      </c>
      <c r="T759" s="8" t="s">
        <v>92</v>
      </c>
      <c r="U759">
        <v>0</v>
      </c>
      <c r="V759">
        <v>1</v>
      </c>
      <c r="W759">
        <v>1</v>
      </c>
      <c r="X759">
        <v>0</v>
      </c>
      <c r="Y759">
        <v>0</v>
      </c>
      <c r="Z759">
        <v>1</v>
      </c>
    </row>
    <row r="760" spans="1:26" x14ac:dyDescent="0.25">
      <c r="A760" s="1">
        <v>45311.879224537035</v>
      </c>
      <c r="B760" s="8" t="s">
        <v>35</v>
      </c>
      <c r="C760">
        <v>69.641300000000001</v>
      </c>
      <c r="D760">
        <v>1.4327000000000001</v>
      </c>
      <c r="E760">
        <v>332</v>
      </c>
      <c r="F760" s="8" t="s">
        <v>17</v>
      </c>
      <c r="G760">
        <v>18.8</v>
      </c>
      <c r="H760">
        <v>74.7</v>
      </c>
      <c r="I760" s="8" t="s">
        <v>22</v>
      </c>
      <c r="J760">
        <v>16</v>
      </c>
      <c r="K760">
        <v>279</v>
      </c>
      <c r="L760">
        <v>2</v>
      </c>
      <c r="M760" s="8" t="s">
        <v>19</v>
      </c>
      <c r="N760">
        <v>61.8</v>
      </c>
      <c r="O760">
        <v>289</v>
      </c>
      <c r="P760">
        <v>1</v>
      </c>
      <c r="Q760">
        <v>1</v>
      </c>
      <c r="R760">
        <v>2024</v>
      </c>
      <c r="S760">
        <v>6</v>
      </c>
      <c r="T760" s="8" t="s">
        <v>93</v>
      </c>
      <c r="U760">
        <v>1</v>
      </c>
      <c r="V760">
        <v>2</v>
      </c>
      <c r="W760">
        <v>2</v>
      </c>
      <c r="X760">
        <v>1</v>
      </c>
      <c r="Y760">
        <v>0</v>
      </c>
      <c r="Z760">
        <v>0</v>
      </c>
    </row>
    <row r="761" spans="1:26" x14ac:dyDescent="0.25">
      <c r="A761" s="1">
        <v>45398.127175925925</v>
      </c>
      <c r="B761" s="8" t="s">
        <v>34</v>
      </c>
      <c r="C761">
        <v>19.9466</v>
      </c>
      <c r="D761">
        <v>-104.4665</v>
      </c>
      <c r="E761">
        <v>445</v>
      </c>
      <c r="F761" s="8" t="s">
        <v>26</v>
      </c>
      <c r="G761">
        <v>25.7</v>
      </c>
      <c r="H761">
        <v>50.8</v>
      </c>
      <c r="I761" s="8" t="s">
        <v>22</v>
      </c>
      <c r="J761">
        <v>28</v>
      </c>
      <c r="K761">
        <v>414</v>
      </c>
      <c r="L761">
        <v>2</v>
      </c>
      <c r="M761" s="8" t="s">
        <v>23</v>
      </c>
      <c r="N761">
        <v>75.5</v>
      </c>
      <c r="O761">
        <v>140</v>
      </c>
      <c r="P761">
        <v>1</v>
      </c>
      <c r="Q761">
        <v>4</v>
      </c>
      <c r="R761">
        <v>2024</v>
      </c>
      <c r="S761">
        <v>2</v>
      </c>
      <c r="T761" s="8" t="s">
        <v>90</v>
      </c>
      <c r="U761">
        <v>0</v>
      </c>
      <c r="V761">
        <v>1</v>
      </c>
      <c r="W761">
        <v>2</v>
      </c>
      <c r="X761">
        <v>1</v>
      </c>
      <c r="Y761">
        <v>0</v>
      </c>
      <c r="Z761">
        <v>0</v>
      </c>
    </row>
    <row r="762" spans="1:26" x14ac:dyDescent="0.25">
      <c r="A762" s="1">
        <v>45329.203020833331</v>
      </c>
      <c r="B762" s="8" t="s">
        <v>20</v>
      </c>
      <c r="C762">
        <v>19.557300000000001</v>
      </c>
      <c r="D762">
        <v>171.86969999999999</v>
      </c>
      <c r="E762">
        <v>426</v>
      </c>
      <c r="F762" s="8" t="s">
        <v>21</v>
      </c>
      <c r="G762">
        <v>23.6</v>
      </c>
      <c r="H762">
        <v>58</v>
      </c>
      <c r="I762" s="8" t="s">
        <v>22</v>
      </c>
      <c r="J762">
        <v>47</v>
      </c>
      <c r="K762">
        <v>263</v>
      </c>
      <c r="L762">
        <v>1</v>
      </c>
      <c r="M762" s="8" t="s">
        <v>27</v>
      </c>
      <c r="N762">
        <v>92.9</v>
      </c>
      <c r="O762">
        <v>136</v>
      </c>
      <c r="P762">
        <v>1</v>
      </c>
      <c r="Q762">
        <v>2</v>
      </c>
      <c r="R762">
        <v>2024</v>
      </c>
      <c r="S762">
        <v>3</v>
      </c>
      <c r="T762" s="8" t="s">
        <v>93</v>
      </c>
      <c r="U762">
        <v>0</v>
      </c>
      <c r="V762">
        <v>0</v>
      </c>
      <c r="W762">
        <v>2</v>
      </c>
      <c r="X762">
        <v>1</v>
      </c>
      <c r="Y762">
        <v>0</v>
      </c>
      <c r="Z762">
        <v>1</v>
      </c>
    </row>
    <row r="763" spans="1:26" x14ac:dyDescent="0.25">
      <c r="A763" s="1">
        <v>45307.173773148148</v>
      </c>
      <c r="B763" s="8" t="s">
        <v>20</v>
      </c>
      <c r="C763">
        <v>-46.9621</v>
      </c>
      <c r="D763">
        <v>87.697199999999995</v>
      </c>
      <c r="E763">
        <v>419</v>
      </c>
      <c r="F763" s="8" t="s">
        <v>21</v>
      </c>
      <c r="G763">
        <v>27</v>
      </c>
      <c r="H763">
        <v>56.7</v>
      </c>
      <c r="I763" s="8" t="s">
        <v>18</v>
      </c>
      <c r="J763">
        <v>25</v>
      </c>
      <c r="K763">
        <v>378</v>
      </c>
      <c r="L763">
        <v>2</v>
      </c>
      <c r="M763" s="8" t="s">
        <v>19</v>
      </c>
      <c r="N763">
        <v>74.3</v>
      </c>
      <c r="O763">
        <v>212</v>
      </c>
      <c r="P763">
        <v>0</v>
      </c>
      <c r="Q763">
        <v>1</v>
      </c>
      <c r="R763">
        <v>2024</v>
      </c>
      <c r="S763">
        <v>2</v>
      </c>
      <c r="T763" s="8" t="s">
        <v>93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</row>
    <row r="764" spans="1:26" x14ac:dyDescent="0.25">
      <c r="A764" s="1">
        <v>45303.097673611112</v>
      </c>
      <c r="B764" s="8" t="s">
        <v>29</v>
      </c>
      <c r="C764">
        <v>-34.443300000000001</v>
      </c>
      <c r="D764">
        <v>-4.0669000000000004</v>
      </c>
      <c r="E764">
        <v>128</v>
      </c>
      <c r="F764" s="8" t="s">
        <v>17</v>
      </c>
      <c r="G764">
        <v>29</v>
      </c>
      <c r="H764">
        <v>71</v>
      </c>
      <c r="I764" s="8" t="s">
        <v>18</v>
      </c>
      <c r="J764">
        <v>12</v>
      </c>
      <c r="K764">
        <v>404</v>
      </c>
      <c r="L764">
        <v>8</v>
      </c>
      <c r="M764" s="8" t="s">
        <v>27</v>
      </c>
      <c r="N764">
        <v>81.3</v>
      </c>
      <c r="O764">
        <v>272</v>
      </c>
      <c r="P764">
        <v>1</v>
      </c>
      <c r="Q764">
        <v>1</v>
      </c>
      <c r="R764">
        <v>2024</v>
      </c>
      <c r="S764">
        <v>5</v>
      </c>
      <c r="T764" s="8" t="s">
        <v>93</v>
      </c>
      <c r="U764">
        <v>1</v>
      </c>
      <c r="V764">
        <v>2</v>
      </c>
      <c r="W764">
        <v>1</v>
      </c>
      <c r="X764">
        <v>0</v>
      </c>
      <c r="Y764">
        <v>0</v>
      </c>
      <c r="Z764">
        <v>0</v>
      </c>
    </row>
    <row r="765" spans="1:26" x14ac:dyDescent="0.25">
      <c r="A765" s="1">
        <v>45581.864849537036</v>
      </c>
      <c r="B765" s="8" t="s">
        <v>25</v>
      </c>
      <c r="C765">
        <v>-7.8198999999999996</v>
      </c>
      <c r="D765">
        <v>-78.215000000000003</v>
      </c>
      <c r="E765">
        <v>200</v>
      </c>
      <c r="F765" s="8" t="s">
        <v>21</v>
      </c>
      <c r="G765">
        <v>19.2</v>
      </c>
      <c r="H765">
        <v>67.7</v>
      </c>
      <c r="I765" s="8" t="s">
        <v>22</v>
      </c>
      <c r="J765">
        <v>11</v>
      </c>
      <c r="K765">
        <v>349</v>
      </c>
      <c r="L765">
        <v>6</v>
      </c>
      <c r="M765" s="8" t="s">
        <v>19</v>
      </c>
      <c r="N765">
        <v>73.599999999999994</v>
      </c>
      <c r="O765">
        <v>299</v>
      </c>
      <c r="P765">
        <v>1</v>
      </c>
      <c r="Q765">
        <v>10</v>
      </c>
      <c r="R765">
        <v>2024</v>
      </c>
      <c r="S765">
        <v>3</v>
      </c>
      <c r="T765" s="8" t="s">
        <v>91</v>
      </c>
      <c r="U765">
        <v>0</v>
      </c>
      <c r="V765">
        <v>0</v>
      </c>
      <c r="W765">
        <v>2</v>
      </c>
      <c r="X765">
        <v>1</v>
      </c>
      <c r="Y765">
        <v>0</v>
      </c>
      <c r="Z765">
        <v>0</v>
      </c>
    </row>
    <row r="766" spans="1:26" x14ac:dyDescent="0.25">
      <c r="A766" s="1">
        <v>45505.386296296296</v>
      </c>
      <c r="B766" s="8" t="s">
        <v>32</v>
      </c>
      <c r="C766">
        <v>11.661099999999999</v>
      </c>
      <c r="D766">
        <v>44.750500000000002</v>
      </c>
      <c r="E766">
        <v>434</v>
      </c>
      <c r="F766" s="8" t="s">
        <v>26</v>
      </c>
      <c r="G766">
        <v>29.4</v>
      </c>
      <c r="H766">
        <v>76.3</v>
      </c>
      <c r="I766" s="8" t="s">
        <v>22</v>
      </c>
      <c r="J766">
        <v>30</v>
      </c>
      <c r="K766">
        <v>166</v>
      </c>
      <c r="L766">
        <v>1</v>
      </c>
      <c r="M766" s="8" t="s">
        <v>19</v>
      </c>
      <c r="N766">
        <v>94.6</v>
      </c>
      <c r="O766">
        <v>220</v>
      </c>
      <c r="P766">
        <v>1</v>
      </c>
      <c r="Q766">
        <v>8</v>
      </c>
      <c r="R766">
        <v>2024</v>
      </c>
      <c r="S766">
        <v>4</v>
      </c>
      <c r="T766" s="8" t="s">
        <v>92</v>
      </c>
      <c r="U766">
        <v>0</v>
      </c>
      <c r="V766">
        <v>1</v>
      </c>
      <c r="W766">
        <v>2</v>
      </c>
      <c r="X766">
        <v>1</v>
      </c>
      <c r="Y766">
        <v>1</v>
      </c>
      <c r="Z766">
        <v>0</v>
      </c>
    </row>
    <row r="767" spans="1:26" x14ac:dyDescent="0.25">
      <c r="A767" s="1">
        <v>45304.880312499998</v>
      </c>
      <c r="B767" s="8" t="s">
        <v>35</v>
      </c>
      <c r="C767">
        <v>-12.4175</v>
      </c>
      <c r="D767">
        <v>135.98660000000001</v>
      </c>
      <c r="E767">
        <v>339</v>
      </c>
      <c r="F767" s="8" t="s">
        <v>17</v>
      </c>
      <c r="G767">
        <v>26.4</v>
      </c>
      <c r="H767">
        <v>73.8</v>
      </c>
      <c r="I767" s="8" t="s">
        <v>28</v>
      </c>
      <c r="J767">
        <v>58</v>
      </c>
      <c r="K767">
        <v>488</v>
      </c>
      <c r="L767">
        <v>3</v>
      </c>
      <c r="M767" s="8" t="s">
        <v>19</v>
      </c>
      <c r="N767">
        <v>89.3</v>
      </c>
      <c r="O767">
        <v>299</v>
      </c>
      <c r="P767">
        <v>1</v>
      </c>
      <c r="Q767">
        <v>1</v>
      </c>
      <c r="R767">
        <v>2024</v>
      </c>
      <c r="S767">
        <v>6</v>
      </c>
      <c r="T767" s="8" t="s">
        <v>93</v>
      </c>
      <c r="U767">
        <v>1</v>
      </c>
      <c r="V767">
        <v>2</v>
      </c>
      <c r="W767">
        <v>0</v>
      </c>
      <c r="X767">
        <v>0</v>
      </c>
      <c r="Y767">
        <v>0</v>
      </c>
      <c r="Z767">
        <v>1</v>
      </c>
    </row>
    <row r="768" spans="1:26" x14ac:dyDescent="0.25">
      <c r="A768" s="1">
        <v>45378.190254629626</v>
      </c>
      <c r="B768" s="8" t="s">
        <v>24</v>
      </c>
      <c r="C768">
        <v>-79.345100000000002</v>
      </c>
      <c r="D768">
        <v>-52.515099999999997</v>
      </c>
      <c r="E768">
        <v>224</v>
      </c>
      <c r="F768" s="8" t="s">
        <v>26</v>
      </c>
      <c r="G768">
        <v>19</v>
      </c>
      <c r="H768">
        <v>79.900000000000006</v>
      </c>
      <c r="I768" s="8" t="s">
        <v>22</v>
      </c>
      <c r="J768">
        <v>17</v>
      </c>
      <c r="K768">
        <v>139</v>
      </c>
      <c r="L768">
        <v>4</v>
      </c>
      <c r="M768" s="8" t="s">
        <v>23</v>
      </c>
      <c r="N768">
        <v>96.1</v>
      </c>
      <c r="O768">
        <v>279</v>
      </c>
      <c r="P768">
        <v>1</v>
      </c>
      <c r="Q768">
        <v>3</v>
      </c>
      <c r="R768">
        <v>2024</v>
      </c>
      <c r="S768">
        <v>3</v>
      </c>
      <c r="T768" s="8" t="s">
        <v>90</v>
      </c>
      <c r="U768">
        <v>0</v>
      </c>
      <c r="V768">
        <v>1</v>
      </c>
      <c r="W768">
        <v>2</v>
      </c>
      <c r="X768">
        <v>1</v>
      </c>
      <c r="Y768">
        <v>1</v>
      </c>
      <c r="Z768">
        <v>0</v>
      </c>
    </row>
    <row r="769" spans="1:26" x14ac:dyDescent="0.25">
      <c r="A769" s="1">
        <v>45366.617199074077</v>
      </c>
      <c r="B769" s="8" t="s">
        <v>24</v>
      </c>
      <c r="C769">
        <v>24.421600000000002</v>
      </c>
      <c r="D769">
        <v>-7.0648999999999997</v>
      </c>
      <c r="E769">
        <v>387</v>
      </c>
      <c r="F769" s="8" t="s">
        <v>17</v>
      </c>
      <c r="G769">
        <v>18.399999999999999</v>
      </c>
      <c r="H769">
        <v>79.5</v>
      </c>
      <c r="I769" s="8" t="s">
        <v>28</v>
      </c>
      <c r="J769">
        <v>17</v>
      </c>
      <c r="K769">
        <v>456</v>
      </c>
      <c r="L769">
        <v>2</v>
      </c>
      <c r="M769" s="8" t="s">
        <v>23</v>
      </c>
      <c r="N769">
        <v>65.900000000000006</v>
      </c>
      <c r="O769">
        <v>155</v>
      </c>
      <c r="P769">
        <v>1</v>
      </c>
      <c r="Q769">
        <v>3</v>
      </c>
      <c r="R769">
        <v>2024</v>
      </c>
      <c r="S769">
        <v>5</v>
      </c>
      <c r="T769" s="8" t="s">
        <v>90</v>
      </c>
      <c r="U769">
        <v>1</v>
      </c>
      <c r="V769">
        <v>2</v>
      </c>
      <c r="W769">
        <v>0</v>
      </c>
      <c r="X769">
        <v>0</v>
      </c>
      <c r="Y769">
        <v>1</v>
      </c>
      <c r="Z769">
        <v>0</v>
      </c>
    </row>
    <row r="770" spans="1:26" x14ac:dyDescent="0.25">
      <c r="A770" s="1">
        <v>45407.421631944446</v>
      </c>
      <c r="B770" s="8" t="s">
        <v>32</v>
      </c>
      <c r="C770">
        <v>71.7196</v>
      </c>
      <c r="D770">
        <v>-107.34269999999999</v>
      </c>
      <c r="E770">
        <v>146</v>
      </c>
      <c r="F770" s="8" t="s">
        <v>17</v>
      </c>
      <c r="G770">
        <v>26</v>
      </c>
      <c r="H770">
        <v>57.2</v>
      </c>
      <c r="I770" s="8" t="s">
        <v>28</v>
      </c>
      <c r="J770">
        <v>47</v>
      </c>
      <c r="K770">
        <v>188</v>
      </c>
      <c r="L770">
        <v>4</v>
      </c>
      <c r="M770" s="8" t="s">
        <v>31</v>
      </c>
      <c r="N770">
        <v>76</v>
      </c>
      <c r="O770">
        <v>131</v>
      </c>
      <c r="P770">
        <v>1</v>
      </c>
      <c r="Q770">
        <v>4</v>
      </c>
      <c r="R770">
        <v>2024</v>
      </c>
      <c r="S770">
        <v>4</v>
      </c>
      <c r="T770" s="8" t="s">
        <v>90</v>
      </c>
      <c r="U770">
        <v>0</v>
      </c>
      <c r="V770">
        <v>2</v>
      </c>
      <c r="W770">
        <v>0</v>
      </c>
      <c r="X770">
        <v>0</v>
      </c>
      <c r="Y770">
        <v>0</v>
      </c>
      <c r="Z770">
        <v>1</v>
      </c>
    </row>
    <row r="771" spans="1:26" x14ac:dyDescent="0.25">
      <c r="A771" s="1">
        <v>45524.061203703706</v>
      </c>
      <c r="B771" s="8" t="s">
        <v>29</v>
      </c>
      <c r="C771">
        <v>-69.658500000000004</v>
      </c>
      <c r="D771">
        <v>23.632300000000001</v>
      </c>
      <c r="E771">
        <v>177</v>
      </c>
      <c r="F771" s="8" t="s">
        <v>21</v>
      </c>
      <c r="G771">
        <v>18.600000000000001</v>
      </c>
      <c r="H771">
        <v>74.5</v>
      </c>
      <c r="I771" s="8" t="s">
        <v>22</v>
      </c>
      <c r="J771">
        <v>16</v>
      </c>
      <c r="K771">
        <v>429</v>
      </c>
      <c r="L771">
        <v>1</v>
      </c>
      <c r="M771" s="8" t="s">
        <v>27</v>
      </c>
      <c r="N771">
        <v>72.400000000000006</v>
      </c>
      <c r="O771">
        <v>132</v>
      </c>
      <c r="P771">
        <v>1</v>
      </c>
      <c r="Q771">
        <v>8</v>
      </c>
      <c r="R771">
        <v>2024</v>
      </c>
      <c r="S771">
        <v>2</v>
      </c>
      <c r="T771" s="8" t="s">
        <v>92</v>
      </c>
      <c r="U771">
        <v>0</v>
      </c>
      <c r="V771">
        <v>0</v>
      </c>
      <c r="W771">
        <v>2</v>
      </c>
      <c r="X771">
        <v>1</v>
      </c>
      <c r="Y771">
        <v>0</v>
      </c>
      <c r="Z771">
        <v>0</v>
      </c>
    </row>
    <row r="772" spans="1:26" x14ac:dyDescent="0.25">
      <c r="A772" s="1">
        <v>45475.576608796298</v>
      </c>
      <c r="B772" s="8" t="s">
        <v>35</v>
      </c>
      <c r="C772">
        <v>67.364999999999995</v>
      </c>
      <c r="D772">
        <v>71.5047</v>
      </c>
      <c r="E772">
        <v>316</v>
      </c>
      <c r="F772" s="8" t="s">
        <v>17</v>
      </c>
      <c r="G772">
        <v>26.4</v>
      </c>
      <c r="H772">
        <v>60</v>
      </c>
      <c r="I772" s="8" t="s">
        <v>18</v>
      </c>
      <c r="J772">
        <v>36</v>
      </c>
      <c r="K772">
        <v>274</v>
      </c>
      <c r="L772">
        <v>1</v>
      </c>
      <c r="M772" s="8" t="s">
        <v>23</v>
      </c>
      <c r="N772">
        <v>68.2</v>
      </c>
      <c r="O772">
        <v>218</v>
      </c>
      <c r="P772">
        <v>1</v>
      </c>
      <c r="Q772">
        <v>7</v>
      </c>
      <c r="R772">
        <v>2024</v>
      </c>
      <c r="S772">
        <v>2</v>
      </c>
      <c r="T772" s="8" t="s">
        <v>92</v>
      </c>
      <c r="U772">
        <v>0</v>
      </c>
      <c r="V772">
        <v>2</v>
      </c>
      <c r="W772">
        <v>1</v>
      </c>
      <c r="X772">
        <v>0</v>
      </c>
      <c r="Y772">
        <v>0</v>
      </c>
      <c r="Z772">
        <v>0</v>
      </c>
    </row>
    <row r="773" spans="1:26" x14ac:dyDescent="0.25">
      <c r="A773" s="1">
        <v>45479.545636574076</v>
      </c>
      <c r="B773" s="8" t="s">
        <v>25</v>
      </c>
      <c r="C773">
        <v>-31.961099999999998</v>
      </c>
      <c r="D773">
        <v>-75.809200000000004</v>
      </c>
      <c r="E773">
        <v>458</v>
      </c>
      <c r="F773" s="8" t="s">
        <v>21</v>
      </c>
      <c r="G773">
        <v>25</v>
      </c>
      <c r="H773">
        <v>79.599999999999994</v>
      </c>
      <c r="I773" s="8" t="s">
        <v>22</v>
      </c>
      <c r="J773">
        <v>56</v>
      </c>
      <c r="K773">
        <v>303</v>
      </c>
      <c r="L773">
        <v>1</v>
      </c>
      <c r="M773" s="8" t="s">
        <v>19</v>
      </c>
      <c r="N773">
        <v>73.8</v>
      </c>
      <c r="O773">
        <v>206</v>
      </c>
      <c r="P773">
        <v>1</v>
      </c>
      <c r="Q773">
        <v>7</v>
      </c>
      <c r="R773">
        <v>2024</v>
      </c>
      <c r="S773">
        <v>6</v>
      </c>
      <c r="T773" s="8" t="s">
        <v>92</v>
      </c>
      <c r="U773">
        <v>1</v>
      </c>
      <c r="V773">
        <v>0</v>
      </c>
      <c r="W773">
        <v>2</v>
      </c>
      <c r="X773">
        <v>1</v>
      </c>
      <c r="Y773">
        <v>1</v>
      </c>
      <c r="Z773">
        <v>1</v>
      </c>
    </row>
    <row r="774" spans="1:26" x14ac:dyDescent="0.25">
      <c r="A774" s="1">
        <v>45459.4841087963</v>
      </c>
      <c r="B774" s="8" t="s">
        <v>29</v>
      </c>
      <c r="C774">
        <v>-82.481200000000001</v>
      </c>
      <c r="D774">
        <v>139.05799999999999</v>
      </c>
      <c r="E774">
        <v>481</v>
      </c>
      <c r="F774" s="8" t="s">
        <v>26</v>
      </c>
      <c r="G774">
        <v>24</v>
      </c>
      <c r="H774">
        <v>72.5</v>
      </c>
      <c r="I774" s="8" t="s">
        <v>18</v>
      </c>
      <c r="J774">
        <v>34</v>
      </c>
      <c r="K774">
        <v>152</v>
      </c>
      <c r="L774">
        <v>4</v>
      </c>
      <c r="M774" s="8" t="s">
        <v>31</v>
      </c>
      <c r="N774">
        <v>79.8</v>
      </c>
      <c r="O774">
        <v>299</v>
      </c>
      <c r="P774">
        <v>0</v>
      </c>
      <c r="Q774">
        <v>6</v>
      </c>
      <c r="R774">
        <v>2024</v>
      </c>
      <c r="S774">
        <v>0</v>
      </c>
      <c r="T774" s="8" t="s">
        <v>92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0</v>
      </c>
    </row>
    <row r="775" spans="1:26" x14ac:dyDescent="0.25">
      <c r="A775" s="1">
        <v>45455.405960648146</v>
      </c>
      <c r="B775" s="8" t="s">
        <v>34</v>
      </c>
      <c r="C775">
        <v>25.325399999999998</v>
      </c>
      <c r="D775">
        <v>132.62639999999999</v>
      </c>
      <c r="E775">
        <v>231</v>
      </c>
      <c r="F775" s="8" t="s">
        <v>26</v>
      </c>
      <c r="G775">
        <v>19.399999999999999</v>
      </c>
      <c r="H775">
        <v>66.599999999999994</v>
      </c>
      <c r="I775" s="8" t="s">
        <v>22</v>
      </c>
      <c r="J775">
        <v>32</v>
      </c>
      <c r="K775">
        <v>289</v>
      </c>
      <c r="L775">
        <v>8</v>
      </c>
      <c r="M775" s="8" t="s">
        <v>31</v>
      </c>
      <c r="N775">
        <v>77.599999999999994</v>
      </c>
      <c r="O775">
        <v>240</v>
      </c>
      <c r="P775">
        <v>1</v>
      </c>
      <c r="Q775">
        <v>6</v>
      </c>
      <c r="R775">
        <v>2024</v>
      </c>
      <c r="S775">
        <v>3</v>
      </c>
      <c r="T775" s="8" t="s">
        <v>92</v>
      </c>
      <c r="U775">
        <v>0</v>
      </c>
      <c r="V775">
        <v>1</v>
      </c>
      <c r="W775">
        <v>2</v>
      </c>
      <c r="X775">
        <v>1</v>
      </c>
      <c r="Y775">
        <v>0</v>
      </c>
      <c r="Z775">
        <v>0</v>
      </c>
    </row>
    <row r="776" spans="1:26" x14ac:dyDescent="0.25">
      <c r="A776" s="1">
        <v>45493.835868055554</v>
      </c>
      <c r="B776" s="8" t="s">
        <v>34</v>
      </c>
      <c r="C776">
        <v>40.740099999999998</v>
      </c>
      <c r="D776">
        <v>110.47369999999999</v>
      </c>
      <c r="E776">
        <v>129</v>
      </c>
      <c r="F776" s="8" t="s">
        <v>26</v>
      </c>
      <c r="G776">
        <v>19.2</v>
      </c>
      <c r="H776">
        <v>77.900000000000006</v>
      </c>
      <c r="I776" s="8" t="s">
        <v>18</v>
      </c>
      <c r="J776">
        <v>11</v>
      </c>
      <c r="K776">
        <v>448</v>
      </c>
      <c r="L776">
        <v>4</v>
      </c>
      <c r="M776" s="8" t="s">
        <v>19</v>
      </c>
      <c r="N776">
        <v>68.900000000000006</v>
      </c>
      <c r="O776">
        <v>132</v>
      </c>
      <c r="P776">
        <v>0</v>
      </c>
      <c r="Q776">
        <v>7</v>
      </c>
      <c r="R776">
        <v>2024</v>
      </c>
      <c r="S776">
        <v>6</v>
      </c>
      <c r="T776" s="8" t="s">
        <v>92</v>
      </c>
      <c r="U776">
        <v>1</v>
      </c>
      <c r="V776">
        <v>1</v>
      </c>
      <c r="W776">
        <v>1</v>
      </c>
      <c r="X776">
        <v>0</v>
      </c>
      <c r="Y776">
        <v>1</v>
      </c>
      <c r="Z776">
        <v>0</v>
      </c>
    </row>
    <row r="777" spans="1:26" x14ac:dyDescent="0.25">
      <c r="A777" s="1">
        <v>45581.611898148149</v>
      </c>
      <c r="B777" s="8" t="s">
        <v>35</v>
      </c>
      <c r="C777">
        <v>-53.779000000000003</v>
      </c>
      <c r="D777">
        <v>30.886299999999999</v>
      </c>
      <c r="E777">
        <v>398</v>
      </c>
      <c r="F777" s="8" t="s">
        <v>26</v>
      </c>
      <c r="G777">
        <v>29.1</v>
      </c>
      <c r="H777">
        <v>75.3</v>
      </c>
      <c r="I777" s="8" t="s">
        <v>18</v>
      </c>
      <c r="J777">
        <v>58</v>
      </c>
      <c r="K777">
        <v>172</v>
      </c>
      <c r="L777">
        <v>1</v>
      </c>
      <c r="M777" s="8" t="s">
        <v>27</v>
      </c>
      <c r="N777">
        <v>99.3</v>
      </c>
      <c r="O777">
        <v>194</v>
      </c>
      <c r="P777">
        <v>0</v>
      </c>
      <c r="Q777">
        <v>10</v>
      </c>
      <c r="R777">
        <v>2024</v>
      </c>
      <c r="S777">
        <v>3</v>
      </c>
      <c r="T777" s="8" t="s">
        <v>91</v>
      </c>
      <c r="U777">
        <v>0</v>
      </c>
      <c r="V777">
        <v>1</v>
      </c>
      <c r="W777">
        <v>1</v>
      </c>
      <c r="X777">
        <v>0</v>
      </c>
      <c r="Y777">
        <v>1</v>
      </c>
      <c r="Z777">
        <v>1</v>
      </c>
    </row>
    <row r="778" spans="1:26" x14ac:dyDescent="0.25">
      <c r="A778" s="1">
        <v>45537.137025462966</v>
      </c>
      <c r="B778" s="8" t="s">
        <v>34</v>
      </c>
      <c r="C778">
        <v>-39.379100000000001</v>
      </c>
      <c r="D778">
        <v>-53.131599999999999</v>
      </c>
      <c r="E778">
        <v>149</v>
      </c>
      <c r="F778" s="8" t="s">
        <v>17</v>
      </c>
      <c r="G778">
        <v>19.8</v>
      </c>
      <c r="H778">
        <v>51.3</v>
      </c>
      <c r="I778" s="8" t="s">
        <v>22</v>
      </c>
      <c r="J778">
        <v>24</v>
      </c>
      <c r="K778">
        <v>386</v>
      </c>
      <c r="L778">
        <v>6</v>
      </c>
      <c r="M778" s="8" t="s">
        <v>31</v>
      </c>
      <c r="N778">
        <v>87.2</v>
      </c>
      <c r="O778">
        <v>208</v>
      </c>
      <c r="P778">
        <v>1</v>
      </c>
      <c r="Q778">
        <v>9</v>
      </c>
      <c r="R778">
        <v>2024</v>
      </c>
      <c r="S778">
        <v>1</v>
      </c>
      <c r="T778" s="8" t="s">
        <v>91</v>
      </c>
      <c r="U778">
        <v>0</v>
      </c>
      <c r="V778">
        <v>2</v>
      </c>
      <c r="W778">
        <v>2</v>
      </c>
      <c r="X778">
        <v>1</v>
      </c>
      <c r="Y778">
        <v>0</v>
      </c>
      <c r="Z778">
        <v>0</v>
      </c>
    </row>
    <row r="779" spans="1:26" x14ac:dyDescent="0.25">
      <c r="A779" s="1">
        <v>45493.684918981482</v>
      </c>
      <c r="B779" s="8" t="s">
        <v>34</v>
      </c>
      <c r="C779">
        <v>46.278799999999997</v>
      </c>
      <c r="D779">
        <v>41.345300000000002</v>
      </c>
      <c r="E779">
        <v>338</v>
      </c>
      <c r="F779" s="8" t="s">
        <v>21</v>
      </c>
      <c r="G779">
        <v>20.6</v>
      </c>
      <c r="H779">
        <v>65</v>
      </c>
      <c r="I779" s="8" t="s">
        <v>18</v>
      </c>
      <c r="J779">
        <v>56</v>
      </c>
      <c r="K779">
        <v>421</v>
      </c>
      <c r="L779">
        <v>2</v>
      </c>
      <c r="M779" s="8" t="s">
        <v>31</v>
      </c>
      <c r="N779">
        <v>86.9</v>
      </c>
      <c r="O779">
        <v>142</v>
      </c>
      <c r="P779">
        <v>0</v>
      </c>
      <c r="Q779">
        <v>7</v>
      </c>
      <c r="R779">
        <v>2024</v>
      </c>
      <c r="S779">
        <v>6</v>
      </c>
      <c r="T779" s="8" t="s">
        <v>92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</row>
    <row r="780" spans="1:26" x14ac:dyDescent="0.25">
      <c r="A780" s="1">
        <v>45523.003611111111</v>
      </c>
      <c r="B780" s="8" t="s">
        <v>16</v>
      </c>
      <c r="C780">
        <v>-65.919899999999998</v>
      </c>
      <c r="D780">
        <v>-160.22919999999999</v>
      </c>
      <c r="E780">
        <v>252</v>
      </c>
      <c r="F780" s="8" t="s">
        <v>21</v>
      </c>
      <c r="G780">
        <v>27.1</v>
      </c>
      <c r="H780">
        <v>59.8</v>
      </c>
      <c r="I780" s="8" t="s">
        <v>18</v>
      </c>
      <c r="J780">
        <v>53</v>
      </c>
      <c r="K780">
        <v>457</v>
      </c>
      <c r="L780">
        <v>8</v>
      </c>
      <c r="M780" s="8" t="s">
        <v>27</v>
      </c>
      <c r="N780">
        <v>95.4</v>
      </c>
      <c r="O780">
        <v>273</v>
      </c>
      <c r="P780">
        <v>0</v>
      </c>
      <c r="Q780">
        <v>8</v>
      </c>
      <c r="R780">
        <v>2024</v>
      </c>
      <c r="S780">
        <v>1</v>
      </c>
      <c r="T780" s="8" t="s">
        <v>92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1</v>
      </c>
    </row>
    <row r="781" spans="1:26" x14ac:dyDescent="0.25">
      <c r="A781" s="1">
        <v>45355.430451388886</v>
      </c>
      <c r="B781" s="8" t="s">
        <v>34</v>
      </c>
      <c r="C781">
        <v>-32.270699999999998</v>
      </c>
      <c r="D781">
        <v>98.147199999999998</v>
      </c>
      <c r="E781">
        <v>330</v>
      </c>
      <c r="F781" s="8" t="s">
        <v>26</v>
      </c>
      <c r="G781">
        <v>26.5</v>
      </c>
      <c r="H781">
        <v>59.2</v>
      </c>
      <c r="I781" s="8" t="s">
        <v>28</v>
      </c>
      <c r="J781">
        <v>51</v>
      </c>
      <c r="K781">
        <v>274</v>
      </c>
      <c r="L781">
        <v>3</v>
      </c>
      <c r="M781" s="8" t="s">
        <v>27</v>
      </c>
      <c r="N781">
        <v>69.099999999999994</v>
      </c>
      <c r="O781">
        <v>139</v>
      </c>
      <c r="P781">
        <v>0</v>
      </c>
      <c r="Q781">
        <v>3</v>
      </c>
      <c r="R781">
        <v>2024</v>
      </c>
      <c r="S781">
        <v>1</v>
      </c>
      <c r="T781" s="8" t="s">
        <v>90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1</v>
      </c>
    </row>
    <row r="782" spans="1:26" x14ac:dyDescent="0.25">
      <c r="A782" s="1">
        <v>45566.321493055555</v>
      </c>
      <c r="B782" s="8" t="s">
        <v>34</v>
      </c>
      <c r="C782">
        <v>73.391999999999996</v>
      </c>
      <c r="D782">
        <v>-62.313800000000001</v>
      </c>
      <c r="E782">
        <v>464</v>
      </c>
      <c r="F782" s="8" t="s">
        <v>17</v>
      </c>
      <c r="G782">
        <v>28.2</v>
      </c>
      <c r="H782">
        <v>61.4</v>
      </c>
      <c r="I782" s="8" t="s">
        <v>22</v>
      </c>
      <c r="J782">
        <v>20</v>
      </c>
      <c r="K782">
        <v>177</v>
      </c>
      <c r="L782">
        <v>3</v>
      </c>
      <c r="M782" s="8" t="s">
        <v>23</v>
      </c>
      <c r="N782">
        <v>60.3</v>
      </c>
      <c r="O782">
        <v>279</v>
      </c>
      <c r="P782">
        <v>1</v>
      </c>
      <c r="Q782">
        <v>10</v>
      </c>
      <c r="R782">
        <v>2024</v>
      </c>
      <c r="S782">
        <v>2</v>
      </c>
      <c r="T782" s="8" t="s">
        <v>91</v>
      </c>
      <c r="U782">
        <v>0</v>
      </c>
      <c r="V782">
        <v>2</v>
      </c>
      <c r="W782">
        <v>2</v>
      </c>
      <c r="X782">
        <v>1</v>
      </c>
      <c r="Y782">
        <v>0</v>
      </c>
      <c r="Z782">
        <v>0</v>
      </c>
    </row>
    <row r="783" spans="1:26" x14ac:dyDescent="0.25">
      <c r="A783" s="1">
        <v>45324.535891203705</v>
      </c>
      <c r="B783" s="8" t="s">
        <v>32</v>
      </c>
      <c r="C783">
        <v>77.767799999999994</v>
      </c>
      <c r="D783">
        <v>-165.1979</v>
      </c>
      <c r="E783">
        <v>141</v>
      </c>
      <c r="F783" s="8" t="s">
        <v>17</v>
      </c>
      <c r="G783">
        <v>27.7</v>
      </c>
      <c r="H783">
        <v>55</v>
      </c>
      <c r="I783" s="8" t="s">
        <v>28</v>
      </c>
      <c r="J783">
        <v>12</v>
      </c>
      <c r="K783">
        <v>432</v>
      </c>
      <c r="L783">
        <v>10</v>
      </c>
      <c r="M783" s="8" t="s">
        <v>31</v>
      </c>
      <c r="N783">
        <v>87.5</v>
      </c>
      <c r="O783">
        <v>278</v>
      </c>
      <c r="P783">
        <v>1</v>
      </c>
      <c r="Q783">
        <v>2</v>
      </c>
      <c r="R783">
        <v>2024</v>
      </c>
      <c r="S783">
        <v>5</v>
      </c>
      <c r="T783" s="8" t="s">
        <v>93</v>
      </c>
      <c r="U783">
        <v>1</v>
      </c>
      <c r="V783">
        <v>2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s="1">
        <v>45596.266979166663</v>
      </c>
      <c r="B784" s="8" t="s">
        <v>34</v>
      </c>
      <c r="C784">
        <v>-2.8228</v>
      </c>
      <c r="D784">
        <v>75.2804</v>
      </c>
      <c r="E784">
        <v>463</v>
      </c>
      <c r="F784" s="8" t="s">
        <v>21</v>
      </c>
      <c r="G784">
        <v>19.5</v>
      </c>
      <c r="H784">
        <v>64.400000000000006</v>
      </c>
      <c r="I784" s="8" t="s">
        <v>18</v>
      </c>
      <c r="J784">
        <v>32</v>
      </c>
      <c r="K784">
        <v>244</v>
      </c>
      <c r="L784">
        <v>1</v>
      </c>
      <c r="M784" s="8" t="s">
        <v>27</v>
      </c>
      <c r="N784">
        <v>69.8</v>
      </c>
      <c r="O784">
        <v>294</v>
      </c>
      <c r="P784">
        <v>0</v>
      </c>
      <c r="Q784">
        <v>10</v>
      </c>
      <c r="R784">
        <v>2024</v>
      </c>
      <c r="S784">
        <v>4</v>
      </c>
      <c r="T784" s="8" t="s">
        <v>91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</row>
    <row r="785" spans="1:26" x14ac:dyDescent="0.25">
      <c r="A785" s="1">
        <v>45627.195231481484</v>
      </c>
      <c r="B785" s="8" t="s">
        <v>32</v>
      </c>
      <c r="C785">
        <v>-74.278000000000006</v>
      </c>
      <c r="D785">
        <v>137.45599999999999</v>
      </c>
      <c r="E785">
        <v>223</v>
      </c>
      <c r="F785" s="8" t="s">
        <v>21</v>
      </c>
      <c r="G785">
        <v>25.2</v>
      </c>
      <c r="H785">
        <v>54.1</v>
      </c>
      <c r="I785" s="8" t="s">
        <v>18</v>
      </c>
      <c r="J785">
        <v>45</v>
      </c>
      <c r="K785">
        <v>121</v>
      </c>
      <c r="L785">
        <v>1</v>
      </c>
      <c r="M785" s="8" t="s">
        <v>31</v>
      </c>
      <c r="N785">
        <v>85.9</v>
      </c>
      <c r="O785">
        <v>153</v>
      </c>
      <c r="P785">
        <v>0</v>
      </c>
      <c r="Q785">
        <v>12</v>
      </c>
      <c r="R785">
        <v>2024</v>
      </c>
      <c r="S785">
        <v>0</v>
      </c>
      <c r="T785" s="8" t="s">
        <v>93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</row>
    <row r="786" spans="1:26" x14ac:dyDescent="0.25">
      <c r="A786" s="1">
        <v>45366.09578703704</v>
      </c>
      <c r="B786" s="8" t="s">
        <v>24</v>
      </c>
      <c r="C786">
        <v>-21.579699999999999</v>
      </c>
      <c r="D786">
        <v>129.75989999999999</v>
      </c>
      <c r="E786">
        <v>301</v>
      </c>
      <c r="F786" s="8" t="s">
        <v>21</v>
      </c>
      <c r="G786">
        <v>18.5</v>
      </c>
      <c r="H786">
        <v>75.3</v>
      </c>
      <c r="I786" s="8" t="s">
        <v>28</v>
      </c>
      <c r="J786">
        <v>39</v>
      </c>
      <c r="K786">
        <v>140</v>
      </c>
      <c r="L786">
        <v>6</v>
      </c>
      <c r="M786" s="8" t="s">
        <v>23</v>
      </c>
      <c r="N786">
        <v>78.5</v>
      </c>
      <c r="O786">
        <v>208</v>
      </c>
      <c r="P786">
        <v>0</v>
      </c>
      <c r="Q786">
        <v>3</v>
      </c>
      <c r="R786">
        <v>2024</v>
      </c>
      <c r="S786">
        <v>5</v>
      </c>
      <c r="T786" s="8" t="s">
        <v>90</v>
      </c>
      <c r="U786">
        <v>1</v>
      </c>
      <c r="V786">
        <v>0</v>
      </c>
      <c r="W786">
        <v>0</v>
      </c>
      <c r="X786">
        <v>0</v>
      </c>
      <c r="Y786">
        <v>1</v>
      </c>
      <c r="Z786">
        <v>0</v>
      </c>
    </row>
    <row r="787" spans="1:26" x14ac:dyDescent="0.25">
      <c r="A787" s="1">
        <v>45356.953055555554</v>
      </c>
      <c r="B787" s="8" t="s">
        <v>24</v>
      </c>
      <c r="C787">
        <v>35.952100000000002</v>
      </c>
      <c r="D787">
        <v>5.7750000000000004</v>
      </c>
      <c r="E787">
        <v>195</v>
      </c>
      <c r="F787" s="8" t="s">
        <v>26</v>
      </c>
      <c r="G787">
        <v>26.9</v>
      </c>
      <c r="H787">
        <v>79.8</v>
      </c>
      <c r="I787" s="8" t="s">
        <v>28</v>
      </c>
      <c r="J787">
        <v>57</v>
      </c>
      <c r="K787">
        <v>190</v>
      </c>
      <c r="L787">
        <v>2</v>
      </c>
      <c r="M787" s="8" t="s">
        <v>27</v>
      </c>
      <c r="N787">
        <v>60.6</v>
      </c>
      <c r="O787">
        <v>235</v>
      </c>
      <c r="P787">
        <v>0</v>
      </c>
      <c r="Q787">
        <v>3</v>
      </c>
      <c r="R787">
        <v>2024</v>
      </c>
      <c r="S787">
        <v>2</v>
      </c>
      <c r="T787" s="8" t="s">
        <v>90</v>
      </c>
      <c r="U787">
        <v>0</v>
      </c>
      <c r="V787">
        <v>1</v>
      </c>
      <c r="W787">
        <v>0</v>
      </c>
      <c r="X787">
        <v>0</v>
      </c>
      <c r="Y787">
        <v>1</v>
      </c>
      <c r="Z787">
        <v>1</v>
      </c>
    </row>
    <row r="788" spans="1:26" x14ac:dyDescent="0.25">
      <c r="A788" s="1">
        <v>45591.990960648145</v>
      </c>
      <c r="B788" s="8" t="s">
        <v>16</v>
      </c>
      <c r="C788">
        <v>-8.7266999999999992</v>
      </c>
      <c r="D788">
        <v>-140.39879999999999</v>
      </c>
      <c r="E788">
        <v>310</v>
      </c>
      <c r="F788" s="8" t="s">
        <v>26</v>
      </c>
      <c r="G788">
        <v>23.8</v>
      </c>
      <c r="H788">
        <v>72.400000000000006</v>
      </c>
      <c r="I788" s="8" t="s">
        <v>28</v>
      </c>
      <c r="J788">
        <v>53</v>
      </c>
      <c r="K788">
        <v>277</v>
      </c>
      <c r="L788">
        <v>4</v>
      </c>
      <c r="M788" s="8" t="s">
        <v>31</v>
      </c>
      <c r="N788">
        <v>91.3</v>
      </c>
      <c r="O788">
        <v>122</v>
      </c>
      <c r="P788">
        <v>0</v>
      </c>
      <c r="Q788">
        <v>10</v>
      </c>
      <c r="R788">
        <v>2024</v>
      </c>
      <c r="S788">
        <v>6</v>
      </c>
      <c r="T788" s="8" t="s">
        <v>91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1</v>
      </c>
    </row>
    <row r="789" spans="1:26" x14ac:dyDescent="0.25">
      <c r="A789" s="1">
        <v>45368.716307870367</v>
      </c>
      <c r="B789" s="8" t="s">
        <v>30</v>
      </c>
      <c r="C789">
        <v>-56.121899999999997</v>
      </c>
      <c r="D789">
        <v>135.42349999999999</v>
      </c>
      <c r="E789">
        <v>100</v>
      </c>
      <c r="F789" s="8" t="s">
        <v>21</v>
      </c>
      <c r="G789">
        <v>23.6</v>
      </c>
      <c r="H789">
        <v>64.3</v>
      </c>
      <c r="I789" s="8" t="s">
        <v>18</v>
      </c>
      <c r="J789">
        <v>29</v>
      </c>
      <c r="K789">
        <v>276</v>
      </c>
      <c r="L789">
        <v>5</v>
      </c>
      <c r="M789" s="8" t="s">
        <v>31</v>
      </c>
      <c r="N789">
        <v>89.1</v>
      </c>
      <c r="O789">
        <v>198</v>
      </c>
      <c r="P789">
        <v>0</v>
      </c>
      <c r="Q789">
        <v>3</v>
      </c>
      <c r="R789">
        <v>2024</v>
      </c>
      <c r="S789">
        <v>0</v>
      </c>
      <c r="T789" s="8" t="s">
        <v>90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</row>
    <row r="790" spans="1:26" x14ac:dyDescent="0.25">
      <c r="A790" s="1">
        <v>45304.660729166666</v>
      </c>
      <c r="B790" s="8" t="s">
        <v>35</v>
      </c>
      <c r="C790">
        <v>23.225899999999999</v>
      </c>
      <c r="D790">
        <v>110.6901</v>
      </c>
      <c r="E790">
        <v>147</v>
      </c>
      <c r="F790" s="8" t="s">
        <v>21</v>
      </c>
      <c r="G790">
        <v>18.7</v>
      </c>
      <c r="H790">
        <v>68.5</v>
      </c>
      <c r="I790" s="8" t="s">
        <v>22</v>
      </c>
      <c r="J790">
        <v>25</v>
      </c>
      <c r="K790">
        <v>439</v>
      </c>
      <c r="L790">
        <v>9</v>
      </c>
      <c r="M790" s="8" t="s">
        <v>19</v>
      </c>
      <c r="N790">
        <v>75.2</v>
      </c>
      <c r="O790">
        <v>266</v>
      </c>
      <c r="P790">
        <v>1</v>
      </c>
      <c r="Q790">
        <v>1</v>
      </c>
      <c r="R790">
        <v>2024</v>
      </c>
      <c r="S790">
        <v>6</v>
      </c>
      <c r="T790" s="8" t="s">
        <v>93</v>
      </c>
      <c r="U790">
        <v>1</v>
      </c>
      <c r="V790">
        <v>0</v>
      </c>
      <c r="W790">
        <v>2</v>
      </c>
      <c r="X790">
        <v>1</v>
      </c>
      <c r="Y790">
        <v>0</v>
      </c>
      <c r="Z790">
        <v>0</v>
      </c>
    </row>
    <row r="791" spans="1:26" x14ac:dyDescent="0.25">
      <c r="A791" s="1">
        <v>45442.959016203706</v>
      </c>
      <c r="B791" s="8" t="s">
        <v>25</v>
      </c>
      <c r="C791">
        <v>-53.699300000000001</v>
      </c>
      <c r="D791">
        <v>79.009600000000006</v>
      </c>
      <c r="E791">
        <v>251</v>
      </c>
      <c r="F791" s="8" t="s">
        <v>17</v>
      </c>
      <c r="G791">
        <v>22.8</v>
      </c>
      <c r="H791">
        <v>62.9</v>
      </c>
      <c r="I791" s="8" t="s">
        <v>22</v>
      </c>
      <c r="J791">
        <v>52</v>
      </c>
      <c r="K791">
        <v>173</v>
      </c>
      <c r="L791">
        <v>3</v>
      </c>
      <c r="M791" s="8" t="s">
        <v>31</v>
      </c>
      <c r="N791">
        <v>72.900000000000006</v>
      </c>
      <c r="O791">
        <v>268</v>
      </c>
      <c r="P791">
        <v>1</v>
      </c>
      <c r="Q791">
        <v>5</v>
      </c>
      <c r="R791">
        <v>2024</v>
      </c>
      <c r="S791">
        <v>4</v>
      </c>
      <c r="T791" s="8" t="s">
        <v>90</v>
      </c>
      <c r="U791">
        <v>0</v>
      </c>
      <c r="V791">
        <v>2</v>
      </c>
      <c r="W791">
        <v>2</v>
      </c>
      <c r="X791">
        <v>1</v>
      </c>
      <c r="Y791">
        <v>0</v>
      </c>
      <c r="Z791">
        <v>1</v>
      </c>
    </row>
    <row r="792" spans="1:26" x14ac:dyDescent="0.25">
      <c r="A792" s="1">
        <v>45504.95648148148</v>
      </c>
      <c r="B792" s="8" t="s">
        <v>16</v>
      </c>
      <c r="C792">
        <v>-3.8220000000000001</v>
      </c>
      <c r="D792">
        <v>-40.316899999999997</v>
      </c>
      <c r="E792">
        <v>108</v>
      </c>
      <c r="F792" s="8" t="s">
        <v>26</v>
      </c>
      <c r="G792">
        <v>26.6</v>
      </c>
      <c r="H792">
        <v>61.7</v>
      </c>
      <c r="I792" s="8" t="s">
        <v>18</v>
      </c>
      <c r="J792">
        <v>47</v>
      </c>
      <c r="K792">
        <v>122</v>
      </c>
      <c r="L792">
        <v>7</v>
      </c>
      <c r="M792" s="8" t="s">
        <v>23</v>
      </c>
      <c r="N792">
        <v>64.599999999999994</v>
      </c>
      <c r="O792">
        <v>116</v>
      </c>
      <c r="P792">
        <v>0</v>
      </c>
      <c r="Q792">
        <v>7</v>
      </c>
      <c r="R792">
        <v>2024</v>
      </c>
      <c r="S792">
        <v>3</v>
      </c>
      <c r="T792" s="8" t="s">
        <v>92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</row>
    <row r="793" spans="1:26" x14ac:dyDescent="0.25">
      <c r="A793" s="1">
        <v>45456.199317129627</v>
      </c>
      <c r="B793" s="8" t="s">
        <v>20</v>
      </c>
      <c r="C793">
        <v>-48.052999999999997</v>
      </c>
      <c r="D793">
        <v>-175.0849</v>
      </c>
      <c r="E793">
        <v>340</v>
      </c>
      <c r="F793" s="8" t="s">
        <v>21</v>
      </c>
      <c r="G793">
        <v>27.9</v>
      </c>
      <c r="H793">
        <v>69.099999999999994</v>
      </c>
      <c r="I793" s="8" t="s">
        <v>28</v>
      </c>
      <c r="J793">
        <v>32</v>
      </c>
      <c r="K793">
        <v>162</v>
      </c>
      <c r="L793">
        <v>2</v>
      </c>
      <c r="M793" s="8" t="s">
        <v>23</v>
      </c>
      <c r="N793">
        <v>90.9</v>
      </c>
      <c r="O793">
        <v>300</v>
      </c>
      <c r="P793">
        <v>0</v>
      </c>
      <c r="Q793">
        <v>6</v>
      </c>
      <c r="R793">
        <v>2024</v>
      </c>
      <c r="S793">
        <v>4</v>
      </c>
      <c r="T793" s="8" t="s">
        <v>92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s="1">
        <v>45479.666226851848</v>
      </c>
      <c r="B794" s="8" t="s">
        <v>33</v>
      </c>
      <c r="C794">
        <v>68.132000000000005</v>
      </c>
      <c r="D794">
        <v>-51.507100000000001</v>
      </c>
      <c r="E794">
        <v>167</v>
      </c>
      <c r="F794" s="8" t="s">
        <v>17</v>
      </c>
      <c r="G794">
        <v>21.6</v>
      </c>
      <c r="H794">
        <v>54.6</v>
      </c>
      <c r="I794" s="8" t="s">
        <v>28</v>
      </c>
      <c r="J794">
        <v>46</v>
      </c>
      <c r="K794">
        <v>240</v>
      </c>
      <c r="L794">
        <v>10</v>
      </c>
      <c r="M794" s="8" t="s">
        <v>23</v>
      </c>
      <c r="N794">
        <v>60.5</v>
      </c>
      <c r="O794">
        <v>278</v>
      </c>
      <c r="P794">
        <v>1</v>
      </c>
      <c r="Q794">
        <v>7</v>
      </c>
      <c r="R794">
        <v>2024</v>
      </c>
      <c r="S794">
        <v>6</v>
      </c>
      <c r="T794" s="8" t="s">
        <v>92</v>
      </c>
      <c r="U794">
        <v>1</v>
      </c>
      <c r="V794">
        <v>2</v>
      </c>
      <c r="W794">
        <v>0</v>
      </c>
      <c r="X794">
        <v>0</v>
      </c>
      <c r="Y794">
        <v>0</v>
      </c>
      <c r="Z794">
        <v>1</v>
      </c>
    </row>
    <row r="795" spans="1:26" x14ac:dyDescent="0.25">
      <c r="A795" s="1">
        <v>45350.521273148152</v>
      </c>
      <c r="B795" s="8" t="s">
        <v>33</v>
      </c>
      <c r="C795">
        <v>-80.428899999999999</v>
      </c>
      <c r="D795">
        <v>177.55799999999999</v>
      </c>
      <c r="E795">
        <v>488</v>
      </c>
      <c r="F795" s="8" t="s">
        <v>26</v>
      </c>
      <c r="G795">
        <v>24.9</v>
      </c>
      <c r="H795">
        <v>79.2</v>
      </c>
      <c r="I795" s="8" t="s">
        <v>22</v>
      </c>
      <c r="J795">
        <v>52</v>
      </c>
      <c r="K795">
        <v>290</v>
      </c>
      <c r="L795">
        <v>10</v>
      </c>
      <c r="M795" s="8" t="s">
        <v>27</v>
      </c>
      <c r="N795">
        <v>82.5</v>
      </c>
      <c r="O795">
        <v>248</v>
      </c>
      <c r="P795">
        <v>1</v>
      </c>
      <c r="Q795">
        <v>2</v>
      </c>
      <c r="R795">
        <v>2024</v>
      </c>
      <c r="S795">
        <v>3</v>
      </c>
      <c r="T795" s="8" t="s">
        <v>93</v>
      </c>
      <c r="U795">
        <v>0</v>
      </c>
      <c r="V795">
        <v>1</v>
      </c>
      <c r="W795">
        <v>2</v>
      </c>
      <c r="X795">
        <v>1</v>
      </c>
      <c r="Y795">
        <v>1</v>
      </c>
      <c r="Z795">
        <v>1</v>
      </c>
    </row>
    <row r="796" spans="1:26" x14ac:dyDescent="0.25">
      <c r="A796" s="1">
        <v>45373.281574074077</v>
      </c>
      <c r="B796" s="8" t="s">
        <v>32</v>
      </c>
      <c r="C796">
        <v>42.952599999999997</v>
      </c>
      <c r="D796">
        <v>146.6224</v>
      </c>
      <c r="E796">
        <v>330</v>
      </c>
      <c r="F796" s="8" t="s">
        <v>26</v>
      </c>
      <c r="G796">
        <v>24.4</v>
      </c>
      <c r="H796">
        <v>79.5</v>
      </c>
      <c r="I796" s="8" t="s">
        <v>28</v>
      </c>
      <c r="J796">
        <v>19</v>
      </c>
      <c r="K796">
        <v>110</v>
      </c>
      <c r="L796">
        <v>7</v>
      </c>
      <c r="M796" s="8" t="s">
        <v>19</v>
      </c>
      <c r="N796">
        <v>66.3</v>
      </c>
      <c r="O796">
        <v>109</v>
      </c>
      <c r="P796">
        <v>0</v>
      </c>
      <c r="Q796">
        <v>3</v>
      </c>
      <c r="R796">
        <v>2024</v>
      </c>
      <c r="S796">
        <v>5</v>
      </c>
      <c r="T796" s="8" t="s">
        <v>90</v>
      </c>
      <c r="U796">
        <v>1</v>
      </c>
      <c r="V796">
        <v>1</v>
      </c>
      <c r="W796">
        <v>0</v>
      </c>
      <c r="X796">
        <v>0</v>
      </c>
      <c r="Y796">
        <v>1</v>
      </c>
      <c r="Z796">
        <v>0</v>
      </c>
    </row>
    <row r="797" spans="1:26" x14ac:dyDescent="0.25">
      <c r="A797" s="1">
        <v>45320.807372685187</v>
      </c>
      <c r="B797" s="8" t="s">
        <v>25</v>
      </c>
      <c r="C797">
        <v>-40.555599999999998</v>
      </c>
      <c r="D797">
        <v>55.0777</v>
      </c>
      <c r="E797">
        <v>177</v>
      </c>
      <c r="F797" s="8" t="s">
        <v>26</v>
      </c>
      <c r="G797">
        <v>25.6</v>
      </c>
      <c r="H797">
        <v>71.900000000000006</v>
      </c>
      <c r="I797" s="8" t="s">
        <v>18</v>
      </c>
      <c r="J797">
        <v>20</v>
      </c>
      <c r="K797">
        <v>193</v>
      </c>
      <c r="L797">
        <v>6</v>
      </c>
      <c r="M797" s="8" t="s">
        <v>31</v>
      </c>
      <c r="N797">
        <v>95.5</v>
      </c>
      <c r="O797">
        <v>182</v>
      </c>
      <c r="P797">
        <v>0</v>
      </c>
      <c r="Q797">
        <v>1</v>
      </c>
      <c r="R797">
        <v>2024</v>
      </c>
      <c r="S797">
        <v>1</v>
      </c>
      <c r="T797" s="8" t="s">
        <v>93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0</v>
      </c>
    </row>
    <row r="798" spans="1:26" x14ac:dyDescent="0.25">
      <c r="A798" s="1">
        <v>45482.09103009259</v>
      </c>
      <c r="B798" s="8" t="s">
        <v>29</v>
      </c>
      <c r="C798">
        <v>-12.7845</v>
      </c>
      <c r="D798">
        <v>-147.2449</v>
      </c>
      <c r="E798">
        <v>132</v>
      </c>
      <c r="F798" s="8" t="s">
        <v>26</v>
      </c>
      <c r="G798">
        <v>22.9</v>
      </c>
      <c r="H798">
        <v>66.5</v>
      </c>
      <c r="I798" s="8" t="s">
        <v>28</v>
      </c>
      <c r="J798">
        <v>35</v>
      </c>
      <c r="K798">
        <v>209</v>
      </c>
      <c r="L798">
        <v>6</v>
      </c>
      <c r="M798" s="8" t="s">
        <v>31</v>
      </c>
      <c r="N798">
        <v>94.3</v>
      </c>
      <c r="O798">
        <v>122</v>
      </c>
      <c r="P798">
        <v>0</v>
      </c>
      <c r="Q798">
        <v>7</v>
      </c>
      <c r="R798">
        <v>2024</v>
      </c>
      <c r="S798">
        <v>2</v>
      </c>
      <c r="T798" s="8" t="s">
        <v>92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 s="1">
        <v>45463.562604166669</v>
      </c>
      <c r="B799" s="8" t="s">
        <v>20</v>
      </c>
      <c r="C799">
        <v>-63.630400000000002</v>
      </c>
      <c r="D799">
        <v>164.185</v>
      </c>
      <c r="E799">
        <v>208</v>
      </c>
      <c r="F799" s="8" t="s">
        <v>17</v>
      </c>
      <c r="G799">
        <v>22.5</v>
      </c>
      <c r="H799">
        <v>65.900000000000006</v>
      </c>
      <c r="I799" s="8" t="s">
        <v>22</v>
      </c>
      <c r="J799">
        <v>38</v>
      </c>
      <c r="K799">
        <v>462</v>
      </c>
      <c r="L799">
        <v>7</v>
      </c>
      <c r="M799" s="8" t="s">
        <v>23</v>
      </c>
      <c r="N799">
        <v>83.1</v>
      </c>
      <c r="O799">
        <v>193</v>
      </c>
      <c r="P799">
        <v>1</v>
      </c>
      <c r="Q799">
        <v>6</v>
      </c>
      <c r="R799">
        <v>2024</v>
      </c>
      <c r="S799">
        <v>4</v>
      </c>
      <c r="T799" s="8" t="s">
        <v>92</v>
      </c>
      <c r="U799">
        <v>0</v>
      </c>
      <c r="V799">
        <v>2</v>
      </c>
      <c r="W799">
        <v>2</v>
      </c>
      <c r="X799">
        <v>1</v>
      </c>
      <c r="Y799">
        <v>0</v>
      </c>
      <c r="Z799">
        <v>0</v>
      </c>
    </row>
    <row r="800" spans="1:26" x14ac:dyDescent="0.25">
      <c r="A800" s="1">
        <v>45444.029120370367</v>
      </c>
      <c r="B800" s="8" t="s">
        <v>20</v>
      </c>
      <c r="C800">
        <v>21.881599999999999</v>
      </c>
      <c r="D800">
        <v>128.79220000000001</v>
      </c>
      <c r="E800">
        <v>348</v>
      </c>
      <c r="F800" s="8" t="s">
        <v>17</v>
      </c>
      <c r="G800">
        <v>25.8</v>
      </c>
      <c r="H800">
        <v>62.9</v>
      </c>
      <c r="I800" s="8" t="s">
        <v>18</v>
      </c>
      <c r="J800">
        <v>24</v>
      </c>
      <c r="K800">
        <v>352</v>
      </c>
      <c r="L800">
        <v>6</v>
      </c>
      <c r="M800" s="8" t="s">
        <v>23</v>
      </c>
      <c r="N800">
        <v>96.5</v>
      </c>
      <c r="O800">
        <v>164</v>
      </c>
      <c r="P800">
        <v>1</v>
      </c>
      <c r="Q800">
        <v>6</v>
      </c>
      <c r="R800">
        <v>2024</v>
      </c>
      <c r="S800">
        <v>6</v>
      </c>
      <c r="T800" s="8" t="s">
        <v>92</v>
      </c>
      <c r="U800">
        <v>1</v>
      </c>
      <c r="V800">
        <v>2</v>
      </c>
      <c r="W800">
        <v>1</v>
      </c>
      <c r="X800">
        <v>0</v>
      </c>
      <c r="Y800">
        <v>0</v>
      </c>
      <c r="Z800">
        <v>0</v>
      </c>
    </row>
    <row r="801" spans="1:26" x14ac:dyDescent="0.25">
      <c r="A801" s="1">
        <v>45374.852430555555</v>
      </c>
      <c r="B801" s="8" t="s">
        <v>29</v>
      </c>
      <c r="C801">
        <v>-85.9619</v>
      </c>
      <c r="D801">
        <v>103.5733</v>
      </c>
      <c r="E801">
        <v>156</v>
      </c>
      <c r="F801" s="8" t="s">
        <v>21</v>
      </c>
      <c r="G801">
        <v>19.399999999999999</v>
      </c>
      <c r="H801">
        <v>75.2</v>
      </c>
      <c r="I801" s="8" t="s">
        <v>22</v>
      </c>
      <c r="J801">
        <v>44</v>
      </c>
      <c r="K801">
        <v>135</v>
      </c>
      <c r="L801">
        <v>1</v>
      </c>
      <c r="M801" s="8" t="s">
        <v>23</v>
      </c>
      <c r="N801">
        <v>66.599999999999994</v>
      </c>
      <c r="O801">
        <v>108</v>
      </c>
      <c r="P801">
        <v>1</v>
      </c>
      <c r="Q801">
        <v>3</v>
      </c>
      <c r="R801">
        <v>2024</v>
      </c>
      <c r="S801">
        <v>6</v>
      </c>
      <c r="T801" s="8" t="s">
        <v>90</v>
      </c>
      <c r="U801">
        <v>1</v>
      </c>
      <c r="V801">
        <v>0</v>
      </c>
      <c r="W801">
        <v>2</v>
      </c>
      <c r="X801">
        <v>1</v>
      </c>
      <c r="Y801">
        <v>1</v>
      </c>
      <c r="Z801">
        <v>0</v>
      </c>
    </row>
    <row r="802" spans="1:26" x14ac:dyDescent="0.25">
      <c r="A802" s="1">
        <v>45400.201539351852</v>
      </c>
      <c r="B802" s="8" t="s">
        <v>34</v>
      </c>
      <c r="C802">
        <v>-36.615400000000001</v>
      </c>
      <c r="D802">
        <v>-46.300800000000002</v>
      </c>
      <c r="E802">
        <v>468</v>
      </c>
      <c r="F802" s="8" t="s">
        <v>26</v>
      </c>
      <c r="G802">
        <v>26.6</v>
      </c>
      <c r="H802">
        <v>59</v>
      </c>
      <c r="I802" s="8" t="s">
        <v>22</v>
      </c>
      <c r="J802">
        <v>16</v>
      </c>
      <c r="K802">
        <v>144</v>
      </c>
      <c r="L802">
        <v>4</v>
      </c>
      <c r="M802" s="8" t="s">
        <v>23</v>
      </c>
      <c r="N802">
        <v>86.8</v>
      </c>
      <c r="O802">
        <v>276</v>
      </c>
      <c r="P802">
        <v>1</v>
      </c>
      <c r="Q802">
        <v>4</v>
      </c>
      <c r="R802">
        <v>2024</v>
      </c>
      <c r="S802">
        <v>4</v>
      </c>
      <c r="T802" s="8" t="s">
        <v>90</v>
      </c>
      <c r="U802">
        <v>0</v>
      </c>
      <c r="V802">
        <v>1</v>
      </c>
      <c r="W802">
        <v>2</v>
      </c>
      <c r="X802">
        <v>1</v>
      </c>
      <c r="Y802">
        <v>0</v>
      </c>
      <c r="Z802">
        <v>0</v>
      </c>
    </row>
    <row r="803" spans="1:26" x14ac:dyDescent="0.25">
      <c r="A803" s="1">
        <v>45469.392893518518</v>
      </c>
      <c r="B803" s="8" t="s">
        <v>16</v>
      </c>
      <c r="C803">
        <v>-85.0916</v>
      </c>
      <c r="D803">
        <v>68.303899999999999</v>
      </c>
      <c r="E803">
        <v>142</v>
      </c>
      <c r="F803" s="8" t="s">
        <v>17</v>
      </c>
      <c r="G803">
        <v>28.4</v>
      </c>
      <c r="H803">
        <v>67.3</v>
      </c>
      <c r="I803" s="8" t="s">
        <v>18</v>
      </c>
      <c r="J803">
        <v>30</v>
      </c>
      <c r="K803">
        <v>181</v>
      </c>
      <c r="L803">
        <v>6</v>
      </c>
      <c r="M803" s="8" t="s">
        <v>23</v>
      </c>
      <c r="N803">
        <v>84.3</v>
      </c>
      <c r="O803">
        <v>104</v>
      </c>
      <c r="P803">
        <v>1</v>
      </c>
      <c r="Q803">
        <v>6</v>
      </c>
      <c r="R803">
        <v>2024</v>
      </c>
      <c r="S803">
        <v>3</v>
      </c>
      <c r="T803" s="8" t="s">
        <v>92</v>
      </c>
      <c r="U803">
        <v>0</v>
      </c>
      <c r="V803">
        <v>2</v>
      </c>
      <c r="W803">
        <v>1</v>
      </c>
      <c r="X803">
        <v>0</v>
      </c>
      <c r="Y803">
        <v>0</v>
      </c>
      <c r="Z803">
        <v>0</v>
      </c>
    </row>
    <row r="804" spans="1:26" x14ac:dyDescent="0.25">
      <c r="A804" s="1">
        <v>45326.047523148147</v>
      </c>
      <c r="B804" s="8" t="s">
        <v>24</v>
      </c>
      <c r="C804">
        <v>-13.6168</v>
      </c>
      <c r="D804">
        <v>-165.08250000000001</v>
      </c>
      <c r="E804">
        <v>349</v>
      </c>
      <c r="F804" s="8" t="s">
        <v>21</v>
      </c>
      <c r="G804">
        <v>21.1</v>
      </c>
      <c r="H804">
        <v>55.1</v>
      </c>
      <c r="I804" s="8" t="s">
        <v>22</v>
      </c>
      <c r="J804">
        <v>13</v>
      </c>
      <c r="K804">
        <v>453</v>
      </c>
      <c r="L804">
        <v>10</v>
      </c>
      <c r="M804" s="8" t="s">
        <v>23</v>
      </c>
      <c r="N804">
        <v>65.099999999999994</v>
      </c>
      <c r="O804">
        <v>111</v>
      </c>
      <c r="P804">
        <v>1</v>
      </c>
      <c r="Q804">
        <v>2</v>
      </c>
      <c r="R804">
        <v>2024</v>
      </c>
      <c r="S804">
        <v>0</v>
      </c>
      <c r="T804" s="8" t="s">
        <v>93</v>
      </c>
      <c r="U804">
        <v>0</v>
      </c>
      <c r="V804">
        <v>0</v>
      </c>
      <c r="W804">
        <v>2</v>
      </c>
      <c r="X804">
        <v>1</v>
      </c>
      <c r="Y804">
        <v>0</v>
      </c>
      <c r="Z804">
        <v>0</v>
      </c>
    </row>
    <row r="805" spans="1:26" x14ac:dyDescent="0.25">
      <c r="A805" s="1">
        <v>45383.685555555552</v>
      </c>
      <c r="B805" s="8" t="s">
        <v>29</v>
      </c>
      <c r="C805">
        <v>42.603200000000001</v>
      </c>
      <c r="D805">
        <v>146.14850000000001</v>
      </c>
      <c r="E805">
        <v>226</v>
      </c>
      <c r="F805" s="8" t="s">
        <v>26</v>
      </c>
      <c r="G805">
        <v>23.9</v>
      </c>
      <c r="H805">
        <v>61.2</v>
      </c>
      <c r="I805" s="8" t="s">
        <v>22</v>
      </c>
      <c r="J805">
        <v>13</v>
      </c>
      <c r="K805">
        <v>211</v>
      </c>
      <c r="L805">
        <v>2</v>
      </c>
      <c r="M805" s="8" t="s">
        <v>31</v>
      </c>
      <c r="N805">
        <v>67.5</v>
      </c>
      <c r="O805">
        <v>232</v>
      </c>
      <c r="P805">
        <v>1</v>
      </c>
      <c r="Q805">
        <v>4</v>
      </c>
      <c r="R805">
        <v>2024</v>
      </c>
      <c r="S805">
        <v>1</v>
      </c>
      <c r="T805" s="8" t="s">
        <v>90</v>
      </c>
      <c r="U805">
        <v>0</v>
      </c>
      <c r="V805">
        <v>1</v>
      </c>
      <c r="W805">
        <v>2</v>
      </c>
      <c r="X805">
        <v>1</v>
      </c>
      <c r="Y805">
        <v>0</v>
      </c>
      <c r="Z805">
        <v>0</v>
      </c>
    </row>
    <row r="806" spans="1:26" x14ac:dyDescent="0.25">
      <c r="A806" s="1">
        <v>45518.89502314815</v>
      </c>
      <c r="B806" s="8" t="s">
        <v>30</v>
      </c>
      <c r="C806">
        <v>86.819500000000005</v>
      </c>
      <c r="D806">
        <v>-21.078600000000002</v>
      </c>
      <c r="E806">
        <v>481</v>
      </c>
      <c r="F806" s="8" t="s">
        <v>21</v>
      </c>
      <c r="G806">
        <v>22.4</v>
      </c>
      <c r="H806">
        <v>77.900000000000006</v>
      </c>
      <c r="I806" s="8" t="s">
        <v>18</v>
      </c>
      <c r="J806">
        <v>25</v>
      </c>
      <c r="K806">
        <v>143</v>
      </c>
      <c r="L806">
        <v>8</v>
      </c>
      <c r="M806" s="8" t="s">
        <v>27</v>
      </c>
      <c r="N806">
        <v>71.400000000000006</v>
      </c>
      <c r="O806">
        <v>124</v>
      </c>
      <c r="P806">
        <v>0</v>
      </c>
      <c r="Q806">
        <v>8</v>
      </c>
      <c r="R806">
        <v>2024</v>
      </c>
      <c r="S806">
        <v>3</v>
      </c>
      <c r="T806" s="8" t="s">
        <v>92</v>
      </c>
      <c r="U806">
        <v>0</v>
      </c>
      <c r="V806">
        <v>0</v>
      </c>
      <c r="W806">
        <v>1</v>
      </c>
      <c r="X806">
        <v>0</v>
      </c>
      <c r="Y806">
        <v>1</v>
      </c>
      <c r="Z806">
        <v>0</v>
      </c>
    </row>
    <row r="807" spans="1:26" x14ac:dyDescent="0.25">
      <c r="A807" s="1">
        <v>45568.765185185184</v>
      </c>
      <c r="B807" s="8" t="s">
        <v>34</v>
      </c>
      <c r="C807">
        <v>-82.629400000000004</v>
      </c>
      <c r="D807">
        <v>-72.333200000000005</v>
      </c>
      <c r="E807">
        <v>448</v>
      </c>
      <c r="F807" s="8" t="s">
        <v>26</v>
      </c>
      <c r="G807">
        <v>20.100000000000001</v>
      </c>
      <c r="H807">
        <v>65.7</v>
      </c>
      <c r="I807" s="8" t="s">
        <v>28</v>
      </c>
      <c r="J807">
        <v>20</v>
      </c>
      <c r="K807">
        <v>180</v>
      </c>
      <c r="L807">
        <v>7</v>
      </c>
      <c r="M807" s="8" t="s">
        <v>31</v>
      </c>
      <c r="N807">
        <v>61.7</v>
      </c>
      <c r="O807">
        <v>253</v>
      </c>
      <c r="P807">
        <v>0</v>
      </c>
      <c r="Q807">
        <v>10</v>
      </c>
      <c r="R807">
        <v>2024</v>
      </c>
      <c r="S807">
        <v>4</v>
      </c>
      <c r="T807" s="8" t="s">
        <v>91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s="1">
        <v>45376.515393518515</v>
      </c>
      <c r="B808" s="8" t="s">
        <v>34</v>
      </c>
      <c r="C808">
        <v>41.972799999999999</v>
      </c>
      <c r="D808">
        <v>81.427400000000006</v>
      </c>
      <c r="E808">
        <v>441</v>
      </c>
      <c r="F808" s="8" t="s">
        <v>17</v>
      </c>
      <c r="G808">
        <v>18.899999999999999</v>
      </c>
      <c r="H808">
        <v>67</v>
      </c>
      <c r="I808" s="8" t="s">
        <v>18</v>
      </c>
      <c r="J808">
        <v>48</v>
      </c>
      <c r="K808">
        <v>359</v>
      </c>
      <c r="L808">
        <v>8</v>
      </c>
      <c r="M808" s="8" t="s">
        <v>31</v>
      </c>
      <c r="N808">
        <v>76</v>
      </c>
      <c r="O808">
        <v>300</v>
      </c>
      <c r="P808">
        <v>1</v>
      </c>
      <c r="Q808">
        <v>3</v>
      </c>
      <c r="R808">
        <v>2024</v>
      </c>
      <c r="S808">
        <v>1</v>
      </c>
      <c r="T808" s="8" t="s">
        <v>90</v>
      </c>
      <c r="U808">
        <v>0</v>
      </c>
      <c r="V808">
        <v>2</v>
      </c>
      <c r="W808">
        <v>1</v>
      </c>
      <c r="X808">
        <v>0</v>
      </c>
      <c r="Y808">
        <v>0</v>
      </c>
      <c r="Z808">
        <v>1</v>
      </c>
    </row>
    <row r="809" spans="1:26" x14ac:dyDescent="0.25">
      <c r="A809" s="1">
        <v>45547.949155092596</v>
      </c>
      <c r="B809" s="8" t="s">
        <v>24</v>
      </c>
      <c r="C809">
        <v>-7.3863000000000003</v>
      </c>
      <c r="D809">
        <v>-44.8767</v>
      </c>
      <c r="E809">
        <v>470</v>
      </c>
      <c r="F809" s="8" t="s">
        <v>26</v>
      </c>
      <c r="G809">
        <v>25.1</v>
      </c>
      <c r="H809">
        <v>70.3</v>
      </c>
      <c r="I809" s="8" t="s">
        <v>22</v>
      </c>
      <c r="J809">
        <v>11</v>
      </c>
      <c r="K809">
        <v>417</v>
      </c>
      <c r="L809">
        <v>3</v>
      </c>
      <c r="M809" s="8" t="s">
        <v>31</v>
      </c>
      <c r="N809">
        <v>76.5</v>
      </c>
      <c r="O809">
        <v>126</v>
      </c>
      <c r="P809">
        <v>1</v>
      </c>
      <c r="Q809">
        <v>9</v>
      </c>
      <c r="R809">
        <v>2024</v>
      </c>
      <c r="S809">
        <v>4</v>
      </c>
      <c r="T809" s="8" t="s">
        <v>91</v>
      </c>
      <c r="U809">
        <v>0</v>
      </c>
      <c r="V809">
        <v>1</v>
      </c>
      <c r="W809">
        <v>2</v>
      </c>
      <c r="X809">
        <v>1</v>
      </c>
      <c r="Y809">
        <v>0</v>
      </c>
      <c r="Z809">
        <v>0</v>
      </c>
    </row>
    <row r="810" spans="1:26" x14ac:dyDescent="0.25">
      <c r="A810" s="1">
        <v>45415.933946759258</v>
      </c>
      <c r="B810" s="8" t="s">
        <v>24</v>
      </c>
      <c r="C810">
        <v>-21.257300000000001</v>
      </c>
      <c r="D810">
        <v>12.4574</v>
      </c>
      <c r="E810">
        <v>459</v>
      </c>
      <c r="F810" s="8" t="s">
        <v>21</v>
      </c>
      <c r="G810">
        <v>26.4</v>
      </c>
      <c r="H810">
        <v>50.6</v>
      </c>
      <c r="I810" s="8" t="s">
        <v>22</v>
      </c>
      <c r="J810">
        <v>17</v>
      </c>
      <c r="K810">
        <v>222</v>
      </c>
      <c r="L810">
        <v>9</v>
      </c>
      <c r="M810" s="8" t="s">
        <v>27</v>
      </c>
      <c r="N810">
        <v>94.9</v>
      </c>
      <c r="O810">
        <v>265</v>
      </c>
      <c r="P810">
        <v>1</v>
      </c>
      <c r="Q810">
        <v>5</v>
      </c>
      <c r="R810">
        <v>2024</v>
      </c>
      <c r="S810">
        <v>5</v>
      </c>
      <c r="T810" s="8" t="s">
        <v>90</v>
      </c>
      <c r="U810">
        <v>1</v>
      </c>
      <c r="V810">
        <v>0</v>
      </c>
      <c r="W810">
        <v>2</v>
      </c>
      <c r="X810">
        <v>1</v>
      </c>
      <c r="Y810">
        <v>0</v>
      </c>
      <c r="Z810">
        <v>0</v>
      </c>
    </row>
    <row r="811" spans="1:26" x14ac:dyDescent="0.25">
      <c r="A811" s="1">
        <v>45439.414282407408</v>
      </c>
      <c r="B811" s="8" t="s">
        <v>20</v>
      </c>
      <c r="C811">
        <v>-33.937800000000003</v>
      </c>
      <c r="D811">
        <v>-176.31020000000001</v>
      </c>
      <c r="E811">
        <v>324</v>
      </c>
      <c r="F811" s="8" t="s">
        <v>21</v>
      </c>
      <c r="G811">
        <v>27.7</v>
      </c>
      <c r="H811">
        <v>54.8</v>
      </c>
      <c r="I811" s="8" t="s">
        <v>28</v>
      </c>
      <c r="J811">
        <v>46</v>
      </c>
      <c r="K811">
        <v>344</v>
      </c>
      <c r="L811">
        <v>10</v>
      </c>
      <c r="M811" s="8" t="s">
        <v>27</v>
      </c>
      <c r="N811">
        <v>70.7</v>
      </c>
      <c r="O811">
        <v>105</v>
      </c>
      <c r="P811">
        <v>0</v>
      </c>
      <c r="Q811">
        <v>5</v>
      </c>
      <c r="R811">
        <v>2024</v>
      </c>
      <c r="S811">
        <v>1</v>
      </c>
      <c r="T811" s="8" t="s">
        <v>90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 x14ac:dyDescent="0.25">
      <c r="A812" s="1">
        <v>45437.358055555553</v>
      </c>
      <c r="B812" s="8" t="s">
        <v>32</v>
      </c>
      <c r="C812">
        <v>23.9115</v>
      </c>
      <c r="D812">
        <v>179.00460000000001</v>
      </c>
      <c r="E812">
        <v>194</v>
      </c>
      <c r="F812" s="8" t="s">
        <v>17</v>
      </c>
      <c r="G812">
        <v>24.9</v>
      </c>
      <c r="H812">
        <v>57.9</v>
      </c>
      <c r="I812" s="8" t="s">
        <v>18</v>
      </c>
      <c r="J812">
        <v>10</v>
      </c>
      <c r="K812">
        <v>220</v>
      </c>
      <c r="L812">
        <v>3</v>
      </c>
      <c r="M812" s="8" t="s">
        <v>19</v>
      </c>
      <c r="N812">
        <v>77.3</v>
      </c>
      <c r="O812">
        <v>172</v>
      </c>
      <c r="P812">
        <v>1</v>
      </c>
      <c r="Q812">
        <v>5</v>
      </c>
      <c r="R812">
        <v>2024</v>
      </c>
      <c r="S812">
        <v>6</v>
      </c>
      <c r="T812" s="8" t="s">
        <v>90</v>
      </c>
      <c r="U812">
        <v>1</v>
      </c>
      <c r="V812">
        <v>2</v>
      </c>
      <c r="W812">
        <v>1</v>
      </c>
      <c r="X812">
        <v>0</v>
      </c>
      <c r="Y812">
        <v>0</v>
      </c>
      <c r="Z812">
        <v>0</v>
      </c>
    </row>
    <row r="813" spans="1:26" x14ac:dyDescent="0.25">
      <c r="A813" s="1">
        <v>45371.372002314813</v>
      </c>
      <c r="B813" s="8" t="s">
        <v>25</v>
      </c>
      <c r="C813">
        <v>-80.519599999999997</v>
      </c>
      <c r="D813">
        <v>-2.9668000000000001</v>
      </c>
      <c r="E813">
        <v>334</v>
      </c>
      <c r="F813" s="8" t="s">
        <v>26</v>
      </c>
      <c r="G813">
        <v>22.8</v>
      </c>
      <c r="H813">
        <v>61.1</v>
      </c>
      <c r="I813" s="8" t="s">
        <v>28</v>
      </c>
      <c r="J813">
        <v>52</v>
      </c>
      <c r="K813">
        <v>389</v>
      </c>
      <c r="L813">
        <v>2</v>
      </c>
      <c r="M813" s="8" t="s">
        <v>27</v>
      </c>
      <c r="N813">
        <v>88</v>
      </c>
      <c r="O813">
        <v>123</v>
      </c>
      <c r="P813">
        <v>0</v>
      </c>
      <c r="Q813">
        <v>3</v>
      </c>
      <c r="R813">
        <v>2024</v>
      </c>
      <c r="S813">
        <v>3</v>
      </c>
      <c r="T813" s="8" t="s">
        <v>90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1</v>
      </c>
    </row>
    <row r="814" spans="1:26" x14ac:dyDescent="0.25">
      <c r="A814" s="1">
        <v>45435.648333333331</v>
      </c>
      <c r="B814" s="8" t="s">
        <v>30</v>
      </c>
      <c r="C814">
        <v>45.860300000000002</v>
      </c>
      <c r="D814">
        <v>148.47749999999999</v>
      </c>
      <c r="E814">
        <v>179</v>
      </c>
      <c r="F814" s="8" t="s">
        <v>26</v>
      </c>
      <c r="G814">
        <v>25.5</v>
      </c>
      <c r="H814">
        <v>75.8</v>
      </c>
      <c r="I814" s="8" t="s">
        <v>28</v>
      </c>
      <c r="J814">
        <v>19</v>
      </c>
      <c r="K814">
        <v>139</v>
      </c>
      <c r="L814">
        <v>9</v>
      </c>
      <c r="M814" s="8" t="s">
        <v>27</v>
      </c>
      <c r="N814">
        <v>83.5</v>
      </c>
      <c r="O814">
        <v>282</v>
      </c>
      <c r="P814">
        <v>0</v>
      </c>
      <c r="Q814">
        <v>5</v>
      </c>
      <c r="R814">
        <v>2024</v>
      </c>
      <c r="S814">
        <v>4</v>
      </c>
      <c r="T814" s="8" t="s">
        <v>90</v>
      </c>
      <c r="U814">
        <v>0</v>
      </c>
      <c r="V814">
        <v>1</v>
      </c>
      <c r="W814">
        <v>0</v>
      </c>
      <c r="X814">
        <v>0</v>
      </c>
      <c r="Y814">
        <v>1</v>
      </c>
      <c r="Z814">
        <v>0</v>
      </c>
    </row>
    <row r="815" spans="1:26" x14ac:dyDescent="0.25">
      <c r="A815" s="1">
        <v>45584.998668981483</v>
      </c>
      <c r="B815" s="8" t="s">
        <v>32</v>
      </c>
      <c r="C815">
        <v>60.049100000000003</v>
      </c>
      <c r="D815">
        <v>-175.50190000000001</v>
      </c>
      <c r="E815">
        <v>401</v>
      </c>
      <c r="F815" s="8" t="s">
        <v>17</v>
      </c>
      <c r="G815">
        <v>27.1</v>
      </c>
      <c r="H815">
        <v>67.2</v>
      </c>
      <c r="I815" s="8" t="s">
        <v>18</v>
      </c>
      <c r="J815">
        <v>51</v>
      </c>
      <c r="K815">
        <v>487</v>
      </c>
      <c r="L815">
        <v>3</v>
      </c>
      <c r="M815" s="8" t="s">
        <v>23</v>
      </c>
      <c r="N815">
        <v>86.3</v>
      </c>
      <c r="O815">
        <v>238</v>
      </c>
      <c r="P815">
        <v>1</v>
      </c>
      <c r="Q815">
        <v>10</v>
      </c>
      <c r="R815">
        <v>2024</v>
      </c>
      <c r="S815">
        <v>6</v>
      </c>
      <c r="T815" s="8" t="s">
        <v>91</v>
      </c>
      <c r="U815">
        <v>1</v>
      </c>
      <c r="V815">
        <v>2</v>
      </c>
      <c r="W815">
        <v>1</v>
      </c>
      <c r="X815">
        <v>0</v>
      </c>
      <c r="Y815">
        <v>0</v>
      </c>
      <c r="Z815">
        <v>1</v>
      </c>
    </row>
    <row r="816" spans="1:26" x14ac:dyDescent="0.25">
      <c r="A816" s="1">
        <v>45393.193935185183</v>
      </c>
      <c r="B816" s="8" t="s">
        <v>24</v>
      </c>
      <c r="C816">
        <v>-33.952800000000003</v>
      </c>
      <c r="D816">
        <v>-54.220100000000002</v>
      </c>
      <c r="E816">
        <v>384</v>
      </c>
      <c r="F816" s="8" t="s">
        <v>21</v>
      </c>
      <c r="G816">
        <v>24.2</v>
      </c>
      <c r="H816">
        <v>72.5</v>
      </c>
      <c r="I816" s="8" t="s">
        <v>22</v>
      </c>
      <c r="J816">
        <v>50</v>
      </c>
      <c r="K816">
        <v>131</v>
      </c>
      <c r="L816">
        <v>3</v>
      </c>
      <c r="M816" s="8" t="s">
        <v>23</v>
      </c>
      <c r="N816">
        <v>80.099999999999994</v>
      </c>
      <c r="O816">
        <v>141</v>
      </c>
      <c r="P816">
        <v>1</v>
      </c>
      <c r="Q816">
        <v>4</v>
      </c>
      <c r="R816">
        <v>2024</v>
      </c>
      <c r="S816">
        <v>4</v>
      </c>
      <c r="T816" s="8" t="s">
        <v>90</v>
      </c>
      <c r="U816">
        <v>0</v>
      </c>
      <c r="V816">
        <v>0</v>
      </c>
      <c r="W816">
        <v>2</v>
      </c>
      <c r="X816">
        <v>1</v>
      </c>
      <c r="Y816">
        <v>0</v>
      </c>
      <c r="Z816">
        <v>1</v>
      </c>
    </row>
    <row r="817" spans="1:26" x14ac:dyDescent="0.25">
      <c r="A817" s="1">
        <v>45361.258483796293</v>
      </c>
      <c r="B817" s="8" t="s">
        <v>25</v>
      </c>
      <c r="C817">
        <v>7.9549000000000003</v>
      </c>
      <c r="D817">
        <v>-109.2897</v>
      </c>
      <c r="E817">
        <v>434</v>
      </c>
      <c r="F817" s="8" t="s">
        <v>26</v>
      </c>
      <c r="G817">
        <v>22</v>
      </c>
      <c r="H817">
        <v>69.2</v>
      </c>
      <c r="I817" s="8" t="s">
        <v>22</v>
      </c>
      <c r="J817">
        <v>17</v>
      </c>
      <c r="K817">
        <v>233</v>
      </c>
      <c r="L817">
        <v>10</v>
      </c>
      <c r="M817" s="8" t="s">
        <v>19</v>
      </c>
      <c r="N817">
        <v>63.4</v>
      </c>
      <c r="O817">
        <v>138</v>
      </c>
      <c r="P817">
        <v>1</v>
      </c>
      <c r="Q817">
        <v>3</v>
      </c>
      <c r="R817">
        <v>2024</v>
      </c>
      <c r="S817">
        <v>0</v>
      </c>
      <c r="T817" s="8" t="s">
        <v>90</v>
      </c>
      <c r="U817">
        <v>0</v>
      </c>
      <c r="V817">
        <v>1</v>
      </c>
      <c r="W817">
        <v>2</v>
      </c>
      <c r="X817">
        <v>1</v>
      </c>
      <c r="Y817">
        <v>0</v>
      </c>
      <c r="Z817">
        <v>0</v>
      </c>
    </row>
    <row r="818" spans="1:26" x14ac:dyDescent="0.25">
      <c r="A818" s="1">
        <v>45654.448645833334</v>
      </c>
      <c r="B818" s="8" t="s">
        <v>24</v>
      </c>
      <c r="C818">
        <v>-6.9237000000000002</v>
      </c>
      <c r="D818">
        <v>20.963100000000001</v>
      </c>
      <c r="E818">
        <v>366</v>
      </c>
      <c r="F818" s="8" t="s">
        <v>17</v>
      </c>
      <c r="G818">
        <v>18.7</v>
      </c>
      <c r="H818">
        <v>59.1</v>
      </c>
      <c r="I818" s="8" t="s">
        <v>18</v>
      </c>
      <c r="J818">
        <v>39</v>
      </c>
      <c r="K818">
        <v>466</v>
      </c>
      <c r="L818">
        <v>6</v>
      </c>
      <c r="M818" s="8" t="s">
        <v>27</v>
      </c>
      <c r="N818">
        <v>82.7</v>
      </c>
      <c r="O818">
        <v>109</v>
      </c>
      <c r="P818">
        <v>1</v>
      </c>
      <c r="Q818">
        <v>12</v>
      </c>
      <c r="R818">
        <v>2024</v>
      </c>
      <c r="S818">
        <v>6</v>
      </c>
      <c r="T818" s="8" t="s">
        <v>93</v>
      </c>
      <c r="U818">
        <v>1</v>
      </c>
      <c r="V818">
        <v>2</v>
      </c>
      <c r="W818">
        <v>1</v>
      </c>
      <c r="X818">
        <v>0</v>
      </c>
      <c r="Y818">
        <v>0</v>
      </c>
      <c r="Z818">
        <v>0</v>
      </c>
    </row>
    <row r="819" spans="1:26" x14ac:dyDescent="0.25">
      <c r="A819" s="1">
        <v>45418.307199074072</v>
      </c>
      <c r="B819" s="8" t="s">
        <v>33</v>
      </c>
      <c r="C819">
        <v>-80.588300000000004</v>
      </c>
      <c r="D819">
        <v>-167.46729999999999</v>
      </c>
      <c r="E819">
        <v>269</v>
      </c>
      <c r="F819" s="8" t="s">
        <v>21</v>
      </c>
      <c r="G819">
        <v>27.7</v>
      </c>
      <c r="H819">
        <v>57.5</v>
      </c>
      <c r="I819" s="8" t="s">
        <v>18</v>
      </c>
      <c r="J819">
        <v>54</v>
      </c>
      <c r="K819">
        <v>288</v>
      </c>
      <c r="L819">
        <v>6</v>
      </c>
      <c r="M819" s="8" t="s">
        <v>19</v>
      </c>
      <c r="N819">
        <v>89.8</v>
      </c>
      <c r="O819">
        <v>116</v>
      </c>
      <c r="P819">
        <v>0</v>
      </c>
      <c r="Q819">
        <v>5</v>
      </c>
      <c r="R819">
        <v>2024</v>
      </c>
      <c r="S819">
        <v>1</v>
      </c>
      <c r="T819" s="8" t="s">
        <v>90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1</v>
      </c>
    </row>
    <row r="820" spans="1:26" x14ac:dyDescent="0.25">
      <c r="A820" s="1">
        <v>45308.187106481484</v>
      </c>
      <c r="B820" s="8" t="s">
        <v>35</v>
      </c>
      <c r="C820">
        <v>-60.356299999999997</v>
      </c>
      <c r="D820">
        <v>95.723200000000006</v>
      </c>
      <c r="E820">
        <v>292</v>
      </c>
      <c r="F820" s="8" t="s">
        <v>26</v>
      </c>
      <c r="G820">
        <v>22.7</v>
      </c>
      <c r="H820">
        <v>61</v>
      </c>
      <c r="I820" s="8" t="s">
        <v>28</v>
      </c>
      <c r="J820">
        <v>42</v>
      </c>
      <c r="K820">
        <v>358</v>
      </c>
      <c r="L820">
        <v>9</v>
      </c>
      <c r="M820" s="8" t="s">
        <v>31</v>
      </c>
      <c r="N820">
        <v>77.7</v>
      </c>
      <c r="O820">
        <v>256</v>
      </c>
      <c r="P820">
        <v>0</v>
      </c>
      <c r="Q820">
        <v>1</v>
      </c>
      <c r="R820">
        <v>2024</v>
      </c>
      <c r="S820">
        <v>3</v>
      </c>
      <c r="T820" s="8" t="s">
        <v>93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</row>
    <row r="821" spans="1:26" x14ac:dyDescent="0.25">
      <c r="A821" s="1">
        <v>45563.07068287037</v>
      </c>
      <c r="B821" s="8" t="s">
        <v>20</v>
      </c>
      <c r="C821">
        <v>-83.320700000000002</v>
      </c>
      <c r="D821">
        <v>19.911899999999999</v>
      </c>
      <c r="E821">
        <v>288</v>
      </c>
      <c r="F821" s="8" t="s">
        <v>26</v>
      </c>
      <c r="G821">
        <v>25.4</v>
      </c>
      <c r="H821">
        <v>62</v>
      </c>
      <c r="I821" s="8" t="s">
        <v>28</v>
      </c>
      <c r="J821">
        <v>54</v>
      </c>
      <c r="K821">
        <v>154</v>
      </c>
      <c r="L821">
        <v>2</v>
      </c>
      <c r="M821" s="8" t="s">
        <v>27</v>
      </c>
      <c r="N821">
        <v>71.900000000000006</v>
      </c>
      <c r="O821">
        <v>211</v>
      </c>
      <c r="P821">
        <v>0</v>
      </c>
      <c r="Q821">
        <v>9</v>
      </c>
      <c r="R821">
        <v>2024</v>
      </c>
      <c r="S821">
        <v>6</v>
      </c>
      <c r="T821" s="8" t="s">
        <v>91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1</v>
      </c>
    </row>
    <row r="822" spans="1:26" x14ac:dyDescent="0.25">
      <c r="A822" s="1">
        <v>45357.110949074071</v>
      </c>
      <c r="B822" s="8" t="s">
        <v>32</v>
      </c>
      <c r="C822">
        <v>-54.496400000000001</v>
      </c>
      <c r="D822">
        <v>-93.860299999999995</v>
      </c>
      <c r="E822">
        <v>286</v>
      </c>
      <c r="F822" s="8" t="s">
        <v>26</v>
      </c>
      <c r="G822">
        <v>20.7</v>
      </c>
      <c r="H822">
        <v>59</v>
      </c>
      <c r="I822" s="8" t="s">
        <v>22</v>
      </c>
      <c r="J822">
        <v>43</v>
      </c>
      <c r="K822">
        <v>387</v>
      </c>
      <c r="L822">
        <v>4</v>
      </c>
      <c r="M822" s="8" t="s">
        <v>27</v>
      </c>
      <c r="N822">
        <v>60.7</v>
      </c>
      <c r="O822">
        <v>134</v>
      </c>
      <c r="P822">
        <v>1</v>
      </c>
      <c r="Q822">
        <v>3</v>
      </c>
      <c r="R822">
        <v>2024</v>
      </c>
      <c r="S822">
        <v>3</v>
      </c>
      <c r="T822" s="8" t="s">
        <v>90</v>
      </c>
      <c r="U822">
        <v>0</v>
      </c>
      <c r="V822">
        <v>1</v>
      </c>
      <c r="W822">
        <v>2</v>
      </c>
      <c r="X822">
        <v>1</v>
      </c>
      <c r="Y822">
        <v>0</v>
      </c>
      <c r="Z822">
        <v>0</v>
      </c>
    </row>
    <row r="823" spans="1:26" x14ac:dyDescent="0.25">
      <c r="A823" s="1">
        <v>45520.246979166666</v>
      </c>
      <c r="B823" s="8" t="s">
        <v>16</v>
      </c>
      <c r="C823">
        <v>66.539900000000003</v>
      </c>
      <c r="D823">
        <v>160.55099999999999</v>
      </c>
      <c r="E823">
        <v>155</v>
      </c>
      <c r="F823" s="8" t="s">
        <v>17</v>
      </c>
      <c r="G823">
        <v>24</v>
      </c>
      <c r="H823">
        <v>72.400000000000006</v>
      </c>
      <c r="I823" s="8" t="s">
        <v>18</v>
      </c>
      <c r="J823">
        <v>28</v>
      </c>
      <c r="K823">
        <v>398</v>
      </c>
      <c r="L823">
        <v>6</v>
      </c>
      <c r="M823" s="8" t="s">
        <v>27</v>
      </c>
      <c r="N823">
        <v>63.8</v>
      </c>
      <c r="O823">
        <v>278</v>
      </c>
      <c r="P823">
        <v>1</v>
      </c>
      <c r="Q823">
        <v>8</v>
      </c>
      <c r="R823">
        <v>2024</v>
      </c>
      <c r="S823">
        <v>5</v>
      </c>
      <c r="T823" s="8" t="s">
        <v>92</v>
      </c>
      <c r="U823">
        <v>1</v>
      </c>
      <c r="V823">
        <v>2</v>
      </c>
      <c r="W823">
        <v>1</v>
      </c>
      <c r="X823">
        <v>0</v>
      </c>
      <c r="Y823">
        <v>0</v>
      </c>
      <c r="Z823">
        <v>0</v>
      </c>
    </row>
    <row r="824" spans="1:26" x14ac:dyDescent="0.25">
      <c r="A824" s="1">
        <v>45511.402696759258</v>
      </c>
      <c r="B824" s="8" t="s">
        <v>32</v>
      </c>
      <c r="C824">
        <v>16.1144</v>
      </c>
      <c r="D824">
        <v>-24.411799999999999</v>
      </c>
      <c r="E824">
        <v>488</v>
      </c>
      <c r="F824" s="8" t="s">
        <v>26</v>
      </c>
      <c r="G824">
        <v>26.5</v>
      </c>
      <c r="H824">
        <v>66.599999999999994</v>
      </c>
      <c r="I824" s="8" t="s">
        <v>22</v>
      </c>
      <c r="J824">
        <v>41</v>
      </c>
      <c r="K824">
        <v>104</v>
      </c>
      <c r="L824">
        <v>1</v>
      </c>
      <c r="M824" s="8" t="s">
        <v>31</v>
      </c>
      <c r="N824">
        <v>67.099999999999994</v>
      </c>
      <c r="O824">
        <v>151</v>
      </c>
      <c r="P824">
        <v>1</v>
      </c>
      <c r="Q824">
        <v>8</v>
      </c>
      <c r="R824">
        <v>2024</v>
      </c>
      <c r="S824">
        <v>3</v>
      </c>
      <c r="T824" s="8" t="s">
        <v>92</v>
      </c>
      <c r="U824">
        <v>0</v>
      </c>
      <c r="V824">
        <v>1</v>
      </c>
      <c r="W824">
        <v>2</v>
      </c>
      <c r="X824">
        <v>1</v>
      </c>
      <c r="Y824">
        <v>0</v>
      </c>
      <c r="Z824">
        <v>0</v>
      </c>
    </row>
    <row r="825" spans="1:26" x14ac:dyDescent="0.25">
      <c r="A825" s="1">
        <v>45412.858587962961</v>
      </c>
      <c r="B825" s="8" t="s">
        <v>32</v>
      </c>
      <c r="C825">
        <v>-84.960099999999997</v>
      </c>
      <c r="D825">
        <v>17.499199999999998</v>
      </c>
      <c r="E825">
        <v>386</v>
      </c>
      <c r="F825" s="8" t="s">
        <v>21</v>
      </c>
      <c r="G825">
        <v>21.8</v>
      </c>
      <c r="H825">
        <v>79.7</v>
      </c>
      <c r="I825" s="8" t="s">
        <v>18</v>
      </c>
      <c r="J825">
        <v>15</v>
      </c>
      <c r="K825">
        <v>463</v>
      </c>
      <c r="L825">
        <v>1</v>
      </c>
      <c r="M825" s="8" t="s">
        <v>27</v>
      </c>
      <c r="N825">
        <v>75</v>
      </c>
      <c r="O825">
        <v>224</v>
      </c>
      <c r="P825">
        <v>0</v>
      </c>
      <c r="Q825">
        <v>4</v>
      </c>
      <c r="R825">
        <v>2024</v>
      </c>
      <c r="S825">
        <v>2</v>
      </c>
      <c r="T825" s="8" t="s">
        <v>90</v>
      </c>
      <c r="U825">
        <v>0</v>
      </c>
      <c r="V825">
        <v>0</v>
      </c>
      <c r="W825">
        <v>1</v>
      </c>
      <c r="X825">
        <v>0</v>
      </c>
      <c r="Y825">
        <v>1</v>
      </c>
      <c r="Z825">
        <v>0</v>
      </c>
    </row>
    <row r="826" spans="1:26" x14ac:dyDescent="0.25">
      <c r="A826" s="1">
        <v>45476.527002314811</v>
      </c>
      <c r="B826" s="8" t="s">
        <v>33</v>
      </c>
      <c r="C826">
        <v>-62.644100000000002</v>
      </c>
      <c r="D826">
        <v>-34.444600000000001</v>
      </c>
      <c r="E826">
        <v>153</v>
      </c>
      <c r="F826" s="8" t="s">
        <v>26</v>
      </c>
      <c r="G826">
        <v>20.7</v>
      </c>
      <c r="H826">
        <v>55.3</v>
      </c>
      <c r="I826" s="8" t="s">
        <v>18</v>
      </c>
      <c r="J826">
        <v>55</v>
      </c>
      <c r="K826">
        <v>304</v>
      </c>
      <c r="L826">
        <v>8</v>
      </c>
      <c r="M826" s="8" t="s">
        <v>19</v>
      </c>
      <c r="N826">
        <v>79.5</v>
      </c>
      <c r="O826">
        <v>147</v>
      </c>
      <c r="P826">
        <v>0</v>
      </c>
      <c r="Q826">
        <v>7</v>
      </c>
      <c r="R826">
        <v>2024</v>
      </c>
      <c r="S826">
        <v>3</v>
      </c>
      <c r="T826" s="8" t="s">
        <v>92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</row>
    <row r="827" spans="1:26" x14ac:dyDescent="0.25">
      <c r="A827" s="1">
        <v>45409.384039351855</v>
      </c>
      <c r="B827" s="8" t="s">
        <v>34</v>
      </c>
      <c r="C827">
        <v>82.972700000000003</v>
      </c>
      <c r="D827">
        <v>171.14689999999999</v>
      </c>
      <c r="E827">
        <v>317</v>
      </c>
      <c r="F827" s="8" t="s">
        <v>17</v>
      </c>
      <c r="G827">
        <v>26.5</v>
      </c>
      <c r="H827">
        <v>52.7</v>
      </c>
      <c r="I827" s="8" t="s">
        <v>22</v>
      </c>
      <c r="J827">
        <v>37</v>
      </c>
      <c r="K827">
        <v>427</v>
      </c>
      <c r="L827">
        <v>2</v>
      </c>
      <c r="M827" s="8" t="s">
        <v>27</v>
      </c>
      <c r="N827">
        <v>69.900000000000006</v>
      </c>
      <c r="O827">
        <v>233</v>
      </c>
      <c r="P827">
        <v>1</v>
      </c>
      <c r="Q827">
        <v>4</v>
      </c>
      <c r="R827">
        <v>2024</v>
      </c>
      <c r="S827">
        <v>6</v>
      </c>
      <c r="T827" s="8" t="s">
        <v>90</v>
      </c>
      <c r="U827">
        <v>1</v>
      </c>
      <c r="V827">
        <v>2</v>
      </c>
      <c r="W827">
        <v>2</v>
      </c>
      <c r="X827">
        <v>1</v>
      </c>
      <c r="Y827">
        <v>0</v>
      </c>
      <c r="Z827">
        <v>0</v>
      </c>
    </row>
    <row r="828" spans="1:26" x14ac:dyDescent="0.25">
      <c r="A828" s="1">
        <v>45637.682071759256</v>
      </c>
      <c r="B828" s="8" t="s">
        <v>34</v>
      </c>
      <c r="C828">
        <v>-50.808100000000003</v>
      </c>
      <c r="D828">
        <v>11.3148</v>
      </c>
      <c r="E828">
        <v>281</v>
      </c>
      <c r="F828" s="8" t="s">
        <v>21</v>
      </c>
      <c r="G828">
        <v>28</v>
      </c>
      <c r="H828">
        <v>73.5</v>
      </c>
      <c r="I828" s="8" t="s">
        <v>18</v>
      </c>
      <c r="J828">
        <v>43</v>
      </c>
      <c r="K828">
        <v>390</v>
      </c>
      <c r="L828">
        <v>5</v>
      </c>
      <c r="M828" s="8" t="s">
        <v>31</v>
      </c>
      <c r="N828">
        <v>86.4</v>
      </c>
      <c r="O828">
        <v>153</v>
      </c>
      <c r="P828">
        <v>0</v>
      </c>
      <c r="Q828">
        <v>12</v>
      </c>
      <c r="R828">
        <v>2024</v>
      </c>
      <c r="S828">
        <v>3</v>
      </c>
      <c r="T828" s="8" t="s">
        <v>93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</row>
    <row r="829" spans="1:26" x14ac:dyDescent="0.25">
      <c r="A829" s="1">
        <v>45412.813715277778</v>
      </c>
      <c r="B829" s="8" t="s">
        <v>32</v>
      </c>
      <c r="C829">
        <v>67.861199999999997</v>
      </c>
      <c r="D829">
        <v>174.7961</v>
      </c>
      <c r="E829">
        <v>473</v>
      </c>
      <c r="F829" s="8" t="s">
        <v>17</v>
      </c>
      <c r="G829">
        <v>24.8</v>
      </c>
      <c r="H829">
        <v>61.7</v>
      </c>
      <c r="I829" s="8" t="s">
        <v>22</v>
      </c>
      <c r="J829">
        <v>19</v>
      </c>
      <c r="K829">
        <v>360</v>
      </c>
      <c r="L829">
        <v>10</v>
      </c>
      <c r="M829" s="8" t="s">
        <v>23</v>
      </c>
      <c r="N829">
        <v>97.3</v>
      </c>
      <c r="O829">
        <v>186</v>
      </c>
      <c r="P829">
        <v>1</v>
      </c>
      <c r="Q829">
        <v>4</v>
      </c>
      <c r="R829">
        <v>2024</v>
      </c>
      <c r="S829">
        <v>2</v>
      </c>
      <c r="T829" s="8" t="s">
        <v>90</v>
      </c>
      <c r="U829">
        <v>0</v>
      </c>
      <c r="V829">
        <v>2</v>
      </c>
      <c r="W829">
        <v>2</v>
      </c>
      <c r="X829">
        <v>1</v>
      </c>
      <c r="Y829">
        <v>0</v>
      </c>
      <c r="Z829">
        <v>0</v>
      </c>
    </row>
    <row r="830" spans="1:26" x14ac:dyDescent="0.25">
      <c r="A830" s="1">
        <v>45377.653368055559</v>
      </c>
      <c r="B830" s="8" t="s">
        <v>16</v>
      </c>
      <c r="C830">
        <v>52.041499999999999</v>
      </c>
      <c r="D830">
        <v>-64.640299999999996</v>
      </c>
      <c r="E830">
        <v>221</v>
      </c>
      <c r="F830" s="8" t="s">
        <v>26</v>
      </c>
      <c r="G830">
        <v>25.2</v>
      </c>
      <c r="H830">
        <v>68.5</v>
      </c>
      <c r="I830" s="8" t="s">
        <v>18</v>
      </c>
      <c r="J830">
        <v>41</v>
      </c>
      <c r="K830">
        <v>101</v>
      </c>
      <c r="L830">
        <v>9</v>
      </c>
      <c r="M830" s="8" t="s">
        <v>19</v>
      </c>
      <c r="N830">
        <v>99.3</v>
      </c>
      <c r="O830">
        <v>287</v>
      </c>
      <c r="P830">
        <v>0</v>
      </c>
      <c r="Q830">
        <v>3</v>
      </c>
      <c r="R830">
        <v>2024</v>
      </c>
      <c r="S830">
        <v>2</v>
      </c>
      <c r="T830" s="8" t="s">
        <v>90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0</v>
      </c>
    </row>
    <row r="831" spans="1:26" x14ac:dyDescent="0.25">
      <c r="A831" s="1">
        <v>45341.975034722222</v>
      </c>
      <c r="B831" s="8" t="s">
        <v>30</v>
      </c>
      <c r="C831">
        <v>-74.900300000000001</v>
      </c>
      <c r="D831">
        <v>146.07650000000001</v>
      </c>
      <c r="E831">
        <v>276</v>
      </c>
      <c r="F831" s="8" t="s">
        <v>21</v>
      </c>
      <c r="G831">
        <v>29.2</v>
      </c>
      <c r="H831">
        <v>77.099999999999994</v>
      </c>
      <c r="I831" s="8" t="s">
        <v>28</v>
      </c>
      <c r="J831">
        <v>39</v>
      </c>
      <c r="K831">
        <v>483</v>
      </c>
      <c r="L831">
        <v>7</v>
      </c>
      <c r="M831" s="8" t="s">
        <v>19</v>
      </c>
      <c r="N831">
        <v>71.5</v>
      </c>
      <c r="O831">
        <v>157</v>
      </c>
      <c r="P831">
        <v>0</v>
      </c>
      <c r="Q831">
        <v>2</v>
      </c>
      <c r="R831">
        <v>2024</v>
      </c>
      <c r="S831">
        <v>1</v>
      </c>
      <c r="T831" s="8" t="s">
        <v>93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</row>
    <row r="832" spans="1:26" x14ac:dyDescent="0.25">
      <c r="A832" s="1">
        <v>45550.047476851854</v>
      </c>
      <c r="B832" s="8" t="s">
        <v>34</v>
      </c>
      <c r="C832">
        <v>-10.741400000000001</v>
      </c>
      <c r="D832">
        <v>-56.584899999999998</v>
      </c>
      <c r="E832">
        <v>331</v>
      </c>
      <c r="F832" s="8" t="s">
        <v>26</v>
      </c>
      <c r="G832">
        <v>21.6</v>
      </c>
      <c r="H832">
        <v>61.2</v>
      </c>
      <c r="I832" s="8" t="s">
        <v>22</v>
      </c>
      <c r="J832">
        <v>24</v>
      </c>
      <c r="K832">
        <v>450</v>
      </c>
      <c r="L832">
        <v>8</v>
      </c>
      <c r="M832" s="8" t="s">
        <v>27</v>
      </c>
      <c r="N832">
        <v>64.400000000000006</v>
      </c>
      <c r="O832">
        <v>123</v>
      </c>
      <c r="P832">
        <v>1</v>
      </c>
      <c r="Q832">
        <v>9</v>
      </c>
      <c r="R832">
        <v>2024</v>
      </c>
      <c r="S832">
        <v>0</v>
      </c>
      <c r="T832" s="8" t="s">
        <v>91</v>
      </c>
      <c r="U832">
        <v>0</v>
      </c>
      <c r="V832">
        <v>1</v>
      </c>
      <c r="W832">
        <v>2</v>
      </c>
      <c r="X832">
        <v>1</v>
      </c>
      <c r="Y832">
        <v>0</v>
      </c>
      <c r="Z832">
        <v>0</v>
      </c>
    </row>
    <row r="833" spans="1:26" x14ac:dyDescent="0.25">
      <c r="A833" s="1">
        <v>45419.53465277778</v>
      </c>
      <c r="B833" s="8" t="s">
        <v>30</v>
      </c>
      <c r="C833">
        <v>77.436000000000007</v>
      </c>
      <c r="D833">
        <v>42.529000000000003</v>
      </c>
      <c r="E833">
        <v>249</v>
      </c>
      <c r="F833" s="8" t="s">
        <v>26</v>
      </c>
      <c r="G833">
        <v>24.3</v>
      </c>
      <c r="H833">
        <v>78.8</v>
      </c>
      <c r="I833" s="8" t="s">
        <v>22</v>
      </c>
      <c r="J833">
        <v>13</v>
      </c>
      <c r="K833">
        <v>125</v>
      </c>
      <c r="L833">
        <v>2</v>
      </c>
      <c r="M833" s="8" t="s">
        <v>31</v>
      </c>
      <c r="N833">
        <v>78.7</v>
      </c>
      <c r="O833">
        <v>165</v>
      </c>
      <c r="P833">
        <v>1</v>
      </c>
      <c r="Q833">
        <v>5</v>
      </c>
      <c r="R833">
        <v>2024</v>
      </c>
      <c r="S833">
        <v>2</v>
      </c>
      <c r="T833" s="8" t="s">
        <v>90</v>
      </c>
      <c r="U833">
        <v>0</v>
      </c>
      <c r="V833">
        <v>1</v>
      </c>
      <c r="W833">
        <v>2</v>
      </c>
      <c r="X833">
        <v>1</v>
      </c>
      <c r="Y833">
        <v>1</v>
      </c>
      <c r="Z833">
        <v>0</v>
      </c>
    </row>
    <row r="834" spans="1:26" x14ac:dyDescent="0.25">
      <c r="A834" s="1">
        <v>45473.202048611114</v>
      </c>
      <c r="B834" s="8" t="s">
        <v>35</v>
      </c>
      <c r="C834">
        <v>-39.701000000000001</v>
      </c>
      <c r="D834">
        <v>158.9084</v>
      </c>
      <c r="E834">
        <v>379</v>
      </c>
      <c r="F834" s="8" t="s">
        <v>17</v>
      </c>
      <c r="G834">
        <v>23.8</v>
      </c>
      <c r="H834">
        <v>78.8</v>
      </c>
      <c r="I834" s="8" t="s">
        <v>18</v>
      </c>
      <c r="J834">
        <v>22</v>
      </c>
      <c r="K834">
        <v>361</v>
      </c>
      <c r="L834">
        <v>5</v>
      </c>
      <c r="M834" s="8" t="s">
        <v>23</v>
      </c>
      <c r="N834">
        <v>89.3</v>
      </c>
      <c r="O834">
        <v>112</v>
      </c>
      <c r="P834">
        <v>1</v>
      </c>
      <c r="Q834">
        <v>6</v>
      </c>
      <c r="R834">
        <v>2024</v>
      </c>
      <c r="S834">
        <v>0</v>
      </c>
      <c r="T834" s="8" t="s">
        <v>92</v>
      </c>
      <c r="U834">
        <v>0</v>
      </c>
      <c r="V834">
        <v>2</v>
      </c>
      <c r="W834">
        <v>1</v>
      </c>
      <c r="X834">
        <v>0</v>
      </c>
      <c r="Y834">
        <v>1</v>
      </c>
      <c r="Z834">
        <v>0</v>
      </c>
    </row>
    <row r="835" spans="1:26" x14ac:dyDescent="0.25">
      <c r="A835" s="1">
        <v>45604.146909722222</v>
      </c>
      <c r="B835" s="8" t="s">
        <v>24</v>
      </c>
      <c r="C835">
        <v>65.933700000000002</v>
      </c>
      <c r="D835">
        <v>130.6003</v>
      </c>
      <c r="E835">
        <v>489</v>
      </c>
      <c r="F835" s="8" t="s">
        <v>21</v>
      </c>
      <c r="G835">
        <v>18.399999999999999</v>
      </c>
      <c r="H835">
        <v>59.9</v>
      </c>
      <c r="I835" s="8" t="s">
        <v>18</v>
      </c>
      <c r="J835">
        <v>28</v>
      </c>
      <c r="K835">
        <v>136</v>
      </c>
      <c r="L835">
        <v>9</v>
      </c>
      <c r="M835" s="8" t="s">
        <v>27</v>
      </c>
      <c r="N835">
        <v>74.3</v>
      </c>
      <c r="O835">
        <v>272</v>
      </c>
      <c r="P835">
        <v>0</v>
      </c>
      <c r="Q835">
        <v>11</v>
      </c>
      <c r="R835">
        <v>2024</v>
      </c>
      <c r="S835">
        <v>5</v>
      </c>
      <c r="T835" s="8" t="s">
        <v>91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</row>
    <row r="836" spans="1:26" x14ac:dyDescent="0.25">
      <c r="A836" s="1">
        <v>45562.63621527778</v>
      </c>
      <c r="B836" s="8" t="s">
        <v>32</v>
      </c>
      <c r="C836">
        <v>-3.7749000000000001</v>
      </c>
      <c r="D836">
        <v>-110.6148</v>
      </c>
      <c r="E836">
        <v>211</v>
      </c>
      <c r="F836" s="8" t="s">
        <v>21</v>
      </c>
      <c r="G836">
        <v>19.8</v>
      </c>
      <c r="H836">
        <v>52.8</v>
      </c>
      <c r="I836" s="8" t="s">
        <v>22</v>
      </c>
      <c r="J836">
        <v>23</v>
      </c>
      <c r="K836">
        <v>423</v>
      </c>
      <c r="L836">
        <v>1</v>
      </c>
      <c r="M836" s="8" t="s">
        <v>27</v>
      </c>
      <c r="N836">
        <v>80.599999999999994</v>
      </c>
      <c r="O836">
        <v>185</v>
      </c>
      <c r="P836">
        <v>1</v>
      </c>
      <c r="Q836">
        <v>9</v>
      </c>
      <c r="R836">
        <v>2024</v>
      </c>
      <c r="S836">
        <v>5</v>
      </c>
      <c r="T836" s="8" t="s">
        <v>91</v>
      </c>
      <c r="U836">
        <v>1</v>
      </c>
      <c r="V836">
        <v>0</v>
      </c>
      <c r="W836">
        <v>2</v>
      </c>
      <c r="X836">
        <v>1</v>
      </c>
      <c r="Y836">
        <v>0</v>
      </c>
      <c r="Z836">
        <v>0</v>
      </c>
    </row>
    <row r="837" spans="1:26" x14ac:dyDescent="0.25">
      <c r="A837" s="1">
        <v>45591.946111111109</v>
      </c>
      <c r="B837" s="8" t="s">
        <v>32</v>
      </c>
      <c r="C837">
        <v>-22.162700000000001</v>
      </c>
      <c r="D837">
        <v>-58.096299999999999</v>
      </c>
      <c r="E837">
        <v>454</v>
      </c>
      <c r="F837" s="8" t="s">
        <v>21</v>
      </c>
      <c r="G837">
        <v>18.899999999999999</v>
      </c>
      <c r="H837">
        <v>50.9</v>
      </c>
      <c r="I837" s="8" t="s">
        <v>18</v>
      </c>
      <c r="J837">
        <v>45</v>
      </c>
      <c r="K837">
        <v>230</v>
      </c>
      <c r="L837">
        <v>7</v>
      </c>
      <c r="M837" s="8" t="s">
        <v>23</v>
      </c>
      <c r="N837">
        <v>70.2</v>
      </c>
      <c r="O837">
        <v>116</v>
      </c>
      <c r="P837">
        <v>0</v>
      </c>
      <c r="Q837">
        <v>10</v>
      </c>
      <c r="R837">
        <v>2024</v>
      </c>
      <c r="S837">
        <v>6</v>
      </c>
      <c r="T837" s="8" t="s">
        <v>91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</row>
    <row r="838" spans="1:26" x14ac:dyDescent="0.25">
      <c r="A838" s="1">
        <v>45558.618321759262</v>
      </c>
      <c r="B838" s="8" t="s">
        <v>24</v>
      </c>
      <c r="C838">
        <v>-7.7973999999999997</v>
      </c>
      <c r="D838">
        <v>-150.33670000000001</v>
      </c>
      <c r="E838">
        <v>427</v>
      </c>
      <c r="F838" s="8" t="s">
        <v>21</v>
      </c>
      <c r="G838">
        <v>23.9</v>
      </c>
      <c r="H838">
        <v>56.2</v>
      </c>
      <c r="I838" s="8" t="s">
        <v>22</v>
      </c>
      <c r="J838">
        <v>31</v>
      </c>
      <c r="K838">
        <v>443</v>
      </c>
      <c r="L838">
        <v>3</v>
      </c>
      <c r="M838" s="8" t="s">
        <v>19</v>
      </c>
      <c r="N838">
        <v>89</v>
      </c>
      <c r="O838">
        <v>148</v>
      </c>
      <c r="P838">
        <v>1</v>
      </c>
      <c r="Q838">
        <v>9</v>
      </c>
      <c r="R838">
        <v>2024</v>
      </c>
      <c r="S838">
        <v>1</v>
      </c>
      <c r="T838" s="8" t="s">
        <v>91</v>
      </c>
      <c r="U838">
        <v>0</v>
      </c>
      <c r="V838">
        <v>0</v>
      </c>
      <c r="W838">
        <v>2</v>
      </c>
      <c r="X838">
        <v>1</v>
      </c>
      <c r="Y838">
        <v>0</v>
      </c>
      <c r="Z838">
        <v>0</v>
      </c>
    </row>
    <row r="839" spans="1:26" x14ac:dyDescent="0.25">
      <c r="A839" s="1">
        <v>45523.346122685187</v>
      </c>
      <c r="B839" s="8" t="s">
        <v>16</v>
      </c>
      <c r="C839">
        <v>-47.901499999999999</v>
      </c>
      <c r="D839">
        <v>-121.4183</v>
      </c>
      <c r="E839">
        <v>332</v>
      </c>
      <c r="F839" s="8" t="s">
        <v>21</v>
      </c>
      <c r="G839">
        <v>24.4</v>
      </c>
      <c r="H839">
        <v>69.5</v>
      </c>
      <c r="I839" s="8" t="s">
        <v>22</v>
      </c>
      <c r="J839">
        <v>27</v>
      </c>
      <c r="K839">
        <v>343</v>
      </c>
      <c r="L839">
        <v>5</v>
      </c>
      <c r="M839" s="8" t="s">
        <v>27</v>
      </c>
      <c r="N839">
        <v>87.6</v>
      </c>
      <c r="O839">
        <v>235</v>
      </c>
      <c r="P839">
        <v>1</v>
      </c>
      <c r="Q839">
        <v>8</v>
      </c>
      <c r="R839">
        <v>2024</v>
      </c>
      <c r="S839">
        <v>1</v>
      </c>
      <c r="T839" s="8" t="s">
        <v>92</v>
      </c>
      <c r="U839">
        <v>0</v>
      </c>
      <c r="V839">
        <v>0</v>
      </c>
      <c r="W839">
        <v>2</v>
      </c>
      <c r="X839">
        <v>1</v>
      </c>
      <c r="Y839">
        <v>0</v>
      </c>
      <c r="Z839">
        <v>0</v>
      </c>
    </row>
    <row r="840" spans="1:26" x14ac:dyDescent="0.25">
      <c r="A840" s="1">
        <v>45585.522766203707</v>
      </c>
      <c r="B840" s="8" t="s">
        <v>35</v>
      </c>
      <c r="C840">
        <v>64.059399999999997</v>
      </c>
      <c r="D840">
        <v>-102.25960000000001</v>
      </c>
      <c r="E840">
        <v>195</v>
      </c>
      <c r="F840" s="8" t="s">
        <v>21</v>
      </c>
      <c r="G840">
        <v>19.3</v>
      </c>
      <c r="H840">
        <v>70.599999999999994</v>
      </c>
      <c r="I840" s="8" t="s">
        <v>22</v>
      </c>
      <c r="J840">
        <v>34</v>
      </c>
      <c r="K840">
        <v>134</v>
      </c>
      <c r="L840">
        <v>2</v>
      </c>
      <c r="M840" s="8" t="s">
        <v>27</v>
      </c>
      <c r="N840">
        <v>98.2</v>
      </c>
      <c r="O840">
        <v>220</v>
      </c>
      <c r="P840">
        <v>1</v>
      </c>
      <c r="Q840">
        <v>10</v>
      </c>
      <c r="R840">
        <v>2024</v>
      </c>
      <c r="S840">
        <v>0</v>
      </c>
      <c r="T840" s="8" t="s">
        <v>91</v>
      </c>
      <c r="U840">
        <v>0</v>
      </c>
      <c r="V840">
        <v>0</v>
      </c>
      <c r="W840">
        <v>2</v>
      </c>
      <c r="X840">
        <v>1</v>
      </c>
      <c r="Y840">
        <v>0</v>
      </c>
      <c r="Z840">
        <v>0</v>
      </c>
    </row>
    <row r="841" spans="1:26" x14ac:dyDescent="0.25">
      <c r="A841" s="1">
        <v>45500.386342592596</v>
      </c>
      <c r="B841" s="8" t="s">
        <v>25</v>
      </c>
      <c r="C841">
        <v>38.512700000000002</v>
      </c>
      <c r="D841">
        <v>-17.387799999999999</v>
      </c>
      <c r="E841">
        <v>249</v>
      </c>
      <c r="F841" s="8" t="s">
        <v>26</v>
      </c>
      <c r="G841">
        <v>23.6</v>
      </c>
      <c r="H841">
        <v>74.3</v>
      </c>
      <c r="I841" s="8" t="s">
        <v>18</v>
      </c>
      <c r="J841">
        <v>45</v>
      </c>
      <c r="K841">
        <v>482</v>
      </c>
      <c r="L841">
        <v>7</v>
      </c>
      <c r="M841" s="8" t="s">
        <v>31</v>
      </c>
      <c r="N841">
        <v>66.8</v>
      </c>
      <c r="O841">
        <v>246</v>
      </c>
      <c r="P841">
        <v>0</v>
      </c>
      <c r="Q841">
        <v>7</v>
      </c>
      <c r="R841">
        <v>2024</v>
      </c>
      <c r="S841">
        <v>6</v>
      </c>
      <c r="T841" s="8" t="s">
        <v>92</v>
      </c>
      <c r="U841">
        <v>1</v>
      </c>
      <c r="V841">
        <v>1</v>
      </c>
      <c r="W841">
        <v>1</v>
      </c>
      <c r="X841">
        <v>0</v>
      </c>
      <c r="Y841">
        <v>0</v>
      </c>
      <c r="Z841">
        <v>0</v>
      </c>
    </row>
    <row r="842" spans="1:26" x14ac:dyDescent="0.25">
      <c r="A842" s="1">
        <v>45622.476087962961</v>
      </c>
      <c r="B842" s="8" t="s">
        <v>29</v>
      </c>
      <c r="C842">
        <v>53.447000000000003</v>
      </c>
      <c r="D842">
        <v>-162.78630000000001</v>
      </c>
      <c r="E842">
        <v>274</v>
      </c>
      <c r="F842" s="8" t="s">
        <v>17</v>
      </c>
      <c r="G842">
        <v>22</v>
      </c>
      <c r="H842">
        <v>51.1</v>
      </c>
      <c r="I842" s="8" t="s">
        <v>22</v>
      </c>
      <c r="J842">
        <v>38</v>
      </c>
      <c r="K842">
        <v>175</v>
      </c>
      <c r="L842">
        <v>4</v>
      </c>
      <c r="M842" s="8" t="s">
        <v>27</v>
      </c>
      <c r="N842">
        <v>64</v>
      </c>
      <c r="O842">
        <v>271</v>
      </c>
      <c r="P842">
        <v>1</v>
      </c>
      <c r="Q842">
        <v>11</v>
      </c>
      <c r="R842">
        <v>2024</v>
      </c>
      <c r="S842">
        <v>2</v>
      </c>
      <c r="T842" s="8" t="s">
        <v>91</v>
      </c>
      <c r="U842">
        <v>0</v>
      </c>
      <c r="V842">
        <v>2</v>
      </c>
      <c r="W842">
        <v>2</v>
      </c>
      <c r="X842">
        <v>1</v>
      </c>
      <c r="Y842">
        <v>0</v>
      </c>
      <c r="Z842">
        <v>0</v>
      </c>
    </row>
    <row r="843" spans="1:26" x14ac:dyDescent="0.25">
      <c r="A843" s="1">
        <v>45435.847812499997</v>
      </c>
      <c r="B843" s="8" t="s">
        <v>20</v>
      </c>
      <c r="C843">
        <v>77.998000000000005</v>
      </c>
      <c r="D843">
        <v>-97.004300000000001</v>
      </c>
      <c r="E843">
        <v>272</v>
      </c>
      <c r="F843" s="8" t="s">
        <v>21</v>
      </c>
      <c r="G843">
        <v>19</v>
      </c>
      <c r="H843">
        <v>72.099999999999994</v>
      </c>
      <c r="I843" s="8" t="s">
        <v>18</v>
      </c>
      <c r="J843">
        <v>32</v>
      </c>
      <c r="K843">
        <v>113</v>
      </c>
      <c r="L843">
        <v>6</v>
      </c>
      <c r="M843" s="8" t="s">
        <v>19</v>
      </c>
      <c r="N843">
        <v>94.9</v>
      </c>
      <c r="O843">
        <v>119</v>
      </c>
      <c r="P843">
        <v>0</v>
      </c>
      <c r="Q843">
        <v>5</v>
      </c>
      <c r="R843">
        <v>2024</v>
      </c>
      <c r="S843">
        <v>4</v>
      </c>
      <c r="T843" s="8" t="s">
        <v>90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</row>
    <row r="844" spans="1:26" x14ac:dyDescent="0.25">
      <c r="A844" s="1">
        <v>45530.562002314815</v>
      </c>
      <c r="B844" s="8" t="s">
        <v>35</v>
      </c>
      <c r="C844">
        <v>-83.1143</v>
      </c>
      <c r="D844">
        <v>74.209999999999994</v>
      </c>
      <c r="E844">
        <v>214</v>
      </c>
      <c r="F844" s="8" t="s">
        <v>17</v>
      </c>
      <c r="G844">
        <v>27</v>
      </c>
      <c r="H844">
        <v>55</v>
      </c>
      <c r="I844" s="8" t="s">
        <v>28</v>
      </c>
      <c r="J844">
        <v>18</v>
      </c>
      <c r="K844">
        <v>319</v>
      </c>
      <c r="L844">
        <v>3</v>
      </c>
      <c r="M844" s="8" t="s">
        <v>31</v>
      </c>
      <c r="N844">
        <v>67</v>
      </c>
      <c r="O844">
        <v>127</v>
      </c>
      <c r="P844">
        <v>1</v>
      </c>
      <c r="Q844">
        <v>8</v>
      </c>
      <c r="R844">
        <v>2024</v>
      </c>
      <c r="S844">
        <v>1</v>
      </c>
      <c r="T844" s="8" t="s">
        <v>92</v>
      </c>
      <c r="U844">
        <v>0</v>
      </c>
      <c r="V844">
        <v>2</v>
      </c>
      <c r="W844">
        <v>0</v>
      </c>
      <c r="X844">
        <v>0</v>
      </c>
      <c r="Y844">
        <v>0</v>
      </c>
      <c r="Z844">
        <v>0</v>
      </c>
    </row>
    <row r="845" spans="1:26" x14ac:dyDescent="0.25">
      <c r="A845" s="1">
        <v>45306.342407407406</v>
      </c>
      <c r="B845" s="8" t="s">
        <v>20</v>
      </c>
      <c r="C845">
        <v>14.459300000000001</v>
      </c>
      <c r="D845">
        <v>157.92930000000001</v>
      </c>
      <c r="E845">
        <v>487</v>
      </c>
      <c r="F845" s="8" t="s">
        <v>17</v>
      </c>
      <c r="G845">
        <v>18.7</v>
      </c>
      <c r="H845">
        <v>62</v>
      </c>
      <c r="I845" s="8" t="s">
        <v>18</v>
      </c>
      <c r="J845">
        <v>35</v>
      </c>
      <c r="K845">
        <v>432</v>
      </c>
      <c r="L845">
        <v>9</v>
      </c>
      <c r="M845" s="8" t="s">
        <v>19</v>
      </c>
      <c r="N845">
        <v>72.3</v>
      </c>
      <c r="O845">
        <v>247</v>
      </c>
      <c r="P845">
        <v>1</v>
      </c>
      <c r="Q845">
        <v>1</v>
      </c>
      <c r="R845">
        <v>2024</v>
      </c>
      <c r="S845">
        <v>1</v>
      </c>
      <c r="T845" s="8" t="s">
        <v>93</v>
      </c>
      <c r="U845">
        <v>0</v>
      </c>
      <c r="V845">
        <v>2</v>
      </c>
      <c r="W845">
        <v>1</v>
      </c>
      <c r="X845">
        <v>0</v>
      </c>
      <c r="Y845">
        <v>0</v>
      </c>
      <c r="Z845">
        <v>0</v>
      </c>
    </row>
    <row r="846" spans="1:26" x14ac:dyDescent="0.25">
      <c r="A846" s="1">
        <v>45576.437465277777</v>
      </c>
      <c r="B846" s="8" t="s">
        <v>24</v>
      </c>
      <c r="C846">
        <v>-48.605600000000003</v>
      </c>
      <c r="D846">
        <v>-11.5509</v>
      </c>
      <c r="E846">
        <v>420</v>
      </c>
      <c r="F846" s="8" t="s">
        <v>17</v>
      </c>
      <c r="G846">
        <v>29.9</v>
      </c>
      <c r="H846">
        <v>64.599999999999994</v>
      </c>
      <c r="I846" s="8" t="s">
        <v>22</v>
      </c>
      <c r="J846">
        <v>34</v>
      </c>
      <c r="K846">
        <v>282</v>
      </c>
      <c r="L846">
        <v>10</v>
      </c>
      <c r="M846" s="8" t="s">
        <v>31</v>
      </c>
      <c r="N846">
        <v>79.400000000000006</v>
      </c>
      <c r="O846">
        <v>134</v>
      </c>
      <c r="P846">
        <v>1</v>
      </c>
      <c r="Q846">
        <v>10</v>
      </c>
      <c r="R846">
        <v>2024</v>
      </c>
      <c r="S846">
        <v>5</v>
      </c>
      <c r="T846" s="8" t="s">
        <v>91</v>
      </c>
      <c r="U846">
        <v>1</v>
      </c>
      <c r="V846">
        <v>2</v>
      </c>
      <c r="W846">
        <v>2</v>
      </c>
      <c r="X846">
        <v>1</v>
      </c>
      <c r="Y846">
        <v>0</v>
      </c>
      <c r="Z846">
        <v>0</v>
      </c>
    </row>
    <row r="847" spans="1:26" x14ac:dyDescent="0.25">
      <c r="A847" s="1">
        <v>45429.496504629627</v>
      </c>
      <c r="B847" s="8" t="s">
        <v>34</v>
      </c>
      <c r="C847">
        <v>-11.6172</v>
      </c>
      <c r="D847">
        <v>47.738999999999997</v>
      </c>
      <c r="E847">
        <v>135</v>
      </c>
      <c r="F847" s="8" t="s">
        <v>17</v>
      </c>
      <c r="G847">
        <v>24.7</v>
      </c>
      <c r="H847">
        <v>67.099999999999994</v>
      </c>
      <c r="I847" s="8" t="s">
        <v>22</v>
      </c>
      <c r="J847">
        <v>26</v>
      </c>
      <c r="K847">
        <v>380</v>
      </c>
      <c r="L847">
        <v>7</v>
      </c>
      <c r="M847" s="8" t="s">
        <v>27</v>
      </c>
      <c r="N847">
        <v>64.599999999999994</v>
      </c>
      <c r="O847">
        <v>109</v>
      </c>
      <c r="P847">
        <v>1</v>
      </c>
      <c r="Q847">
        <v>5</v>
      </c>
      <c r="R847">
        <v>2024</v>
      </c>
      <c r="S847">
        <v>5</v>
      </c>
      <c r="T847" s="8" t="s">
        <v>90</v>
      </c>
      <c r="U847">
        <v>1</v>
      </c>
      <c r="V847">
        <v>2</v>
      </c>
      <c r="W847">
        <v>2</v>
      </c>
      <c r="X847">
        <v>1</v>
      </c>
      <c r="Y847">
        <v>0</v>
      </c>
      <c r="Z847">
        <v>0</v>
      </c>
    </row>
    <row r="848" spans="1:26" x14ac:dyDescent="0.25">
      <c r="A848" s="1">
        <v>45520.933125000003</v>
      </c>
      <c r="B848" s="8" t="s">
        <v>35</v>
      </c>
      <c r="C848">
        <v>17.7318</v>
      </c>
      <c r="D848">
        <v>-166.4083</v>
      </c>
      <c r="E848">
        <v>269</v>
      </c>
      <c r="F848" s="8" t="s">
        <v>21</v>
      </c>
      <c r="G848">
        <v>25.2</v>
      </c>
      <c r="H848">
        <v>63.5</v>
      </c>
      <c r="I848" s="8" t="s">
        <v>18</v>
      </c>
      <c r="J848">
        <v>19</v>
      </c>
      <c r="K848">
        <v>262</v>
      </c>
      <c r="L848">
        <v>7</v>
      </c>
      <c r="M848" s="8" t="s">
        <v>23</v>
      </c>
      <c r="N848">
        <v>71.599999999999994</v>
      </c>
      <c r="O848">
        <v>295</v>
      </c>
      <c r="P848">
        <v>0</v>
      </c>
      <c r="Q848">
        <v>8</v>
      </c>
      <c r="R848">
        <v>2024</v>
      </c>
      <c r="S848">
        <v>5</v>
      </c>
      <c r="T848" s="8" t="s">
        <v>92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0</v>
      </c>
    </row>
    <row r="849" spans="1:26" x14ac:dyDescent="0.25">
      <c r="A849" s="1">
        <v>45526.375439814816</v>
      </c>
      <c r="B849" s="8" t="s">
        <v>30</v>
      </c>
      <c r="C849">
        <v>-31.495799999999999</v>
      </c>
      <c r="D849">
        <v>-37.593200000000003</v>
      </c>
      <c r="E849">
        <v>419</v>
      </c>
      <c r="F849" s="8" t="s">
        <v>26</v>
      </c>
      <c r="G849">
        <v>21</v>
      </c>
      <c r="H849">
        <v>74.2</v>
      </c>
      <c r="I849" s="8" t="s">
        <v>28</v>
      </c>
      <c r="J849">
        <v>29</v>
      </c>
      <c r="K849">
        <v>386</v>
      </c>
      <c r="L849">
        <v>9</v>
      </c>
      <c r="M849" s="8" t="s">
        <v>27</v>
      </c>
      <c r="N849">
        <v>95.1</v>
      </c>
      <c r="O849">
        <v>186</v>
      </c>
      <c r="P849">
        <v>0</v>
      </c>
      <c r="Q849">
        <v>8</v>
      </c>
      <c r="R849">
        <v>2024</v>
      </c>
      <c r="S849">
        <v>4</v>
      </c>
      <c r="T849" s="8" t="s">
        <v>92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 s="1">
        <v>45537.69222222222</v>
      </c>
      <c r="B850" s="8" t="s">
        <v>20</v>
      </c>
      <c r="C850">
        <v>79.689599999999999</v>
      </c>
      <c r="D850">
        <v>84.117500000000007</v>
      </c>
      <c r="E850">
        <v>407</v>
      </c>
      <c r="F850" s="8" t="s">
        <v>26</v>
      </c>
      <c r="G850">
        <v>23.5</v>
      </c>
      <c r="H850">
        <v>77.7</v>
      </c>
      <c r="I850" s="8" t="s">
        <v>18</v>
      </c>
      <c r="J850">
        <v>55</v>
      </c>
      <c r="K850">
        <v>351</v>
      </c>
      <c r="L850">
        <v>6</v>
      </c>
      <c r="M850" s="8" t="s">
        <v>19</v>
      </c>
      <c r="N850">
        <v>68.400000000000006</v>
      </c>
      <c r="O850">
        <v>168</v>
      </c>
      <c r="P850">
        <v>0</v>
      </c>
      <c r="Q850">
        <v>9</v>
      </c>
      <c r="R850">
        <v>2024</v>
      </c>
      <c r="S850">
        <v>1</v>
      </c>
      <c r="T850" s="8" t="s">
        <v>91</v>
      </c>
      <c r="U850">
        <v>0</v>
      </c>
      <c r="V850">
        <v>1</v>
      </c>
      <c r="W850">
        <v>1</v>
      </c>
      <c r="X850">
        <v>0</v>
      </c>
      <c r="Y850">
        <v>1</v>
      </c>
      <c r="Z850">
        <v>1</v>
      </c>
    </row>
    <row r="851" spans="1:26" x14ac:dyDescent="0.25">
      <c r="A851" s="1">
        <v>45642.502754629626</v>
      </c>
      <c r="B851" s="8" t="s">
        <v>25</v>
      </c>
      <c r="C851">
        <v>-79.533100000000005</v>
      </c>
      <c r="D851">
        <v>-178.66579999999999</v>
      </c>
      <c r="E851">
        <v>331</v>
      </c>
      <c r="F851" s="8" t="s">
        <v>21</v>
      </c>
      <c r="G851">
        <v>24.2</v>
      </c>
      <c r="H851">
        <v>74</v>
      </c>
      <c r="I851" s="8" t="s">
        <v>18</v>
      </c>
      <c r="J851">
        <v>60</v>
      </c>
      <c r="K851">
        <v>225</v>
      </c>
      <c r="L851">
        <v>8</v>
      </c>
      <c r="M851" s="8" t="s">
        <v>19</v>
      </c>
      <c r="N851">
        <v>61</v>
      </c>
      <c r="O851">
        <v>142</v>
      </c>
      <c r="P851">
        <v>0</v>
      </c>
      <c r="Q851">
        <v>12</v>
      </c>
      <c r="R851">
        <v>2024</v>
      </c>
      <c r="S851">
        <v>1</v>
      </c>
      <c r="T851" s="8" t="s">
        <v>93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1</v>
      </c>
    </row>
    <row r="852" spans="1:26" x14ac:dyDescent="0.25">
      <c r="A852" s="1">
        <v>45349.665706018517</v>
      </c>
      <c r="B852" s="8" t="s">
        <v>35</v>
      </c>
      <c r="C852">
        <v>63.954900000000002</v>
      </c>
      <c r="D852">
        <v>-128.75810000000001</v>
      </c>
      <c r="E852">
        <v>444</v>
      </c>
      <c r="F852" s="8" t="s">
        <v>21</v>
      </c>
      <c r="G852">
        <v>20.8</v>
      </c>
      <c r="H852">
        <v>63.9</v>
      </c>
      <c r="I852" s="8" t="s">
        <v>22</v>
      </c>
      <c r="J852">
        <v>38</v>
      </c>
      <c r="K852">
        <v>203</v>
      </c>
      <c r="L852">
        <v>1</v>
      </c>
      <c r="M852" s="8" t="s">
        <v>23</v>
      </c>
      <c r="N852">
        <v>73.7</v>
      </c>
      <c r="O852">
        <v>201</v>
      </c>
      <c r="P852">
        <v>1</v>
      </c>
      <c r="Q852">
        <v>2</v>
      </c>
      <c r="R852">
        <v>2024</v>
      </c>
      <c r="S852">
        <v>2</v>
      </c>
      <c r="T852" s="8" t="s">
        <v>93</v>
      </c>
      <c r="U852">
        <v>0</v>
      </c>
      <c r="V852">
        <v>0</v>
      </c>
      <c r="W852">
        <v>2</v>
      </c>
      <c r="X852">
        <v>1</v>
      </c>
      <c r="Y852">
        <v>0</v>
      </c>
      <c r="Z852">
        <v>0</v>
      </c>
    </row>
    <row r="853" spans="1:26" x14ac:dyDescent="0.25">
      <c r="A853" s="1">
        <v>45581.519317129627</v>
      </c>
      <c r="B853" s="8" t="s">
        <v>35</v>
      </c>
      <c r="C853">
        <v>61.152200000000001</v>
      </c>
      <c r="D853">
        <v>5.9286000000000003</v>
      </c>
      <c r="E853">
        <v>319</v>
      </c>
      <c r="F853" s="8" t="s">
        <v>21</v>
      </c>
      <c r="G853">
        <v>29.1</v>
      </c>
      <c r="H853">
        <v>61.3</v>
      </c>
      <c r="I853" s="8" t="s">
        <v>18</v>
      </c>
      <c r="J853">
        <v>24</v>
      </c>
      <c r="K853">
        <v>392</v>
      </c>
      <c r="L853">
        <v>7</v>
      </c>
      <c r="M853" s="8" t="s">
        <v>19</v>
      </c>
      <c r="N853">
        <v>72.8</v>
      </c>
      <c r="O853">
        <v>123</v>
      </c>
      <c r="P853">
        <v>0</v>
      </c>
      <c r="Q853">
        <v>10</v>
      </c>
      <c r="R853">
        <v>2024</v>
      </c>
      <c r="S853">
        <v>3</v>
      </c>
      <c r="T853" s="8" t="s">
        <v>91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</row>
    <row r="854" spans="1:26" x14ac:dyDescent="0.25">
      <c r="A854" s="1">
        <v>45409.50204861111</v>
      </c>
      <c r="B854" s="8" t="s">
        <v>24</v>
      </c>
      <c r="C854">
        <v>-26.391300000000001</v>
      </c>
      <c r="D854">
        <v>-155.6326</v>
      </c>
      <c r="E854">
        <v>402</v>
      </c>
      <c r="F854" s="8" t="s">
        <v>26</v>
      </c>
      <c r="G854">
        <v>21</v>
      </c>
      <c r="H854">
        <v>66.3</v>
      </c>
      <c r="I854" s="8" t="s">
        <v>28</v>
      </c>
      <c r="J854">
        <v>52</v>
      </c>
      <c r="K854">
        <v>306</v>
      </c>
      <c r="L854">
        <v>10</v>
      </c>
      <c r="M854" s="8" t="s">
        <v>23</v>
      </c>
      <c r="N854">
        <v>70.099999999999994</v>
      </c>
      <c r="O854">
        <v>251</v>
      </c>
      <c r="P854">
        <v>0</v>
      </c>
      <c r="Q854">
        <v>4</v>
      </c>
      <c r="R854">
        <v>2024</v>
      </c>
      <c r="S854">
        <v>6</v>
      </c>
      <c r="T854" s="8" t="s">
        <v>90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1</v>
      </c>
    </row>
    <row r="855" spans="1:26" x14ac:dyDescent="0.25">
      <c r="A855" s="1">
        <v>45511.350740740738</v>
      </c>
      <c r="B855" s="8" t="s">
        <v>24</v>
      </c>
      <c r="C855">
        <v>14.8779</v>
      </c>
      <c r="D855">
        <v>-139.1721</v>
      </c>
      <c r="E855">
        <v>269</v>
      </c>
      <c r="F855" s="8" t="s">
        <v>17</v>
      </c>
      <c r="G855">
        <v>19</v>
      </c>
      <c r="H855">
        <v>73.599999999999994</v>
      </c>
      <c r="I855" s="8" t="s">
        <v>28</v>
      </c>
      <c r="J855">
        <v>50</v>
      </c>
      <c r="K855">
        <v>307</v>
      </c>
      <c r="L855">
        <v>3</v>
      </c>
      <c r="M855" s="8" t="s">
        <v>31</v>
      </c>
      <c r="N855">
        <v>68.099999999999994</v>
      </c>
      <c r="O855">
        <v>102</v>
      </c>
      <c r="P855">
        <v>1</v>
      </c>
      <c r="Q855">
        <v>8</v>
      </c>
      <c r="R855">
        <v>2024</v>
      </c>
      <c r="S855">
        <v>3</v>
      </c>
      <c r="T855" s="8" t="s">
        <v>92</v>
      </c>
      <c r="U855">
        <v>0</v>
      </c>
      <c r="V855">
        <v>2</v>
      </c>
      <c r="W855">
        <v>0</v>
      </c>
      <c r="X855">
        <v>0</v>
      </c>
      <c r="Y855">
        <v>0</v>
      </c>
      <c r="Z855">
        <v>1</v>
      </c>
    </row>
    <row r="856" spans="1:26" x14ac:dyDescent="0.25">
      <c r="A856" s="1">
        <v>45496.966041666667</v>
      </c>
      <c r="B856" s="8" t="s">
        <v>24</v>
      </c>
      <c r="C856">
        <v>49.641800000000003</v>
      </c>
      <c r="D856">
        <v>-121.3862</v>
      </c>
      <c r="E856">
        <v>318</v>
      </c>
      <c r="F856" s="8" t="s">
        <v>21</v>
      </c>
      <c r="G856">
        <v>22.5</v>
      </c>
      <c r="H856">
        <v>59.3</v>
      </c>
      <c r="I856" s="8" t="s">
        <v>22</v>
      </c>
      <c r="J856">
        <v>18</v>
      </c>
      <c r="K856">
        <v>331</v>
      </c>
      <c r="L856">
        <v>9</v>
      </c>
      <c r="M856" s="8" t="s">
        <v>19</v>
      </c>
      <c r="N856">
        <v>97.3</v>
      </c>
      <c r="O856">
        <v>273</v>
      </c>
      <c r="P856">
        <v>1</v>
      </c>
      <c r="Q856">
        <v>7</v>
      </c>
      <c r="R856">
        <v>2024</v>
      </c>
      <c r="S856">
        <v>2</v>
      </c>
      <c r="T856" s="8" t="s">
        <v>92</v>
      </c>
      <c r="U856">
        <v>0</v>
      </c>
      <c r="V856">
        <v>0</v>
      </c>
      <c r="W856">
        <v>2</v>
      </c>
      <c r="X856">
        <v>1</v>
      </c>
      <c r="Y856">
        <v>0</v>
      </c>
      <c r="Z856">
        <v>0</v>
      </c>
    </row>
    <row r="857" spans="1:26" x14ac:dyDescent="0.25">
      <c r="A857" s="1">
        <v>45558.105462962965</v>
      </c>
      <c r="B857" s="8" t="s">
        <v>33</v>
      </c>
      <c r="C857">
        <v>-48.665399999999998</v>
      </c>
      <c r="D857">
        <v>115.3562</v>
      </c>
      <c r="E857">
        <v>388</v>
      </c>
      <c r="F857" s="8" t="s">
        <v>26</v>
      </c>
      <c r="G857">
        <v>24.6</v>
      </c>
      <c r="H857">
        <v>74.3</v>
      </c>
      <c r="I857" s="8" t="s">
        <v>18</v>
      </c>
      <c r="J857">
        <v>29</v>
      </c>
      <c r="K857">
        <v>461</v>
      </c>
      <c r="L857">
        <v>1</v>
      </c>
      <c r="M857" s="8" t="s">
        <v>31</v>
      </c>
      <c r="N857">
        <v>68.099999999999994</v>
      </c>
      <c r="O857">
        <v>159</v>
      </c>
      <c r="P857">
        <v>0</v>
      </c>
      <c r="Q857">
        <v>9</v>
      </c>
      <c r="R857">
        <v>2024</v>
      </c>
      <c r="S857">
        <v>1</v>
      </c>
      <c r="T857" s="8" t="s">
        <v>91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0</v>
      </c>
    </row>
    <row r="858" spans="1:26" x14ac:dyDescent="0.25">
      <c r="A858" s="1">
        <v>45583.274259259262</v>
      </c>
      <c r="B858" s="8" t="s">
        <v>20</v>
      </c>
      <c r="C858">
        <v>38.046999999999997</v>
      </c>
      <c r="D858">
        <v>-80.044600000000003</v>
      </c>
      <c r="E858">
        <v>166</v>
      </c>
      <c r="F858" s="8" t="s">
        <v>17</v>
      </c>
      <c r="G858">
        <v>26.9</v>
      </c>
      <c r="H858">
        <v>58.3</v>
      </c>
      <c r="I858" s="8" t="s">
        <v>28</v>
      </c>
      <c r="J858">
        <v>29</v>
      </c>
      <c r="K858">
        <v>283</v>
      </c>
      <c r="L858">
        <v>3</v>
      </c>
      <c r="M858" s="8" t="s">
        <v>23</v>
      </c>
      <c r="N858">
        <v>64.099999999999994</v>
      </c>
      <c r="O858">
        <v>113</v>
      </c>
      <c r="P858">
        <v>1</v>
      </c>
      <c r="Q858">
        <v>10</v>
      </c>
      <c r="R858">
        <v>2024</v>
      </c>
      <c r="S858">
        <v>5</v>
      </c>
      <c r="T858" s="8" t="s">
        <v>91</v>
      </c>
      <c r="U858">
        <v>1</v>
      </c>
      <c r="V858">
        <v>2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 s="1">
        <v>45405.33803240741</v>
      </c>
      <c r="B859" s="8" t="s">
        <v>24</v>
      </c>
      <c r="C859">
        <v>9.8933999999999997</v>
      </c>
      <c r="D859">
        <v>13.902799999999999</v>
      </c>
      <c r="E859">
        <v>338</v>
      </c>
      <c r="F859" s="8" t="s">
        <v>26</v>
      </c>
      <c r="G859">
        <v>28.7</v>
      </c>
      <c r="H859">
        <v>65.599999999999994</v>
      </c>
      <c r="I859" s="8" t="s">
        <v>22</v>
      </c>
      <c r="J859">
        <v>45</v>
      </c>
      <c r="K859">
        <v>348</v>
      </c>
      <c r="L859">
        <v>8</v>
      </c>
      <c r="M859" s="8" t="s">
        <v>27</v>
      </c>
      <c r="N859">
        <v>96.1</v>
      </c>
      <c r="O859">
        <v>230</v>
      </c>
      <c r="P859">
        <v>1</v>
      </c>
      <c r="Q859">
        <v>4</v>
      </c>
      <c r="R859">
        <v>2024</v>
      </c>
      <c r="S859">
        <v>2</v>
      </c>
      <c r="T859" s="8" t="s">
        <v>90</v>
      </c>
      <c r="U859">
        <v>0</v>
      </c>
      <c r="V859">
        <v>1</v>
      </c>
      <c r="W859">
        <v>2</v>
      </c>
      <c r="X859">
        <v>1</v>
      </c>
      <c r="Y859">
        <v>0</v>
      </c>
      <c r="Z859">
        <v>0</v>
      </c>
    </row>
    <row r="860" spans="1:26" x14ac:dyDescent="0.25">
      <c r="A860" s="1">
        <v>45337.819398148145</v>
      </c>
      <c r="B860" s="8" t="s">
        <v>29</v>
      </c>
      <c r="C860">
        <v>-43.0411</v>
      </c>
      <c r="D860">
        <v>-154.0658</v>
      </c>
      <c r="E860">
        <v>457</v>
      </c>
      <c r="F860" s="8" t="s">
        <v>21</v>
      </c>
      <c r="G860">
        <v>18.7</v>
      </c>
      <c r="H860">
        <v>52.7</v>
      </c>
      <c r="I860" s="8" t="s">
        <v>28</v>
      </c>
      <c r="J860">
        <v>52</v>
      </c>
      <c r="K860">
        <v>366</v>
      </c>
      <c r="L860">
        <v>4</v>
      </c>
      <c r="M860" s="8" t="s">
        <v>19</v>
      </c>
      <c r="N860">
        <v>93.1</v>
      </c>
      <c r="O860">
        <v>275</v>
      </c>
      <c r="P860">
        <v>0</v>
      </c>
      <c r="Q860">
        <v>2</v>
      </c>
      <c r="R860">
        <v>2024</v>
      </c>
      <c r="S860">
        <v>4</v>
      </c>
      <c r="T860" s="8" t="s">
        <v>93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 x14ac:dyDescent="0.25">
      <c r="A861" s="1">
        <v>45460.602731481478</v>
      </c>
      <c r="B861" s="8" t="s">
        <v>20</v>
      </c>
      <c r="C861">
        <v>-71.830699999999993</v>
      </c>
      <c r="D861">
        <v>-53.607199999999999</v>
      </c>
      <c r="E861">
        <v>274</v>
      </c>
      <c r="F861" s="8" t="s">
        <v>26</v>
      </c>
      <c r="G861">
        <v>21.5</v>
      </c>
      <c r="H861">
        <v>74</v>
      </c>
      <c r="I861" s="8" t="s">
        <v>22</v>
      </c>
      <c r="J861">
        <v>23</v>
      </c>
      <c r="K861">
        <v>448</v>
      </c>
      <c r="L861">
        <v>5</v>
      </c>
      <c r="M861" s="8" t="s">
        <v>31</v>
      </c>
      <c r="N861">
        <v>74.7</v>
      </c>
      <c r="O861">
        <v>200</v>
      </c>
      <c r="P861">
        <v>1</v>
      </c>
      <c r="Q861">
        <v>6</v>
      </c>
      <c r="R861">
        <v>2024</v>
      </c>
      <c r="S861">
        <v>1</v>
      </c>
      <c r="T861" s="8" t="s">
        <v>92</v>
      </c>
      <c r="U861">
        <v>0</v>
      </c>
      <c r="V861">
        <v>1</v>
      </c>
      <c r="W861">
        <v>2</v>
      </c>
      <c r="X861">
        <v>1</v>
      </c>
      <c r="Y861">
        <v>0</v>
      </c>
      <c r="Z861">
        <v>0</v>
      </c>
    </row>
    <row r="862" spans="1:26" x14ac:dyDescent="0.25">
      <c r="A862" s="1">
        <v>45492.544965277775</v>
      </c>
      <c r="B862" s="8" t="s">
        <v>16</v>
      </c>
      <c r="C862">
        <v>16.1221</v>
      </c>
      <c r="D862">
        <v>79.027900000000002</v>
      </c>
      <c r="E862">
        <v>332</v>
      </c>
      <c r="F862" s="8" t="s">
        <v>17</v>
      </c>
      <c r="G862">
        <v>19.2</v>
      </c>
      <c r="H862">
        <v>56.9</v>
      </c>
      <c r="I862" s="8" t="s">
        <v>18</v>
      </c>
      <c r="J862">
        <v>27</v>
      </c>
      <c r="K862">
        <v>357</v>
      </c>
      <c r="L862">
        <v>2</v>
      </c>
      <c r="M862" s="8" t="s">
        <v>19</v>
      </c>
      <c r="N862">
        <v>87.8</v>
      </c>
      <c r="O862">
        <v>217</v>
      </c>
      <c r="P862">
        <v>1</v>
      </c>
      <c r="Q862">
        <v>7</v>
      </c>
      <c r="R862">
        <v>2024</v>
      </c>
      <c r="S862">
        <v>5</v>
      </c>
      <c r="T862" s="8" t="s">
        <v>92</v>
      </c>
      <c r="U862">
        <v>1</v>
      </c>
      <c r="V862">
        <v>2</v>
      </c>
      <c r="W862">
        <v>1</v>
      </c>
      <c r="X862">
        <v>0</v>
      </c>
      <c r="Y862">
        <v>0</v>
      </c>
      <c r="Z862">
        <v>0</v>
      </c>
    </row>
    <row r="863" spans="1:26" x14ac:dyDescent="0.25">
      <c r="A863" s="1">
        <v>45565.604953703703</v>
      </c>
      <c r="B863" s="8" t="s">
        <v>29</v>
      </c>
      <c r="C863">
        <v>1.3876999999999999</v>
      </c>
      <c r="D863">
        <v>64.007800000000003</v>
      </c>
      <c r="E863">
        <v>388</v>
      </c>
      <c r="F863" s="8" t="s">
        <v>21</v>
      </c>
      <c r="G863">
        <v>27.4</v>
      </c>
      <c r="H863">
        <v>50.6</v>
      </c>
      <c r="I863" s="8" t="s">
        <v>18</v>
      </c>
      <c r="J863">
        <v>58</v>
      </c>
      <c r="K863">
        <v>401</v>
      </c>
      <c r="L863">
        <v>5</v>
      </c>
      <c r="M863" s="8" t="s">
        <v>31</v>
      </c>
      <c r="N863">
        <v>81.400000000000006</v>
      </c>
      <c r="O863">
        <v>196</v>
      </c>
      <c r="P863">
        <v>0</v>
      </c>
      <c r="Q863">
        <v>9</v>
      </c>
      <c r="R863">
        <v>2024</v>
      </c>
      <c r="S863">
        <v>1</v>
      </c>
      <c r="T863" s="8" t="s">
        <v>91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1</v>
      </c>
    </row>
    <row r="864" spans="1:26" x14ac:dyDescent="0.25">
      <c r="A864" s="1">
        <v>45510.918680555558</v>
      </c>
      <c r="B864" s="8" t="s">
        <v>24</v>
      </c>
      <c r="C864">
        <v>30.3691</v>
      </c>
      <c r="D864">
        <v>-111.1134</v>
      </c>
      <c r="E864">
        <v>377</v>
      </c>
      <c r="F864" s="8" t="s">
        <v>26</v>
      </c>
      <c r="G864">
        <v>18.2</v>
      </c>
      <c r="H864">
        <v>51.7</v>
      </c>
      <c r="I864" s="8" t="s">
        <v>18</v>
      </c>
      <c r="J864">
        <v>34</v>
      </c>
      <c r="K864">
        <v>306</v>
      </c>
      <c r="L864">
        <v>8</v>
      </c>
      <c r="M864" s="8" t="s">
        <v>27</v>
      </c>
      <c r="N864">
        <v>87.9</v>
      </c>
      <c r="O864">
        <v>139</v>
      </c>
      <c r="P864">
        <v>0</v>
      </c>
      <c r="Q864">
        <v>8</v>
      </c>
      <c r="R864">
        <v>2024</v>
      </c>
      <c r="S864">
        <v>2</v>
      </c>
      <c r="T864" s="8" t="s">
        <v>92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0</v>
      </c>
    </row>
    <row r="865" spans="1:26" x14ac:dyDescent="0.25">
      <c r="A865" s="1">
        <v>45355.98542824074</v>
      </c>
      <c r="B865" s="8" t="s">
        <v>30</v>
      </c>
      <c r="C865">
        <v>53.517000000000003</v>
      </c>
      <c r="D865">
        <v>152.1576</v>
      </c>
      <c r="E865">
        <v>265</v>
      </c>
      <c r="F865" s="8" t="s">
        <v>26</v>
      </c>
      <c r="G865">
        <v>23.5</v>
      </c>
      <c r="H865">
        <v>78.400000000000006</v>
      </c>
      <c r="I865" s="8" t="s">
        <v>28</v>
      </c>
      <c r="J865">
        <v>60</v>
      </c>
      <c r="K865">
        <v>107</v>
      </c>
      <c r="L865">
        <v>3</v>
      </c>
      <c r="M865" s="8" t="s">
        <v>23</v>
      </c>
      <c r="N865">
        <v>62.4</v>
      </c>
      <c r="O865">
        <v>237</v>
      </c>
      <c r="P865">
        <v>0</v>
      </c>
      <c r="Q865">
        <v>3</v>
      </c>
      <c r="R865">
        <v>2024</v>
      </c>
      <c r="S865">
        <v>1</v>
      </c>
      <c r="T865" s="8" t="s">
        <v>90</v>
      </c>
      <c r="U865">
        <v>0</v>
      </c>
      <c r="V865">
        <v>1</v>
      </c>
      <c r="W865">
        <v>0</v>
      </c>
      <c r="X865">
        <v>0</v>
      </c>
      <c r="Y865">
        <v>1</v>
      </c>
      <c r="Z865">
        <v>1</v>
      </c>
    </row>
    <row r="866" spans="1:26" x14ac:dyDescent="0.25">
      <c r="A866" s="1">
        <v>45452.257638888892</v>
      </c>
      <c r="B866" s="8" t="s">
        <v>32</v>
      </c>
      <c r="C866">
        <v>-20.984000000000002</v>
      </c>
      <c r="D866">
        <v>-125.2428</v>
      </c>
      <c r="E866">
        <v>316</v>
      </c>
      <c r="F866" s="8" t="s">
        <v>17</v>
      </c>
      <c r="G866">
        <v>19.8</v>
      </c>
      <c r="H866">
        <v>70.599999999999994</v>
      </c>
      <c r="I866" s="8" t="s">
        <v>18</v>
      </c>
      <c r="J866">
        <v>18</v>
      </c>
      <c r="K866">
        <v>194</v>
      </c>
      <c r="L866">
        <v>4</v>
      </c>
      <c r="M866" s="8" t="s">
        <v>31</v>
      </c>
      <c r="N866">
        <v>95.8</v>
      </c>
      <c r="O866">
        <v>240</v>
      </c>
      <c r="P866">
        <v>1</v>
      </c>
      <c r="Q866">
        <v>6</v>
      </c>
      <c r="R866">
        <v>2024</v>
      </c>
      <c r="S866">
        <v>0</v>
      </c>
      <c r="T866" s="8" t="s">
        <v>92</v>
      </c>
      <c r="U866">
        <v>0</v>
      </c>
      <c r="V866">
        <v>2</v>
      </c>
      <c r="W866">
        <v>1</v>
      </c>
      <c r="X866">
        <v>0</v>
      </c>
      <c r="Y866">
        <v>0</v>
      </c>
      <c r="Z866">
        <v>0</v>
      </c>
    </row>
    <row r="867" spans="1:26" x14ac:dyDescent="0.25">
      <c r="A867" s="1">
        <v>45507.858449074076</v>
      </c>
      <c r="B867" s="8" t="s">
        <v>20</v>
      </c>
      <c r="C867">
        <v>-59.825699999999998</v>
      </c>
      <c r="D867">
        <v>-2.9502000000000002</v>
      </c>
      <c r="E867">
        <v>239</v>
      </c>
      <c r="F867" s="8" t="s">
        <v>21</v>
      </c>
      <c r="G867">
        <v>28.7</v>
      </c>
      <c r="H867">
        <v>64</v>
      </c>
      <c r="I867" s="8" t="s">
        <v>28</v>
      </c>
      <c r="J867">
        <v>35</v>
      </c>
      <c r="K867">
        <v>469</v>
      </c>
      <c r="L867">
        <v>3</v>
      </c>
      <c r="M867" s="8" t="s">
        <v>23</v>
      </c>
      <c r="N867">
        <v>63.9</v>
      </c>
      <c r="O867">
        <v>293</v>
      </c>
      <c r="P867">
        <v>0</v>
      </c>
      <c r="Q867">
        <v>8</v>
      </c>
      <c r="R867">
        <v>2024</v>
      </c>
      <c r="S867">
        <v>6</v>
      </c>
      <c r="T867" s="8" t="s">
        <v>92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25">
      <c r="A868" s="1">
        <v>45396.345347222225</v>
      </c>
      <c r="B868" s="8" t="s">
        <v>33</v>
      </c>
      <c r="C868">
        <v>-49.284500000000001</v>
      </c>
      <c r="D868">
        <v>40.581400000000002</v>
      </c>
      <c r="E868">
        <v>241</v>
      </c>
      <c r="F868" s="8" t="s">
        <v>17</v>
      </c>
      <c r="G868">
        <v>21.4</v>
      </c>
      <c r="H868">
        <v>70.900000000000006</v>
      </c>
      <c r="I868" s="8" t="s">
        <v>28</v>
      </c>
      <c r="J868">
        <v>48</v>
      </c>
      <c r="K868">
        <v>121</v>
      </c>
      <c r="L868">
        <v>4</v>
      </c>
      <c r="M868" s="8" t="s">
        <v>23</v>
      </c>
      <c r="N868">
        <v>75.3</v>
      </c>
      <c r="O868">
        <v>195</v>
      </c>
      <c r="P868">
        <v>1</v>
      </c>
      <c r="Q868">
        <v>4</v>
      </c>
      <c r="R868">
        <v>2024</v>
      </c>
      <c r="S868">
        <v>0</v>
      </c>
      <c r="T868" s="8" t="s">
        <v>90</v>
      </c>
      <c r="U868">
        <v>0</v>
      </c>
      <c r="V868">
        <v>2</v>
      </c>
      <c r="W868">
        <v>0</v>
      </c>
      <c r="X868">
        <v>0</v>
      </c>
      <c r="Y868">
        <v>0</v>
      </c>
      <c r="Z868">
        <v>1</v>
      </c>
    </row>
    <row r="869" spans="1:26" x14ac:dyDescent="0.25">
      <c r="A869" s="1">
        <v>45501.314618055556</v>
      </c>
      <c r="B869" s="8" t="s">
        <v>24</v>
      </c>
      <c r="C869">
        <v>88.224599999999995</v>
      </c>
      <c r="D869">
        <v>-148.6037</v>
      </c>
      <c r="E869">
        <v>326</v>
      </c>
      <c r="F869" s="8" t="s">
        <v>17</v>
      </c>
      <c r="G869">
        <v>27.2</v>
      </c>
      <c r="H869">
        <v>69.3</v>
      </c>
      <c r="I869" s="8" t="s">
        <v>18</v>
      </c>
      <c r="J869">
        <v>24</v>
      </c>
      <c r="K869">
        <v>492</v>
      </c>
      <c r="L869">
        <v>9</v>
      </c>
      <c r="M869" s="8" t="s">
        <v>23</v>
      </c>
      <c r="N869">
        <v>72.5</v>
      </c>
      <c r="O869">
        <v>223</v>
      </c>
      <c r="P869">
        <v>1</v>
      </c>
      <c r="Q869">
        <v>7</v>
      </c>
      <c r="R869">
        <v>2024</v>
      </c>
      <c r="S869">
        <v>0</v>
      </c>
      <c r="T869" s="8" t="s">
        <v>92</v>
      </c>
      <c r="U869">
        <v>0</v>
      </c>
      <c r="V869">
        <v>2</v>
      </c>
      <c r="W869">
        <v>1</v>
      </c>
      <c r="X869">
        <v>0</v>
      </c>
      <c r="Y869">
        <v>0</v>
      </c>
      <c r="Z869">
        <v>0</v>
      </c>
    </row>
    <row r="870" spans="1:26" x14ac:dyDescent="0.25">
      <c r="A870" s="1">
        <v>45548.524733796294</v>
      </c>
      <c r="B870" s="8" t="s">
        <v>30</v>
      </c>
      <c r="C870">
        <v>-13.535</v>
      </c>
      <c r="D870">
        <v>94.625600000000006</v>
      </c>
      <c r="E870">
        <v>357</v>
      </c>
      <c r="F870" s="8" t="s">
        <v>26</v>
      </c>
      <c r="G870">
        <v>24</v>
      </c>
      <c r="H870">
        <v>76.099999999999994</v>
      </c>
      <c r="I870" s="8" t="s">
        <v>18</v>
      </c>
      <c r="J870">
        <v>39</v>
      </c>
      <c r="K870">
        <v>339</v>
      </c>
      <c r="L870">
        <v>9</v>
      </c>
      <c r="M870" s="8" t="s">
        <v>27</v>
      </c>
      <c r="N870">
        <v>97.8</v>
      </c>
      <c r="O870">
        <v>146</v>
      </c>
      <c r="P870">
        <v>0</v>
      </c>
      <c r="Q870">
        <v>9</v>
      </c>
      <c r="R870">
        <v>2024</v>
      </c>
      <c r="S870">
        <v>5</v>
      </c>
      <c r="T870" s="8" t="s">
        <v>91</v>
      </c>
      <c r="U870">
        <v>1</v>
      </c>
      <c r="V870">
        <v>1</v>
      </c>
      <c r="W870">
        <v>1</v>
      </c>
      <c r="X870">
        <v>0</v>
      </c>
      <c r="Y870">
        <v>1</v>
      </c>
      <c r="Z870">
        <v>0</v>
      </c>
    </row>
    <row r="871" spans="1:26" x14ac:dyDescent="0.25">
      <c r="A871" s="1">
        <v>45540.227962962963</v>
      </c>
      <c r="B871" s="8" t="s">
        <v>20</v>
      </c>
      <c r="C871">
        <v>57.128700000000002</v>
      </c>
      <c r="D871">
        <v>148.18049999999999</v>
      </c>
      <c r="E871">
        <v>279</v>
      </c>
      <c r="F871" s="8" t="s">
        <v>26</v>
      </c>
      <c r="G871">
        <v>19.600000000000001</v>
      </c>
      <c r="H871">
        <v>55.9</v>
      </c>
      <c r="I871" s="8" t="s">
        <v>22</v>
      </c>
      <c r="J871">
        <v>30</v>
      </c>
      <c r="K871">
        <v>187</v>
      </c>
      <c r="L871">
        <v>9</v>
      </c>
      <c r="M871" s="8" t="s">
        <v>27</v>
      </c>
      <c r="N871">
        <v>90.5</v>
      </c>
      <c r="O871">
        <v>126</v>
      </c>
      <c r="P871">
        <v>1</v>
      </c>
      <c r="Q871">
        <v>9</v>
      </c>
      <c r="R871">
        <v>2024</v>
      </c>
      <c r="S871">
        <v>4</v>
      </c>
      <c r="T871" s="8" t="s">
        <v>91</v>
      </c>
      <c r="U871">
        <v>0</v>
      </c>
      <c r="V871">
        <v>1</v>
      </c>
      <c r="W871">
        <v>2</v>
      </c>
      <c r="X871">
        <v>1</v>
      </c>
      <c r="Y871">
        <v>0</v>
      </c>
      <c r="Z871">
        <v>0</v>
      </c>
    </row>
    <row r="872" spans="1:26" x14ac:dyDescent="0.25">
      <c r="A872" s="1">
        <v>45293.307581018518</v>
      </c>
      <c r="B872" s="8" t="s">
        <v>30</v>
      </c>
      <c r="C872">
        <v>-61.854599999999998</v>
      </c>
      <c r="D872">
        <v>43.807400000000001</v>
      </c>
      <c r="E872">
        <v>106</v>
      </c>
      <c r="F872" s="8" t="s">
        <v>26</v>
      </c>
      <c r="G872">
        <v>26.7</v>
      </c>
      <c r="H872">
        <v>53.3</v>
      </c>
      <c r="I872" s="8" t="s">
        <v>18</v>
      </c>
      <c r="J872">
        <v>39</v>
      </c>
      <c r="K872">
        <v>128</v>
      </c>
      <c r="L872">
        <v>5</v>
      </c>
      <c r="M872" s="8" t="s">
        <v>23</v>
      </c>
      <c r="N872">
        <v>88</v>
      </c>
      <c r="O872">
        <v>117</v>
      </c>
      <c r="P872">
        <v>0</v>
      </c>
      <c r="Q872">
        <v>1</v>
      </c>
      <c r="R872">
        <v>2024</v>
      </c>
      <c r="S872">
        <v>2</v>
      </c>
      <c r="T872" s="8" t="s">
        <v>93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0</v>
      </c>
    </row>
    <row r="873" spans="1:26" x14ac:dyDescent="0.25">
      <c r="A873" s="1">
        <v>45604.211099537039</v>
      </c>
      <c r="B873" s="8" t="s">
        <v>16</v>
      </c>
      <c r="C873">
        <v>9.0930999999999997</v>
      </c>
      <c r="D873">
        <v>-155.64109999999999</v>
      </c>
      <c r="E873">
        <v>381</v>
      </c>
      <c r="F873" s="8" t="s">
        <v>21</v>
      </c>
      <c r="G873">
        <v>20</v>
      </c>
      <c r="H873">
        <v>52.9</v>
      </c>
      <c r="I873" s="8" t="s">
        <v>28</v>
      </c>
      <c r="J873">
        <v>13</v>
      </c>
      <c r="K873">
        <v>216</v>
      </c>
      <c r="L873">
        <v>5</v>
      </c>
      <c r="M873" s="8" t="s">
        <v>23</v>
      </c>
      <c r="N873">
        <v>87.3</v>
      </c>
      <c r="O873">
        <v>160</v>
      </c>
      <c r="P873">
        <v>0</v>
      </c>
      <c r="Q873">
        <v>11</v>
      </c>
      <c r="R873">
        <v>2024</v>
      </c>
      <c r="S873">
        <v>5</v>
      </c>
      <c r="T873" s="8" t="s">
        <v>91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</row>
    <row r="874" spans="1:26" x14ac:dyDescent="0.25">
      <c r="A874" s="1">
        <v>45611.279363425929</v>
      </c>
      <c r="B874" s="8" t="s">
        <v>16</v>
      </c>
      <c r="C874">
        <v>-19.6632</v>
      </c>
      <c r="D874">
        <v>-133.2353</v>
      </c>
      <c r="E874">
        <v>416</v>
      </c>
      <c r="F874" s="8" t="s">
        <v>26</v>
      </c>
      <c r="G874">
        <v>20.5</v>
      </c>
      <c r="H874">
        <v>61.9</v>
      </c>
      <c r="I874" s="8" t="s">
        <v>18</v>
      </c>
      <c r="J874">
        <v>51</v>
      </c>
      <c r="K874">
        <v>172</v>
      </c>
      <c r="L874">
        <v>1</v>
      </c>
      <c r="M874" s="8" t="s">
        <v>23</v>
      </c>
      <c r="N874">
        <v>75.5</v>
      </c>
      <c r="O874">
        <v>112</v>
      </c>
      <c r="P874">
        <v>0</v>
      </c>
      <c r="Q874">
        <v>11</v>
      </c>
      <c r="R874">
        <v>2024</v>
      </c>
      <c r="S874">
        <v>5</v>
      </c>
      <c r="T874" s="8" t="s">
        <v>91</v>
      </c>
      <c r="U874">
        <v>1</v>
      </c>
      <c r="V874">
        <v>1</v>
      </c>
      <c r="W874">
        <v>1</v>
      </c>
      <c r="X874">
        <v>0</v>
      </c>
      <c r="Y874">
        <v>0</v>
      </c>
      <c r="Z874">
        <v>1</v>
      </c>
    </row>
    <row r="875" spans="1:26" x14ac:dyDescent="0.25">
      <c r="A875" s="1">
        <v>45642.881585648145</v>
      </c>
      <c r="B875" s="8" t="s">
        <v>25</v>
      </c>
      <c r="C875">
        <v>43.442900000000002</v>
      </c>
      <c r="D875">
        <v>-106.3154</v>
      </c>
      <c r="E875">
        <v>147</v>
      </c>
      <c r="F875" s="8" t="s">
        <v>17</v>
      </c>
      <c r="G875">
        <v>19</v>
      </c>
      <c r="H875">
        <v>73.2</v>
      </c>
      <c r="I875" s="8" t="s">
        <v>18</v>
      </c>
      <c r="J875">
        <v>60</v>
      </c>
      <c r="K875">
        <v>260</v>
      </c>
      <c r="L875">
        <v>5</v>
      </c>
      <c r="M875" s="8" t="s">
        <v>31</v>
      </c>
      <c r="N875">
        <v>77.2</v>
      </c>
      <c r="O875">
        <v>216</v>
      </c>
      <c r="P875">
        <v>1</v>
      </c>
      <c r="Q875">
        <v>12</v>
      </c>
      <c r="R875">
        <v>2024</v>
      </c>
      <c r="S875">
        <v>1</v>
      </c>
      <c r="T875" s="8" t="s">
        <v>93</v>
      </c>
      <c r="U875">
        <v>0</v>
      </c>
      <c r="V875">
        <v>2</v>
      </c>
      <c r="W875">
        <v>1</v>
      </c>
      <c r="X875">
        <v>0</v>
      </c>
      <c r="Y875">
        <v>0</v>
      </c>
      <c r="Z875">
        <v>1</v>
      </c>
    </row>
    <row r="876" spans="1:26" x14ac:dyDescent="0.25">
      <c r="A876" s="1">
        <v>45378.102430555555</v>
      </c>
      <c r="B876" s="8" t="s">
        <v>33</v>
      </c>
      <c r="C876">
        <v>-24.622599999999998</v>
      </c>
      <c r="D876">
        <v>30.2486</v>
      </c>
      <c r="E876">
        <v>277</v>
      </c>
      <c r="F876" s="8" t="s">
        <v>21</v>
      </c>
      <c r="G876">
        <v>28.1</v>
      </c>
      <c r="H876">
        <v>55.1</v>
      </c>
      <c r="I876" s="8" t="s">
        <v>28</v>
      </c>
      <c r="J876">
        <v>44</v>
      </c>
      <c r="K876">
        <v>111</v>
      </c>
      <c r="L876">
        <v>3</v>
      </c>
      <c r="M876" s="8" t="s">
        <v>23</v>
      </c>
      <c r="N876">
        <v>91.8</v>
      </c>
      <c r="O876">
        <v>282</v>
      </c>
      <c r="P876">
        <v>0</v>
      </c>
      <c r="Q876">
        <v>3</v>
      </c>
      <c r="R876">
        <v>2024</v>
      </c>
      <c r="S876">
        <v>3</v>
      </c>
      <c r="T876" s="8" t="s">
        <v>90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</row>
    <row r="877" spans="1:26" x14ac:dyDescent="0.25">
      <c r="A877" s="1">
        <v>45564.583483796298</v>
      </c>
      <c r="B877" s="8" t="s">
        <v>35</v>
      </c>
      <c r="C877">
        <v>5.6237000000000004</v>
      </c>
      <c r="D877">
        <v>177.8639</v>
      </c>
      <c r="E877">
        <v>116</v>
      </c>
      <c r="F877" s="8" t="s">
        <v>26</v>
      </c>
      <c r="G877">
        <v>23</v>
      </c>
      <c r="H877">
        <v>79.599999999999994</v>
      </c>
      <c r="I877" s="8" t="s">
        <v>18</v>
      </c>
      <c r="J877">
        <v>55</v>
      </c>
      <c r="K877">
        <v>362</v>
      </c>
      <c r="L877">
        <v>1</v>
      </c>
      <c r="M877" s="8" t="s">
        <v>19</v>
      </c>
      <c r="N877">
        <v>96.6</v>
      </c>
      <c r="O877">
        <v>222</v>
      </c>
      <c r="P877">
        <v>0</v>
      </c>
      <c r="Q877">
        <v>9</v>
      </c>
      <c r="R877">
        <v>2024</v>
      </c>
      <c r="S877">
        <v>0</v>
      </c>
      <c r="T877" s="8" t="s">
        <v>91</v>
      </c>
      <c r="U877">
        <v>0</v>
      </c>
      <c r="V877">
        <v>1</v>
      </c>
      <c r="W877">
        <v>1</v>
      </c>
      <c r="X877">
        <v>0</v>
      </c>
      <c r="Y877">
        <v>1</v>
      </c>
      <c r="Z877">
        <v>1</v>
      </c>
    </row>
    <row r="878" spans="1:26" x14ac:dyDescent="0.25">
      <c r="A878" s="1">
        <v>45573.583958333336</v>
      </c>
      <c r="B878" s="8" t="s">
        <v>16</v>
      </c>
      <c r="C878">
        <v>-49.842100000000002</v>
      </c>
      <c r="D878">
        <v>-83.296300000000002</v>
      </c>
      <c r="E878">
        <v>324</v>
      </c>
      <c r="F878" s="8" t="s">
        <v>26</v>
      </c>
      <c r="G878">
        <v>22.2</v>
      </c>
      <c r="H878">
        <v>62.9</v>
      </c>
      <c r="I878" s="8" t="s">
        <v>22</v>
      </c>
      <c r="J878">
        <v>50</v>
      </c>
      <c r="K878">
        <v>365</v>
      </c>
      <c r="L878">
        <v>7</v>
      </c>
      <c r="M878" s="8" t="s">
        <v>23</v>
      </c>
      <c r="N878">
        <v>95.8</v>
      </c>
      <c r="O878">
        <v>210</v>
      </c>
      <c r="P878">
        <v>1</v>
      </c>
      <c r="Q878">
        <v>10</v>
      </c>
      <c r="R878">
        <v>2024</v>
      </c>
      <c r="S878">
        <v>2</v>
      </c>
      <c r="T878" s="8" t="s">
        <v>91</v>
      </c>
      <c r="U878">
        <v>0</v>
      </c>
      <c r="V878">
        <v>1</v>
      </c>
      <c r="W878">
        <v>2</v>
      </c>
      <c r="X878">
        <v>1</v>
      </c>
      <c r="Y878">
        <v>0</v>
      </c>
      <c r="Z878">
        <v>1</v>
      </c>
    </row>
    <row r="879" spans="1:26" x14ac:dyDescent="0.25">
      <c r="A879" s="1">
        <v>45649.933888888889</v>
      </c>
      <c r="B879" s="8" t="s">
        <v>35</v>
      </c>
      <c r="C879">
        <v>22.535900000000002</v>
      </c>
      <c r="D879">
        <v>82.624799999999993</v>
      </c>
      <c r="E879">
        <v>325</v>
      </c>
      <c r="F879" s="8" t="s">
        <v>21</v>
      </c>
      <c r="G879">
        <v>26</v>
      </c>
      <c r="H879">
        <v>56</v>
      </c>
      <c r="I879" s="8" t="s">
        <v>28</v>
      </c>
      <c r="J879">
        <v>34</v>
      </c>
      <c r="K879">
        <v>359</v>
      </c>
      <c r="L879">
        <v>4</v>
      </c>
      <c r="M879" s="8" t="s">
        <v>19</v>
      </c>
      <c r="N879">
        <v>72.2</v>
      </c>
      <c r="O879">
        <v>248</v>
      </c>
      <c r="P879">
        <v>0</v>
      </c>
      <c r="Q879">
        <v>12</v>
      </c>
      <c r="R879">
        <v>2024</v>
      </c>
      <c r="S879">
        <v>1</v>
      </c>
      <c r="T879" s="8" t="s">
        <v>93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0" spans="1:26" x14ac:dyDescent="0.25">
      <c r="A880" s="1">
        <v>45446.403263888889</v>
      </c>
      <c r="B880" s="8" t="s">
        <v>24</v>
      </c>
      <c r="C880">
        <v>30.8916</v>
      </c>
      <c r="D880">
        <v>173.48330000000001</v>
      </c>
      <c r="E880">
        <v>245</v>
      </c>
      <c r="F880" s="8" t="s">
        <v>26</v>
      </c>
      <c r="G880">
        <v>22</v>
      </c>
      <c r="H880">
        <v>61.2</v>
      </c>
      <c r="I880" s="8" t="s">
        <v>18</v>
      </c>
      <c r="J880">
        <v>22</v>
      </c>
      <c r="K880">
        <v>480</v>
      </c>
      <c r="L880">
        <v>6</v>
      </c>
      <c r="M880" s="8" t="s">
        <v>23</v>
      </c>
      <c r="N880">
        <v>89.3</v>
      </c>
      <c r="O880">
        <v>284</v>
      </c>
      <c r="P880">
        <v>0</v>
      </c>
      <c r="Q880">
        <v>6</v>
      </c>
      <c r="R880">
        <v>2024</v>
      </c>
      <c r="S880">
        <v>1</v>
      </c>
      <c r="T880" s="8" t="s">
        <v>92</v>
      </c>
      <c r="U880">
        <v>0</v>
      </c>
      <c r="V880">
        <v>1</v>
      </c>
      <c r="W880">
        <v>1</v>
      </c>
      <c r="X880">
        <v>0</v>
      </c>
      <c r="Y880">
        <v>0</v>
      </c>
      <c r="Z880">
        <v>0</v>
      </c>
    </row>
    <row r="881" spans="1:26" x14ac:dyDescent="0.25">
      <c r="A881" s="1">
        <v>45469.472013888888</v>
      </c>
      <c r="B881" s="8" t="s">
        <v>34</v>
      </c>
      <c r="C881">
        <v>3.0051000000000001</v>
      </c>
      <c r="D881">
        <v>-89.495699999999999</v>
      </c>
      <c r="E881">
        <v>424</v>
      </c>
      <c r="F881" s="8" t="s">
        <v>26</v>
      </c>
      <c r="G881">
        <v>23.2</v>
      </c>
      <c r="H881">
        <v>50.2</v>
      </c>
      <c r="I881" s="8" t="s">
        <v>28</v>
      </c>
      <c r="J881">
        <v>55</v>
      </c>
      <c r="K881">
        <v>385</v>
      </c>
      <c r="L881">
        <v>9</v>
      </c>
      <c r="M881" s="8" t="s">
        <v>23</v>
      </c>
      <c r="N881">
        <v>83.2</v>
      </c>
      <c r="O881">
        <v>228</v>
      </c>
      <c r="P881">
        <v>0</v>
      </c>
      <c r="Q881">
        <v>6</v>
      </c>
      <c r="R881">
        <v>2024</v>
      </c>
      <c r="S881">
        <v>3</v>
      </c>
      <c r="T881" s="8" t="s">
        <v>92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1</v>
      </c>
    </row>
    <row r="882" spans="1:26" x14ac:dyDescent="0.25">
      <c r="A882" s="1">
        <v>45639.726701388892</v>
      </c>
      <c r="B882" s="8" t="s">
        <v>34</v>
      </c>
      <c r="C882">
        <v>-9.8415999999999997</v>
      </c>
      <c r="D882">
        <v>87.344399999999993</v>
      </c>
      <c r="E882">
        <v>467</v>
      </c>
      <c r="F882" s="8" t="s">
        <v>17</v>
      </c>
      <c r="G882">
        <v>26.5</v>
      </c>
      <c r="H882">
        <v>62.1</v>
      </c>
      <c r="I882" s="8" t="s">
        <v>22</v>
      </c>
      <c r="J882">
        <v>54</v>
      </c>
      <c r="K882">
        <v>222</v>
      </c>
      <c r="L882">
        <v>2</v>
      </c>
      <c r="M882" s="8" t="s">
        <v>27</v>
      </c>
      <c r="N882">
        <v>97.3</v>
      </c>
      <c r="O882">
        <v>259</v>
      </c>
      <c r="P882">
        <v>1</v>
      </c>
      <c r="Q882">
        <v>12</v>
      </c>
      <c r="R882">
        <v>2024</v>
      </c>
      <c r="S882">
        <v>5</v>
      </c>
      <c r="T882" s="8" t="s">
        <v>93</v>
      </c>
      <c r="U882">
        <v>1</v>
      </c>
      <c r="V882">
        <v>2</v>
      </c>
      <c r="W882">
        <v>2</v>
      </c>
      <c r="X882">
        <v>1</v>
      </c>
      <c r="Y882">
        <v>0</v>
      </c>
      <c r="Z882">
        <v>1</v>
      </c>
    </row>
    <row r="883" spans="1:26" x14ac:dyDescent="0.25">
      <c r="A883" s="1">
        <v>45375.504907407405</v>
      </c>
      <c r="B883" s="8" t="s">
        <v>29</v>
      </c>
      <c r="C883">
        <v>-84.642499999999998</v>
      </c>
      <c r="D883">
        <v>70.456999999999994</v>
      </c>
      <c r="E883">
        <v>262</v>
      </c>
      <c r="F883" s="8" t="s">
        <v>21</v>
      </c>
      <c r="G883">
        <v>23.4</v>
      </c>
      <c r="H883">
        <v>62</v>
      </c>
      <c r="I883" s="8" t="s">
        <v>22</v>
      </c>
      <c r="J883">
        <v>36</v>
      </c>
      <c r="K883">
        <v>272</v>
      </c>
      <c r="L883">
        <v>7</v>
      </c>
      <c r="M883" s="8" t="s">
        <v>19</v>
      </c>
      <c r="N883">
        <v>82.9</v>
      </c>
      <c r="O883">
        <v>146</v>
      </c>
      <c r="P883">
        <v>1</v>
      </c>
      <c r="Q883">
        <v>3</v>
      </c>
      <c r="R883">
        <v>2024</v>
      </c>
      <c r="S883">
        <v>0</v>
      </c>
      <c r="T883" s="8" t="s">
        <v>90</v>
      </c>
      <c r="U883">
        <v>0</v>
      </c>
      <c r="V883">
        <v>0</v>
      </c>
      <c r="W883">
        <v>2</v>
      </c>
      <c r="X883">
        <v>1</v>
      </c>
      <c r="Y883">
        <v>0</v>
      </c>
      <c r="Z883">
        <v>0</v>
      </c>
    </row>
    <row r="884" spans="1:26" x14ac:dyDescent="0.25">
      <c r="A884" s="1">
        <v>45552.15861111111</v>
      </c>
      <c r="B884" s="8" t="s">
        <v>16</v>
      </c>
      <c r="C884">
        <v>1.8374999999999999</v>
      </c>
      <c r="D884">
        <v>71.811000000000007</v>
      </c>
      <c r="E884">
        <v>356</v>
      </c>
      <c r="F884" s="8" t="s">
        <v>26</v>
      </c>
      <c r="G884">
        <v>21.6</v>
      </c>
      <c r="H884">
        <v>60.4</v>
      </c>
      <c r="I884" s="8" t="s">
        <v>28</v>
      </c>
      <c r="J884">
        <v>45</v>
      </c>
      <c r="K884">
        <v>292</v>
      </c>
      <c r="L884">
        <v>1</v>
      </c>
      <c r="M884" s="8" t="s">
        <v>31</v>
      </c>
      <c r="N884">
        <v>94.3</v>
      </c>
      <c r="O884">
        <v>196</v>
      </c>
      <c r="P884">
        <v>0</v>
      </c>
      <c r="Q884">
        <v>9</v>
      </c>
      <c r="R884">
        <v>2024</v>
      </c>
      <c r="S884">
        <v>2</v>
      </c>
      <c r="T884" s="8" t="s">
        <v>91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</row>
    <row r="885" spans="1:26" x14ac:dyDescent="0.25">
      <c r="A885" s="1">
        <v>45558.738611111112</v>
      </c>
      <c r="B885" s="8" t="s">
        <v>20</v>
      </c>
      <c r="C885">
        <v>-69.867099999999994</v>
      </c>
      <c r="D885">
        <v>-68.072999999999993</v>
      </c>
      <c r="E885">
        <v>166</v>
      </c>
      <c r="F885" s="8" t="s">
        <v>17</v>
      </c>
      <c r="G885">
        <v>20.399999999999999</v>
      </c>
      <c r="H885">
        <v>70.2</v>
      </c>
      <c r="I885" s="8" t="s">
        <v>28</v>
      </c>
      <c r="J885">
        <v>19</v>
      </c>
      <c r="K885">
        <v>391</v>
      </c>
      <c r="L885">
        <v>5</v>
      </c>
      <c r="M885" s="8" t="s">
        <v>19</v>
      </c>
      <c r="N885">
        <v>74</v>
      </c>
      <c r="O885">
        <v>238</v>
      </c>
      <c r="P885">
        <v>1</v>
      </c>
      <c r="Q885">
        <v>9</v>
      </c>
      <c r="R885">
        <v>2024</v>
      </c>
      <c r="S885">
        <v>1</v>
      </c>
      <c r="T885" s="8" t="s">
        <v>91</v>
      </c>
      <c r="U885">
        <v>0</v>
      </c>
      <c r="V885">
        <v>2</v>
      </c>
      <c r="W885">
        <v>0</v>
      </c>
      <c r="X885">
        <v>0</v>
      </c>
      <c r="Y885">
        <v>0</v>
      </c>
      <c r="Z885">
        <v>0</v>
      </c>
    </row>
    <row r="886" spans="1:26" x14ac:dyDescent="0.25">
      <c r="A886" s="1">
        <v>45615.171087962961</v>
      </c>
      <c r="B886" s="8" t="s">
        <v>29</v>
      </c>
      <c r="C886">
        <v>72.837400000000002</v>
      </c>
      <c r="D886">
        <v>179.4522</v>
      </c>
      <c r="E886">
        <v>349</v>
      </c>
      <c r="F886" s="8" t="s">
        <v>21</v>
      </c>
      <c r="G886">
        <v>25.6</v>
      </c>
      <c r="H886">
        <v>53.9</v>
      </c>
      <c r="I886" s="8" t="s">
        <v>22</v>
      </c>
      <c r="J886">
        <v>26</v>
      </c>
      <c r="K886">
        <v>189</v>
      </c>
      <c r="L886">
        <v>9</v>
      </c>
      <c r="M886" s="8" t="s">
        <v>23</v>
      </c>
      <c r="N886">
        <v>77.099999999999994</v>
      </c>
      <c r="O886">
        <v>285</v>
      </c>
      <c r="P886">
        <v>1</v>
      </c>
      <c r="Q886">
        <v>11</v>
      </c>
      <c r="R886">
        <v>2024</v>
      </c>
      <c r="S886">
        <v>2</v>
      </c>
      <c r="T886" s="8" t="s">
        <v>91</v>
      </c>
      <c r="U886">
        <v>0</v>
      </c>
      <c r="V886">
        <v>0</v>
      </c>
      <c r="W886">
        <v>2</v>
      </c>
      <c r="X886">
        <v>1</v>
      </c>
      <c r="Y886">
        <v>0</v>
      </c>
      <c r="Z886">
        <v>0</v>
      </c>
    </row>
    <row r="887" spans="1:26" x14ac:dyDescent="0.25">
      <c r="A887" s="1">
        <v>45517.07135416667</v>
      </c>
      <c r="B887" s="8" t="s">
        <v>16</v>
      </c>
      <c r="C887">
        <v>50.877499999999998</v>
      </c>
      <c r="D887">
        <v>-155.5478</v>
      </c>
      <c r="E887">
        <v>338</v>
      </c>
      <c r="F887" s="8" t="s">
        <v>26</v>
      </c>
      <c r="G887">
        <v>26.8</v>
      </c>
      <c r="H887">
        <v>68.3</v>
      </c>
      <c r="I887" s="8" t="s">
        <v>18</v>
      </c>
      <c r="J887">
        <v>45</v>
      </c>
      <c r="K887">
        <v>458</v>
      </c>
      <c r="L887">
        <v>9</v>
      </c>
      <c r="M887" s="8" t="s">
        <v>31</v>
      </c>
      <c r="N887">
        <v>76.7</v>
      </c>
      <c r="O887">
        <v>191</v>
      </c>
      <c r="P887">
        <v>0</v>
      </c>
      <c r="Q887">
        <v>8</v>
      </c>
      <c r="R887">
        <v>2024</v>
      </c>
      <c r="S887">
        <v>2</v>
      </c>
      <c r="T887" s="8" t="s">
        <v>92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0</v>
      </c>
    </row>
    <row r="888" spans="1:26" x14ac:dyDescent="0.25">
      <c r="A888" s="1">
        <v>45512.549861111111</v>
      </c>
      <c r="B888" s="8" t="s">
        <v>34</v>
      </c>
      <c r="C888">
        <v>23.7118</v>
      </c>
      <c r="D888">
        <v>-92.909800000000004</v>
      </c>
      <c r="E888">
        <v>273</v>
      </c>
      <c r="F888" s="8" t="s">
        <v>26</v>
      </c>
      <c r="G888">
        <v>19.899999999999999</v>
      </c>
      <c r="H888">
        <v>63.6</v>
      </c>
      <c r="I888" s="8" t="s">
        <v>28</v>
      </c>
      <c r="J888">
        <v>27</v>
      </c>
      <c r="K888">
        <v>265</v>
      </c>
      <c r="L888">
        <v>8</v>
      </c>
      <c r="M888" s="8" t="s">
        <v>23</v>
      </c>
      <c r="N888">
        <v>77</v>
      </c>
      <c r="O888">
        <v>243</v>
      </c>
      <c r="P888">
        <v>0</v>
      </c>
      <c r="Q888">
        <v>8</v>
      </c>
      <c r="R888">
        <v>2024</v>
      </c>
      <c r="S888">
        <v>4</v>
      </c>
      <c r="T888" s="8" t="s">
        <v>92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</row>
    <row r="889" spans="1:26" x14ac:dyDescent="0.25">
      <c r="A889" s="1">
        <v>45544.453611111108</v>
      </c>
      <c r="B889" s="8" t="s">
        <v>16</v>
      </c>
      <c r="C889">
        <v>65.964100000000002</v>
      </c>
      <c r="D889">
        <v>85.992500000000007</v>
      </c>
      <c r="E889">
        <v>239</v>
      </c>
      <c r="F889" s="8" t="s">
        <v>21</v>
      </c>
      <c r="G889">
        <v>25.8</v>
      </c>
      <c r="H889">
        <v>56</v>
      </c>
      <c r="I889" s="8" t="s">
        <v>18</v>
      </c>
      <c r="J889">
        <v>50</v>
      </c>
      <c r="K889">
        <v>274</v>
      </c>
      <c r="L889">
        <v>7</v>
      </c>
      <c r="M889" s="8" t="s">
        <v>23</v>
      </c>
      <c r="N889">
        <v>88.3</v>
      </c>
      <c r="O889">
        <v>261</v>
      </c>
      <c r="P889">
        <v>0</v>
      </c>
      <c r="Q889">
        <v>9</v>
      </c>
      <c r="R889">
        <v>2024</v>
      </c>
      <c r="S889">
        <v>1</v>
      </c>
      <c r="T889" s="8" t="s">
        <v>91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</v>
      </c>
    </row>
    <row r="890" spans="1:26" x14ac:dyDescent="0.25">
      <c r="A890" s="1">
        <v>45623.378981481481</v>
      </c>
      <c r="B890" s="8" t="s">
        <v>25</v>
      </c>
      <c r="C890">
        <v>41.728499999999997</v>
      </c>
      <c r="D890">
        <v>131.83760000000001</v>
      </c>
      <c r="E890">
        <v>278</v>
      </c>
      <c r="F890" s="8" t="s">
        <v>26</v>
      </c>
      <c r="G890">
        <v>22.8</v>
      </c>
      <c r="H890">
        <v>52.9</v>
      </c>
      <c r="I890" s="8" t="s">
        <v>22</v>
      </c>
      <c r="J890">
        <v>18</v>
      </c>
      <c r="K890">
        <v>104</v>
      </c>
      <c r="L890">
        <v>4</v>
      </c>
      <c r="M890" s="8" t="s">
        <v>27</v>
      </c>
      <c r="N890">
        <v>71.2</v>
      </c>
      <c r="O890">
        <v>190</v>
      </c>
      <c r="P890">
        <v>1</v>
      </c>
      <c r="Q890">
        <v>11</v>
      </c>
      <c r="R890">
        <v>2024</v>
      </c>
      <c r="S890">
        <v>3</v>
      </c>
      <c r="T890" s="8" t="s">
        <v>91</v>
      </c>
      <c r="U890">
        <v>0</v>
      </c>
      <c r="V890">
        <v>1</v>
      </c>
      <c r="W890">
        <v>2</v>
      </c>
      <c r="X890">
        <v>1</v>
      </c>
      <c r="Y890">
        <v>0</v>
      </c>
      <c r="Z890">
        <v>0</v>
      </c>
    </row>
    <row r="891" spans="1:26" x14ac:dyDescent="0.25">
      <c r="A891" s="1">
        <v>45411.647291666668</v>
      </c>
      <c r="B891" s="8" t="s">
        <v>35</v>
      </c>
      <c r="C891">
        <v>-79.293300000000002</v>
      </c>
      <c r="D891">
        <v>52.619599999999998</v>
      </c>
      <c r="E891">
        <v>412</v>
      </c>
      <c r="F891" s="8" t="s">
        <v>17</v>
      </c>
      <c r="G891">
        <v>20.2</v>
      </c>
      <c r="H891">
        <v>65</v>
      </c>
      <c r="I891" s="8" t="s">
        <v>28</v>
      </c>
      <c r="J891">
        <v>14</v>
      </c>
      <c r="K891">
        <v>230</v>
      </c>
      <c r="L891">
        <v>2</v>
      </c>
      <c r="M891" s="8" t="s">
        <v>31</v>
      </c>
      <c r="N891">
        <v>72.900000000000006</v>
      </c>
      <c r="O891">
        <v>249</v>
      </c>
      <c r="P891">
        <v>1</v>
      </c>
      <c r="Q891">
        <v>4</v>
      </c>
      <c r="R891">
        <v>2024</v>
      </c>
      <c r="S891">
        <v>1</v>
      </c>
      <c r="T891" s="8" t="s">
        <v>90</v>
      </c>
      <c r="U891">
        <v>0</v>
      </c>
      <c r="V891">
        <v>2</v>
      </c>
      <c r="W891">
        <v>0</v>
      </c>
      <c r="X891">
        <v>0</v>
      </c>
      <c r="Y891">
        <v>0</v>
      </c>
      <c r="Z891">
        <v>0</v>
      </c>
    </row>
    <row r="892" spans="1:26" x14ac:dyDescent="0.25">
      <c r="A892" s="1">
        <v>45656.807615740741</v>
      </c>
      <c r="B892" s="8" t="s">
        <v>20</v>
      </c>
      <c r="C892">
        <v>78.128500000000003</v>
      </c>
      <c r="D892">
        <v>162.4365</v>
      </c>
      <c r="E892">
        <v>125</v>
      </c>
      <c r="F892" s="8" t="s">
        <v>21</v>
      </c>
      <c r="G892">
        <v>25.4</v>
      </c>
      <c r="H892">
        <v>61.5</v>
      </c>
      <c r="I892" s="8" t="s">
        <v>18</v>
      </c>
      <c r="J892">
        <v>50</v>
      </c>
      <c r="K892">
        <v>408</v>
      </c>
      <c r="L892">
        <v>6</v>
      </c>
      <c r="M892" s="8" t="s">
        <v>19</v>
      </c>
      <c r="N892">
        <v>83.4</v>
      </c>
      <c r="O892">
        <v>221</v>
      </c>
      <c r="P892">
        <v>0</v>
      </c>
      <c r="Q892">
        <v>12</v>
      </c>
      <c r="R892">
        <v>2024</v>
      </c>
      <c r="S892">
        <v>1</v>
      </c>
      <c r="T892" s="8" t="s">
        <v>93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1</v>
      </c>
    </row>
    <row r="893" spans="1:26" x14ac:dyDescent="0.25">
      <c r="A893" s="1">
        <v>45645.887928240743</v>
      </c>
      <c r="B893" s="8" t="s">
        <v>32</v>
      </c>
      <c r="C893">
        <v>56.544499999999999</v>
      </c>
      <c r="D893">
        <v>31.2501</v>
      </c>
      <c r="E893">
        <v>404</v>
      </c>
      <c r="F893" s="8" t="s">
        <v>26</v>
      </c>
      <c r="G893">
        <v>24.7</v>
      </c>
      <c r="H893">
        <v>74.2</v>
      </c>
      <c r="I893" s="8" t="s">
        <v>22</v>
      </c>
      <c r="J893">
        <v>23</v>
      </c>
      <c r="K893">
        <v>459</v>
      </c>
      <c r="L893">
        <v>1</v>
      </c>
      <c r="M893" s="8" t="s">
        <v>27</v>
      </c>
      <c r="N893">
        <v>71.7</v>
      </c>
      <c r="O893">
        <v>127</v>
      </c>
      <c r="P893">
        <v>1</v>
      </c>
      <c r="Q893">
        <v>12</v>
      </c>
      <c r="R893">
        <v>2024</v>
      </c>
      <c r="S893">
        <v>4</v>
      </c>
      <c r="T893" s="8" t="s">
        <v>93</v>
      </c>
      <c r="U893">
        <v>0</v>
      </c>
      <c r="V893">
        <v>1</v>
      </c>
      <c r="W893">
        <v>2</v>
      </c>
      <c r="X893">
        <v>1</v>
      </c>
      <c r="Y893">
        <v>0</v>
      </c>
      <c r="Z893">
        <v>0</v>
      </c>
    </row>
    <row r="894" spans="1:26" x14ac:dyDescent="0.25">
      <c r="A894" s="1">
        <v>45541.537094907406</v>
      </c>
      <c r="B894" s="8" t="s">
        <v>25</v>
      </c>
      <c r="C894">
        <v>44.245100000000001</v>
      </c>
      <c r="D894">
        <v>-34.257100000000001</v>
      </c>
      <c r="E894">
        <v>392</v>
      </c>
      <c r="F894" s="8" t="s">
        <v>26</v>
      </c>
      <c r="G894">
        <v>29.1</v>
      </c>
      <c r="H894">
        <v>51.3</v>
      </c>
      <c r="I894" s="8" t="s">
        <v>28</v>
      </c>
      <c r="J894">
        <v>35</v>
      </c>
      <c r="K894">
        <v>434</v>
      </c>
      <c r="L894">
        <v>7</v>
      </c>
      <c r="M894" s="8" t="s">
        <v>19</v>
      </c>
      <c r="N894">
        <v>70.8</v>
      </c>
      <c r="O894">
        <v>249</v>
      </c>
      <c r="P894">
        <v>0</v>
      </c>
      <c r="Q894">
        <v>9</v>
      </c>
      <c r="R894">
        <v>2024</v>
      </c>
      <c r="S894">
        <v>5</v>
      </c>
      <c r="T894" s="8" t="s">
        <v>91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</row>
    <row r="895" spans="1:26" x14ac:dyDescent="0.25">
      <c r="A895" s="1">
        <v>45656.297789351855</v>
      </c>
      <c r="B895" s="8" t="s">
        <v>16</v>
      </c>
      <c r="C895">
        <v>-27.894400000000001</v>
      </c>
      <c r="D895">
        <v>104.517</v>
      </c>
      <c r="E895">
        <v>145</v>
      </c>
      <c r="F895" s="8" t="s">
        <v>26</v>
      </c>
      <c r="G895">
        <v>29.8</v>
      </c>
      <c r="H895">
        <v>75.7</v>
      </c>
      <c r="I895" s="8" t="s">
        <v>18</v>
      </c>
      <c r="J895">
        <v>60</v>
      </c>
      <c r="K895">
        <v>287</v>
      </c>
      <c r="L895">
        <v>9</v>
      </c>
      <c r="M895" s="8" t="s">
        <v>27</v>
      </c>
      <c r="N895">
        <v>87.6</v>
      </c>
      <c r="O895">
        <v>216</v>
      </c>
      <c r="P895">
        <v>0</v>
      </c>
      <c r="Q895">
        <v>12</v>
      </c>
      <c r="R895">
        <v>2024</v>
      </c>
      <c r="S895">
        <v>1</v>
      </c>
      <c r="T895" s="8" t="s">
        <v>93</v>
      </c>
      <c r="U895">
        <v>0</v>
      </c>
      <c r="V895">
        <v>1</v>
      </c>
      <c r="W895">
        <v>1</v>
      </c>
      <c r="X895">
        <v>0</v>
      </c>
      <c r="Y895">
        <v>1</v>
      </c>
      <c r="Z895">
        <v>1</v>
      </c>
    </row>
    <row r="896" spans="1:26" x14ac:dyDescent="0.25">
      <c r="A896" s="1">
        <v>45612.69326388889</v>
      </c>
      <c r="B896" s="8" t="s">
        <v>29</v>
      </c>
      <c r="C896">
        <v>77.020600000000002</v>
      </c>
      <c r="D896">
        <v>0.82210000000000005</v>
      </c>
      <c r="E896">
        <v>485</v>
      </c>
      <c r="F896" s="8" t="s">
        <v>17</v>
      </c>
      <c r="G896">
        <v>24.6</v>
      </c>
      <c r="H896">
        <v>50.3</v>
      </c>
      <c r="I896" s="8" t="s">
        <v>22</v>
      </c>
      <c r="J896">
        <v>11</v>
      </c>
      <c r="K896">
        <v>155</v>
      </c>
      <c r="L896">
        <v>1</v>
      </c>
      <c r="M896" s="8" t="s">
        <v>31</v>
      </c>
      <c r="N896">
        <v>84.9</v>
      </c>
      <c r="O896">
        <v>161</v>
      </c>
      <c r="P896">
        <v>1</v>
      </c>
      <c r="Q896">
        <v>11</v>
      </c>
      <c r="R896">
        <v>2024</v>
      </c>
      <c r="S896">
        <v>6</v>
      </c>
      <c r="T896" s="8" t="s">
        <v>91</v>
      </c>
      <c r="U896">
        <v>1</v>
      </c>
      <c r="V896">
        <v>2</v>
      </c>
      <c r="W896">
        <v>2</v>
      </c>
      <c r="X896">
        <v>1</v>
      </c>
      <c r="Y896">
        <v>0</v>
      </c>
      <c r="Z896">
        <v>0</v>
      </c>
    </row>
    <row r="897" spans="1:26" x14ac:dyDescent="0.25">
      <c r="A897" s="1">
        <v>45451.381365740737</v>
      </c>
      <c r="B897" s="8" t="s">
        <v>29</v>
      </c>
      <c r="C897">
        <v>72.331100000000006</v>
      </c>
      <c r="D897">
        <v>-105.9002</v>
      </c>
      <c r="E897">
        <v>312</v>
      </c>
      <c r="F897" s="8" t="s">
        <v>17</v>
      </c>
      <c r="G897">
        <v>19.100000000000001</v>
      </c>
      <c r="H897">
        <v>52</v>
      </c>
      <c r="I897" s="8" t="s">
        <v>18</v>
      </c>
      <c r="J897">
        <v>50</v>
      </c>
      <c r="K897">
        <v>263</v>
      </c>
      <c r="L897">
        <v>2</v>
      </c>
      <c r="M897" s="8" t="s">
        <v>19</v>
      </c>
      <c r="N897">
        <v>87.6</v>
      </c>
      <c r="O897">
        <v>123</v>
      </c>
      <c r="P897">
        <v>1</v>
      </c>
      <c r="Q897">
        <v>6</v>
      </c>
      <c r="R897">
        <v>2024</v>
      </c>
      <c r="S897">
        <v>6</v>
      </c>
      <c r="T897" s="8" t="s">
        <v>92</v>
      </c>
      <c r="U897">
        <v>1</v>
      </c>
      <c r="V897">
        <v>2</v>
      </c>
      <c r="W897">
        <v>1</v>
      </c>
      <c r="X897">
        <v>0</v>
      </c>
      <c r="Y897">
        <v>0</v>
      </c>
      <c r="Z897">
        <v>1</v>
      </c>
    </row>
    <row r="898" spans="1:26" x14ac:dyDescent="0.25">
      <c r="A898" s="1">
        <v>45406.748136574075</v>
      </c>
      <c r="B898" s="8" t="s">
        <v>20</v>
      </c>
      <c r="C898">
        <v>-30.420400000000001</v>
      </c>
      <c r="D898">
        <v>70.999799999999993</v>
      </c>
      <c r="E898">
        <v>286</v>
      </c>
      <c r="F898" s="8" t="s">
        <v>21</v>
      </c>
      <c r="G898">
        <v>25.1</v>
      </c>
      <c r="H898">
        <v>56.2</v>
      </c>
      <c r="I898" s="8" t="s">
        <v>18</v>
      </c>
      <c r="J898">
        <v>50</v>
      </c>
      <c r="K898">
        <v>408</v>
      </c>
      <c r="L898">
        <v>10</v>
      </c>
      <c r="M898" s="8" t="s">
        <v>27</v>
      </c>
      <c r="N898">
        <v>99.3</v>
      </c>
      <c r="O898">
        <v>148</v>
      </c>
      <c r="P898">
        <v>0</v>
      </c>
      <c r="Q898">
        <v>4</v>
      </c>
      <c r="R898">
        <v>2024</v>
      </c>
      <c r="S898">
        <v>3</v>
      </c>
      <c r="T898" s="8" t="s">
        <v>90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1</v>
      </c>
    </row>
    <row r="899" spans="1:26" x14ac:dyDescent="0.25">
      <c r="A899" s="1">
        <v>45352.856111111112</v>
      </c>
      <c r="B899" s="8" t="s">
        <v>33</v>
      </c>
      <c r="C899">
        <v>-71.527900000000002</v>
      </c>
      <c r="D899">
        <v>-171.94280000000001</v>
      </c>
      <c r="E899">
        <v>396</v>
      </c>
      <c r="F899" s="8" t="s">
        <v>21</v>
      </c>
      <c r="G899">
        <v>23</v>
      </c>
      <c r="H899">
        <v>61.1</v>
      </c>
      <c r="I899" s="8" t="s">
        <v>28</v>
      </c>
      <c r="J899">
        <v>14</v>
      </c>
      <c r="K899">
        <v>439</v>
      </c>
      <c r="L899">
        <v>8</v>
      </c>
      <c r="M899" s="8" t="s">
        <v>19</v>
      </c>
      <c r="N899">
        <v>91.9</v>
      </c>
      <c r="O899">
        <v>119</v>
      </c>
      <c r="P899">
        <v>0</v>
      </c>
      <c r="Q899">
        <v>3</v>
      </c>
      <c r="R899">
        <v>2024</v>
      </c>
      <c r="S899">
        <v>5</v>
      </c>
      <c r="T899" s="8" t="s">
        <v>90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1:26" x14ac:dyDescent="0.25">
      <c r="A900" s="1">
        <v>45345.778182870374</v>
      </c>
      <c r="B900" s="8" t="s">
        <v>35</v>
      </c>
      <c r="C900">
        <v>-53.249200000000002</v>
      </c>
      <c r="D900">
        <v>-17.117999999999999</v>
      </c>
      <c r="E900">
        <v>352</v>
      </c>
      <c r="F900" s="8" t="s">
        <v>26</v>
      </c>
      <c r="G900">
        <v>26.6</v>
      </c>
      <c r="H900">
        <v>70.3</v>
      </c>
      <c r="I900" s="8" t="s">
        <v>18</v>
      </c>
      <c r="J900">
        <v>12</v>
      </c>
      <c r="K900">
        <v>260</v>
      </c>
      <c r="L900">
        <v>7</v>
      </c>
      <c r="M900" s="8" t="s">
        <v>27</v>
      </c>
      <c r="N900">
        <v>77.400000000000006</v>
      </c>
      <c r="O900">
        <v>267</v>
      </c>
      <c r="P900">
        <v>0</v>
      </c>
      <c r="Q900">
        <v>2</v>
      </c>
      <c r="R900">
        <v>2024</v>
      </c>
      <c r="S900">
        <v>5</v>
      </c>
      <c r="T900" s="8" t="s">
        <v>93</v>
      </c>
      <c r="U900">
        <v>1</v>
      </c>
      <c r="V900">
        <v>1</v>
      </c>
      <c r="W900">
        <v>1</v>
      </c>
      <c r="X900">
        <v>0</v>
      </c>
      <c r="Y900">
        <v>0</v>
      </c>
      <c r="Z900">
        <v>0</v>
      </c>
    </row>
    <row r="901" spans="1:26" x14ac:dyDescent="0.25">
      <c r="A901" s="1">
        <v>45560.218495370369</v>
      </c>
      <c r="B901" s="8" t="s">
        <v>16</v>
      </c>
      <c r="C901">
        <v>-30.807600000000001</v>
      </c>
      <c r="D901">
        <v>-167.47559999999999</v>
      </c>
      <c r="E901">
        <v>410</v>
      </c>
      <c r="F901" s="8" t="s">
        <v>26</v>
      </c>
      <c r="G901">
        <v>28.4</v>
      </c>
      <c r="H901">
        <v>52.7</v>
      </c>
      <c r="I901" s="8" t="s">
        <v>18</v>
      </c>
      <c r="J901">
        <v>48</v>
      </c>
      <c r="K901">
        <v>352</v>
      </c>
      <c r="L901">
        <v>8</v>
      </c>
      <c r="M901" s="8" t="s">
        <v>23</v>
      </c>
      <c r="N901">
        <v>95.5</v>
      </c>
      <c r="O901">
        <v>213</v>
      </c>
      <c r="P901">
        <v>0</v>
      </c>
      <c r="Q901">
        <v>9</v>
      </c>
      <c r="R901">
        <v>2024</v>
      </c>
      <c r="S901">
        <v>3</v>
      </c>
      <c r="T901" s="8" t="s">
        <v>91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</row>
    <row r="902" spans="1:26" x14ac:dyDescent="0.25">
      <c r="A902" s="1">
        <v>45360.799363425926</v>
      </c>
      <c r="B902" s="8" t="s">
        <v>24</v>
      </c>
      <c r="C902">
        <v>-44.764000000000003</v>
      </c>
      <c r="D902">
        <v>-118.3579</v>
      </c>
      <c r="E902">
        <v>484</v>
      </c>
      <c r="F902" s="8" t="s">
        <v>17</v>
      </c>
      <c r="G902">
        <v>22.8</v>
      </c>
      <c r="H902">
        <v>53.7</v>
      </c>
      <c r="I902" s="8" t="s">
        <v>28</v>
      </c>
      <c r="J902">
        <v>18</v>
      </c>
      <c r="K902">
        <v>176</v>
      </c>
      <c r="L902">
        <v>4</v>
      </c>
      <c r="M902" s="8" t="s">
        <v>23</v>
      </c>
      <c r="N902">
        <v>73.7</v>
      </c>
      <c r="O902">
        <v>131</v>
      </c>
      <c r="P902">
        <v>1</v>
      </c>
      <c r="Q902">
        <v>3</v>
      </c>
      <c r="R902">
        <v>2024</v>
      </c>
      <c r="S902">
        <v>6</v>
      </c>
      <c r="T902" s="8" t="s">
        <v>90</v>
      </c>
      <c r="U902">
        <v>1</v>
      </c>
      <c r="V902">
        <v>2</v>
      </c>
      <c r="W902">
        <v>0</v>
      </c>
      <c r="X902">
        <v>0</v>
      </c>
      <c r="Y902">
        <v>0</v>
      </c>
      <c r="Z902">
        <v>0</v>
      </c>
    </row>
    <row r="903" spans="1:26" x14ac:dyDescent="0.25">
      <c r="A903" s="1">
        <v>45320.621493055558</v>
      </c>
      <c r="B903" s="8" t="s">
        <v>35</v>
      </c>
      <c r="C903">
        <v>47.574300000000001</v>
      </c>
      <c r="D903">
        <v>144.99799999999999</v>
      </c>
      <c r="E903">
        <v>152</v>
      </c>
      <c r="F903" s="8" t="s">
        <v>21</v>
      </c>
      <c r="G903">
        <v>18.7</v>
      </c>
      <c r="H903">
        <v>68.599999999999994</v>
      </c>
      <c r="I903" s="8" t="s">
        <v>28</v>
      </c>
      <c r="J903">
        <v>51</v>
      </c>
      <c r="K903">
        <v>483</v>
      </c>
      <c r="L903">
        <v>2</v>
      </c>
      <c r="M903" s="8" t="s">
        <v>23</v>
      </c>
      <c r="N903">
        <v>87.8</v>
      </c>
      <c r="O903">
        <v>163</v>
      </c>
      <c r="P903">
        <v>0</v>
      </c>
      <c r="Q903">
        <v>1</v>
      </c>
      <c r="R903">
        <v>2024</v>
      </c>
      <c r="S903">
        <v>1</v>
      </c>
      <c r="T903" s="8" t="s">
        <v>93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 x14ac:dyDescent="0.25">
      <c r="A904" s="1">
        <v>45572.745775462965</v>
      </c>
      <c r="B904" s="8" t="s">
        <v>34</v>
      </c>
      <c r="C904">
        <v>-23.2761</v>
      </c>
      <c r="D904">
        <v>-88.069599999999994</v>
      </c>
      <c r="E904">
        <v>329</v>
      </c>
      <c r="F904" s="8" t="s">
        <v>26</v>
      </c>
      <c r="G904">
        <v>27.3</v>
      </c>
      <c r="H904">
        <v>68.400000000000006</v>
      </c>
      <c r="I904" s="8" t="s">
        <v>18</v>
      </c>
      <c r="J904">
        <v>57</v>
      </c>
      <c r="K904">
        <v>418</v>
      </c>
      <c r="L904">
        <v>1</v>
      </c>
      <c r="M904" s="8" t="s">
        <v>27</v>
      </c>
      <c r="N904">
        <v>90</v>
      </c>
      <c r="O904">
        <v>101</v>
      </c>
      <c r="P904">
        <v>0</v>
      </c>
      <c r="Q904">
        <v>10</v>
      </c>
      <c r="R904">
        <v>2024</v>
      </c>
      <c r="S904">
        <v>1</v>
      </c>
      <c r="T904" s="8" t="s">
        <v>91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</row>
    <row r="905" spans="1:26" x14ac:dyDescent="0.25">
      <c r="A905" s="1">
        <v>45582.641504629632</v>
      </c>
      <c r="B905" s="8" t="s">
        <v>33</v>
      </c>
      <c r="C905">
        <v>-18.829499999999999</v>
      </c>
      <c r="D905">
        <v>76.864500000000007</v>
      </c>
      <c r="E905">
        <v>314</v>
      </c>
      <c r="F905" s="8" t="s">
        <v>17</v>
      </c>
      <c r="G905">
        <v>23.8</v>
      </c>
      <c r="H905">
        <v>63.7</v>
      </c>
      <c r="I905" s="8" t="s">
        <v>18</v>
      </c>
      <c r="J905">
        <v>41</v>
      </c>
      <c r="K905">
        <v>117</v>
      </c>
      <c r="L905">
        <v>8</v>
      </c>
      <c r="M905" s="8" t="s">
        <v>19</v>
      </c>
      <c r="N905">
        <v>69.5</v>
      </c>
      <c r="O905">
        <v>147</v>
      </c>
      <c r="P905">
        <v>1</v>
      </c>
      <c r="Q905">
        <v>10</v>
      </c>
      <c r="R905">
        <v>2024</v>
      </c>
      <c r="S905">
        <v>4</v>
      </c>
      <c r="T905" s="8" t="s">
        <v>91</v>
      </c>
      <c r="U905">
        <v>0</v>
      </c>
      <c r="V905">
        <v>2</v>
      </c>
      <c r="W905">
        <v>1</v>
      </c>
      <c r="X905">
        <v>0</v>
      </c>
      <c r="Y905">
        <v>0</v>
      </c>
      <c r="Z905">
        <v>0</v>
      </c>
    </row>
    <row r="906" spans="1:26" x14ac:dyDescent="0.25">
      <c r="A906" s="1">
        <v>45321.040752314817</v>
      </c>
      <c r="B906" s="8" t="s">
        <v>33</v>
      </c>
      <c r="C906">
        <v>58.319699999999997</v>
      </c>
      <c r="D906">
        <v>6.9800000000000001E-2</v>
      </c>
      <c r="E906">
        <v>121</v>
      </c>
      <c r="F906" s="8" t="s">
        <v>21</v>
      </c>
      <c r="G906">
        <v>27.2</v>
      </c>
      <c r="H906">
        <v>71.099999999999994</v>
      </c>
      <c r="I906" s="8" t="s">
        <v>18</v>
      </c>
      <c r="J906">
        <v>44</v>
      </c>
      <c r="K906">
        <v>340</v>
      </c>
      <c r="L906">
        <v>8</v>
      </c>
      <c r="M906" s="8" t="s">
        <v>19</v>
      </c>
      <c r="N906">
        <v>74.599999999999994</v>
      </c>
      <c r="O906">
        <v>286</v>
      </c>
      <c r="P906">
        <v>0</v>
      </c>
      <c r="Q906">
        <v>1</v>
      </c>
      <c r="R906">
        <v>2024</v>
      </c>
      <c r="S906">
        <v>2</v>
      </c>
      <c r="T906" s="8" t="s">
        <v>93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</row>
    <row r="907" spans="1:26" x14ac:dyDescent="0.25">
      <c r="A907" s="1">
        <v>45519.336377314816</v>
      </c>
      <c r="B907" s="8" t="s">
        <v>35</v>
      </c>
      <c r="C907">
        <v>-84.878799999999998</v>
      </c>
      <c r="D907">
        <v>-37.260899999999999</v>
      </c>
      <c r="E907">
        <v>428</v>
      </c>
      <c r="F907" s="8" t="s">
        <v>26</v>
      </c>
      <c r="G907">
        <v>24.1</v>
      </c>
      <c r="H907">
        <v>58.4</v>
      </c>
      <c r="I907" s="8" t="s">
        <v>18</v>
      </c>
      <c r="J907">
        <v>11</v>
      </c>
      <c r="K907">
        <v>111</v>
      </c>
      <c r="L907">
        <v>6</v>
      </c>
      <c r="M907" s="8" t="s">
        <v>23</v>
      </c>
      <c r="N907">
        <v>81.099999999999994</v>
      </c>
      <c r="O907">
        <v>111</v>
      </c>
      <c r="P907">
        <v>0</v>
      </c>
      <c r="Q907">
        <v>8</v>
      </c>
      <c r="R907">
        <v>2024</v>
      </c>
      <c r="S907">
        <v>4</v>
      </c>
      <c r="T907" s="8" t="s">
        <v>92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0</v>
      </c>
    </row>
    <row r="908" spans="1:26" x14ac:dyDescent="0.25">
      <c r="A908" s="1">
        <v>45328.376134259262</v>
      </c>
      <c r="B908" s="8" t="s">
        <v>24</v>
      </c>
      <c r="C908">
        <v>28.387</v>
      </c>
      <c r="D908">
        <v>33.482700000000001</v>
      </c>
      <c r="E908">
        <v>113</v>
      </c>
      <c r="F908" s="8" t="s">
        <v>21</v>
      </c>
      <c r="G908">
        <v>23</v>
      </c>
      <c r="H908">
        <v>73.400000000000006</v>
      </c>
      <c r="I908" s="8" t="s">
        <v>18</v>
      </c>
      <c r="J908">
        <v>50</v>
      </c>
      <c r="K908">
        <v>309</v>
      </c>
      <c r="L908">
        <v>8</v>
      </c>
      <c r="M908" s="8" t="s">
        <v>27</v>
      </c>
      <c r="N908">
        <v>71.7</v>
      </c>
      <c r="O908">
        <v>293</v>
      </c>
      <c r="P908">
        <v>0</v>
      </c>
      <c r="Q908">
        <v>2</v>
      </c>
      <c r="R908">
        <v>2024</v>
      </c>
      <c r="S908">
        <v>2</v>
      </c>
      <c r="T908" s="8" t="s">
        <v>93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1</v>
      </c>
    </row>
    <row r="909" spans="1:26" x14ac:dyDescent="0.25">
      <c r="A909" s="1">
        <v>45299.610879629632</v>
      </c>
      <c r="B909" s="8" t="s">
        <v>16</v>
      </c>
      <c r="C909">
        <v>87.018000000000001</v>
      </c>
      <c r="D909">
        <v>-27.305299999999999</v>
      </c>
      <c r="E909">
        <v>201</v>
      </c>
      <c r="F909" s="8" t="s">
        <v>17</v>
      </c>
      <c r="G909">
        <v>27.9</v>
      </c>
      <c r="H909">
        <v>64.400000000000006</v>
      </c>
      <c r="I909" s="8" t="s">
        <v>28</v>
      </c>
      <c r="J909">
        <v>30</v>
      </c>
      <c r="K909">
        <v>198</v>
      </c>
      <c r="L909">
        <v>7</v>
      </c>
      <c r="M909" s="8" t="s">
        <v>23</v>
      </c>
      <c r="N909">
        <v>93.9</v>
      </c>
      <c r="O909">
        <v>276</v>
      </c>
      <c r="P909">
        <v>1</v>
      </c>
      <c r="Q909">
        <v>1</v>
      </c>
      <c r="R909">
        <v>2024</v>
      </c>
      <c r="S909">
        <v>1</v>
      </c>
      <c r="T909" s="8" t="s">
        <v>93</v>
      </c>
      <c r="U909">
        <v>0</v>
      </c>
      <c r="V909">
        <v>2</v>
      </c>
      <c r="W909">
        <v>0</v>
      </c>
      <c r="X909">
        <v>0</v>
      </c>
      <c r="Y909">
        <v>0</v>
      </c>
      <c r="Z909">
        <v>0</v>
      </c>
    </row>
    <row r="910" spans="1:26" x14ac:dyDescent="0.25">
      <c r="A910" s="1">
        <v>45393.250648148147</v>
      </c>
      <c r="B910" s="8" t="s">
        <v>32</v>
      </c>
      <c r="C910">
        <v>-9.7508999999999997</v>
      </c>
      <c r="D910">
        <v>-86.298100000000005</v>
      </c>
      <c r="E910">
        <v>227</v>
      </c>
      <c r="F910" s="8" t="s">
        <v>17</v>
      </c>
      <c r="G910">
        <v>28.3</v>
      </c>
      <c r="H910">
        <v>62.8</v>
      </c>
      <c r="I910" s="8" t="s">
        <v>18</v>
      </c>
      <c r="J910">
        <v>30</v>
      </c>
      <c r="K910">
        <v>400</v>
      </c>
      <c r="L910">
        <v>4</v>
      </c>
      <c r="M910" s="8" t="s">
        <v>27</v>
      </c>
      <c r="N910">
        <v>68.2</v>
      </c>
      <c r="O910">
        <v>194</v>
      </c>
      <c r="P910">
        <v>1</v>
      </c>
      <c r="Q910">
        <v>4</v>
      </c>
      <c r="R910">
        <v>2024</v>
      </c>
      <c r="S910">
        <v>4</v>
      </c>
      <c r="T910" s="8" t="s">
        <v>90</v>
      </c>
      <c r="U910">
        <v>0</v>
      </c>
      <c r="V910">
        <v>2</v>
      </c>
      <c r="W910">
        <v>1</v>
      </c>
      <c r="X910">
        <v>0</v>
      </c>
      <c r="Y910">
        <v>0</v>
      </c>
      <c r="Z910">
        <v>0</v>
      </c>
    </row>
    <row r="911" spans="1:26" x14ac:dyDescent="0.25">
      <c r="A911" s="1">
        <v>45371.897557870368</v>
      </c>
      <c r="B911" s="8" t="s">
        <v>30</v>
      </c>
      <c r="C911">
        <v>79.821200000000005</v>
      </c>
      <c r="D911">
        <v>-21.697500000000002</v>
      </c>
      <c r="E911">
        <v>445</v>
      </c>
      <c r="F911" s="8" t="s">
        <v>26</v>
      </c>
      <c r="G911">
        <v>25.3</v>
      </c>
      <c r="H911">
        <v>57.9</v>
      </c>
      <c r="I911" s="8" t="s">
        <v>18</v>
      </c>
      <c r="J911">
        <v>38</v>
      </c>
      <c r="K911">
        <v>364</v>
      </c>
      <c r="L911">
        <v>1</v>
      </c>
      <c r="M911" s="8" t="s">
        <v>27</v>
      </c>
      <c r="N911">
        <v>93.6</v>
      </c>
      <c r="O911">
        <v>275</v>
      </c>
      <c r="P911">
        <v>0</v>
      </c>
      <c r="Q911">
        <v>3</v>
      </c>
      <c r="R911">
        <v>2024</v>
      </c>
      <c r="S911">
        <v>3</v>
      </c>
      <c r="T911" s="8" t="s">
        <v>90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0</v>
      </c>
    </row>
    <row r="912" spans="1:26" x14ac:dyDescent="0.25">
      <c r="A912" s="1">
        <v>45411.438287037039</v>
      </c>
      <c r="B912" s="8" t="s">
        <v>30</v>
      </c>
      <c r="C912">
        <v>33.002699999999997</v>
      </c>
      <c r="D912">
        <v>-70.585400000000007</v>
      </c>
      <c r="E912">
        <v>407</v>
      </c>
      <c r="F912" s="8" t="s">
        <v>21</v>
      </c>
      <c r="G912">
        <v>29.6</v>
      </c>
      <c r="H912">
        <v>64.3</v>
      </c>
      <c r="I912" s="8" t="s">
        <v>22</v>
      </c>
      <c r="J912">
        <v>10</v>
      </c>
      <c r="K912">
        <v>102</v>
      </c>
      <c r="L912">
        <v>6</v>
      </c>
      <c r="M912" s="8" t="s">
        <v>19</v>
      </c>
      <c r="N912">
        <v>98.5</v>
      </c>
      <c r="O912">
        <v>133</v>
      </c>
      <c r="P912">
        <v>1</v>
      </c>
      <c r="Q912">
        <v>4</v>
      </c>
      <c r="R912">
        <v>2024</v>
      </c>
      <c r="S912">
        <v>1</v>
      </c>
      <c r="T912" s="8" t="s">
        <v>90</v>
      </c>
      <c r="U912">
        <v>0</v>
      </c>
      <c r="V912">
        <v>0</v>
      </c>
      <c r="W912">
        <v>2</v>
      </c>
      <c r="X912">
        <v>1</v>
      </c>
      <c r="Y912">
        <v>0</v>
      </c>
      <c r="Z912">
        <v>0</v>
      </c>
    </row>
    <row r="913" spans="1:26" x14ac:dyDescent="0.25">
      <c r="A913" s="1">
        <v>45646.466990740744</v>
      </c>
      <c r="B913" s="8" t="s">
        <v>32</v>
      </c>
      <c r="C913">
        <v>-12.452</v>
      </c>
      <c r="D913">
        <v>-174.33969999999999</v>
      </c>
      <c r="E913">
        <v>135</v>
      </c>
      <c r="F913" s="8" t="s">
        <v>21</v>
      </c>
      <c r="G913">
        <v>22.9</v>
      </c>
      <c r="H913">
        <v>60.9</v>
      </c>
      <c r="I913" s="8" t="s">
        <v>22</v>
      </c>
      <c r="J913">
        <v>42</v>
      </c>
      <c r="K913">
        <v>379</v>
      </c>
      <c r="L913">
        <v>8</v>
      </c>
      <c r="M913" s="8" t="s">
        <v>27</v>
      </c>
      <c r="N913">
        <v>93.2</v>
      </c>
      <c r="O913">
        <v>159</v>
      </c>
      <c r="P913">
        <v>1</v>
      </c>
      <c r="Q913">
        <v>12</v>
      </c>
      <c r="R913">
        <v>2024</v>
      </c>
      <c r="S913">
        <v>5</v>
      </c>
      <c r="T913" s="8" t="s">
        <v>93</v>
      </c>
      <c r="U913">
        <v>1</v>
      </c>
      <c r="V913">
        <v>0</v>
      </c>
      <c r="W913">
        <v>2</v>
      </c>
      <c r="X913">
        <v>1</v>
      </c>
      <c r="Y913">
        <v>0</v>
      </c>
      <c r="Z913">
        <v>0</v>
      </c>
    </row>
    <row r="914" spans="1:26" x14ac:dyDescent="0.25">
      <c r="A914" s="1">
        <v>45478.78806712963</v>
      </c>
      <c r="B914" s="8" t="s">
        <v>35</v>
      </c>
      <c r="C914">
        <v>-19.617100000000001</v>
      </c>
      <c r="D914">
        <v>-163.0539</v>
      </c>
      <c r="E914">
        <v>160</v>
      </c>
      <c r="F914" s="8" t="s">
        <v>26</v>
      </c>
      <c r="G914">
        <v>22.3</v>
      </c>
      <c r="H914">
        <v>69.7</v>
      </c>
      <c r="I914" s="8" t="s">
        <v>18</v>
      </c>
      <c r="J914">
        <v>37</v>
      </c>
      <c r="K914">
        <v>255</v>
      </c>
      <c r="L914">
        <v>7</v>
      </c>
      <c r="M914" s="8" t="s">
        <v>27</v>
      </c>
      <c r="N914">
        <v>66.8</v>
      </c>
      <c r="O914">
        <v>170</v>
      </c>
      <c r="P914">
        <v>0</v>
      </c>
      <c r="Q914">
        <v>7</v>
      </c>
      <c r="R914">
        <v>2024</v>
      </c>
      <c r="S914">
        <v>5</v>
      </c>
      <c r="T914" s="8" t="s">
        <v>92</v>
      </c>
      <c r="U914">
        <v>1</v>
      </c>
      <c r="V914">
        <v>1</v>
      </c>
      <c r="W914">
        <v>1</v>
      </c>
      <c r="X914">
        <v>0</v>
      </c>
      <c r="Y914">
        <v>0</v>
      </c>
      <c r="Z914">
        <v>0</v>
      </c>
    </row>
    <row r="915" spans="1:26" x14ac:dyDescent="0.25">
      <c r="A915" s="1">
        <v>45349.068807870368</v>
      </c>
      <c r="B915" s="8" t="s">
        <v>34</v>
      </c>
      <c r="C915">
        <v>13.793900000000001</v>
      </c>
      <c r="D915">
        <v>25.2973</v>
      </c>
      <c r="E915">
        <v>472</v>
      </c>
      <c r="F915" s="8" t="s">
        <v>21</v>
      </c>
      <c r="G915">
        <v>22.7</v>
      </c>
      <c r="H915">
        <v>53</v>
      </c>
      <c r="I915" s="8" t="s">
        <v>22</v>
      </c>
      <c r="J915">
        <v>30</v>
      </c>
      <c r="K915">
        <v>389</v>
      </c>
      <c r="L915">
        <v>6</v>
      </c>
      <c r="M915" s="8" t="s">
        <v>23</v>
      </c>
      <c r="N915">
        <v>86.8</v>
      </c>
      <c r="O915">
        <v>232</v>
      </c>
      <c r="P915">
        <v>1</v>
      </c>
      <c r="Q915">
        <v>2</v>
      </c>
      <c r="R915">
        <v>2024</v>
      </c>
      <c r="S915">
        <v>2</v>
      </c>
      <c r="T915" s="8" t="s">
        <v>93</v>
      </c>
      <c r="U915">
        <v>0</v>
      </c>
      <c r="V915">
        <v>0</v>
      </c>
      <c r="W915">
        <v>2</v>
      </c>
      <c r="X915">
        <v>1</v>
      </c>
      <c r="Y915">
        <v>0</v>
      </c>
      <c r="Z915">
        <v>0</v>
      </c>
    </row>
    <row r="916" spans="1:26" x14ac:dyDescent="0.25">
      <c r="A916" s="1">
        <v>45576.816886574074</v>
      </c>
      <c r="B916" s="8" t="s">
        <v>24</v>
      </c>
      <c r="C916">
        <v>-46.8643</v>
      </c>
      <c r="D916">
        <v>158.72929999999999</v>
      </c>
      <c r="E916">
        <v>408</v>
      </c>
      <c r="F916" s="8" t="s">
        <v>21</v>
      </c>
      <c r="G916">
        <v>19.5</v>
      </c>
      <c r="H916">
        <v>65.2</v>
      </c>
      <c r="I916" s="8" t="s">
        <v>18</v>
      </c>
      <c r="J916">
        <v>25</v>
      </c>
      <c r="K916">
        <v>230</v>
      </c>
      <c r="L916">
        <v>3</v>
      </c>
      <c r="M916" s="8" t="s">
        <v>27</v>
      </c>
      <c r="N916">
        <v>61.9</v>
      </c>
      <c r="O916">
        <v>245</v>
      </c>
      <c r="P916">
        <v>0</v>
      </c>
      <c r="Q916">
        <v>10</v>
      </c>
      <c r="R916">
        <v>2024</v>
      </c>
      <c r="S916">
        <v>5</v>
      </c>
      <c r="T916" s="8" t="s">
        <v>91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0</v>
      </c>
    </row>
    <row r="917" spans="1:26" x14ac:dyDescent="0.25">
      <c r="A917" s="1">
        <v>45654.433067129627</v>
      </c>
      <c r="B917" s="8" t="s">
        <v>29</v>
      </c>
      <c r="C917">
        <v>-35.245199999999997</v>
      </c>
      <c r="D917">
        <v>78.254400000000004</v>
      </c>
      <c r="E917">
        <v>306</v>
      </c>
      <c r="F917" s="8" t="s">
        <v>17</v>
      </c>
      <c r="G917">
        <v>26.1</v>
      </c>
      <c r="H917">
        <v>74.8</v>
      </c>
      <c r="I917" s="8" t="s">
        <v>22</v>
      </c>
      <c r="J917">
        <v>37</v>
      </c>
      <c r="K917">
        <v>232</v>
      </c>
      <c r="L917">
        <v>7</v>
      </c>
      <c r="M917" s="8" t="s">
        <v>19</v>
      </c>
      <c r="N917">
        <v>77.099999999999994</v>
      </c>
      <c r="O917">
        <v>289</v>
      </c>
      <c r="P917">
        <v>1</v>
      </c>
      <c r="Q917">
        <v>12</v>
      </c>
      <c r="R917">
        <v>2024</v>
      </c>
      <c r="S917">
        <v>6</v>
      </c>
      <c r="T917" s="8" t="s">
        <v>93</v>
      </c>
      <c r="U917">
        <v>1</v>
      </c>
      <c r="V917">
        <v>2</v>
      </c>
      <c r="W917">
        <v>2</v>
      </c>
      <c r="X917">
        <v>1</v>
      </c>
      <c r="Y917">
        <v>0</v>
      </c>
      <c r="Z917">
        <v>0</v>
      </c>
    </row>
    <row r="918" spans="1:26" x14ac:dyDescent="0.25">
      <c r="A918" s="1">
        <v>45319.096435185187</v>
      </c>
      <c r="B918" s="8" t="s">
        <v>33</v>
      </c>
      <c r="C918">
        <v>17.544799999999999</v>
      </c>
      <c r="D918">
        <v>-68.5291</v>
      </c>
      <c r="E918">
        <v>107</v>
      </c>
      <c r="F918" s="8" t="s">
        <v>21</v>
      </c>
      <c r="G918">
        <v>28.6</v>
      </c>
      <c r="H918">
        <v>54.6</v>
      </c>
      <c r="I918" s="8" t="s">
        <v>18</v>
      </c>
      <c r="J918">
        <v>52</v>
      </c>
      <c r="K918">
        <v>180</v>
      </c>
      <c r="L918">
        <v>1</v>
      </c>
      <c r="M918" s="8" t="s">
        <v>27</v>
      </c>
      <c r="N918">
        <v>89.8</v>
      </c>
      <c r="O918">
        <v>194</v>
      </c>
      <c r="P918">
        <v>0</v>
      </c>
      <c r="Q918">
        <v>1</v>
      </c>
      <c r="R918">
        <v>2024</v>
      </c>
      <c r="S918">
        <v>0</v>
      </c>
      <c r="T918" s="8" t="s">
        <v>93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1</v>
      </c>
    </row>
    <row r="919" spans="1:26" x14ac:dyDescent="0.25">
      <c r="A919" s="1">
        <v>45576.22997685185</v>
      </c>
      <c r="B919" s="8" t="s">
        <v>30</v>
      </c>
      <c r="C919">
        <v>-87.140799999999999</v>
      </c>
      <c r="D919">
        <v>-147.3922</v>
      </c>
      <c r="E919">
        <v>155</v>
      </c>
      <c r="F919" s="8" t="s">
        <v>26</v>
      </c>
      <c r="G919">
        <v>26.9</v>
      </c>
      <c r="H919">
        <v>75</v>
      </c>
      <c r="I919" s="8" t="s">
        <v>18</v>
      </c>
      <c r="J919">
        <v>25</v>
      </c>
      <c r="K919">
        <v>446</v>
      </c>
      <c r="L919">
        <v>5</v>
      </c>
      <c r="M919" s="8" t="s">
        <v>31</v>
      </c>
      <c r="N919">
        <v>96.8</v>
      </c>
      <c r="O919">
        <v>176</v>
      </c>
      <c r="P919">
        <v>0</v>
      </c>
      <c r="Q919">
        <v>10</v>
      </c>
      <c r="R919">
        <v>2024</v>
      </c>
      <c r="S919">
        <v>5</v>
      </c>
      <c r="T919" s="8" t="s">
        <v>91</v>
      </c>
      <c r="U919">
        <v>1</v>
      </c>
      <c r="V919">
        <v>1</v>
      </c>
      <c r="W919">
        <v>1</v>
      </c>
      <c r="X919">
        <v>0</v>
      </c>
      <c r="Y919">
        <v>0</v>
      </c>
      <c r="Z919">
        <v>0</v>
      </c>
    </row>
    <row r="920" spans="1:26" x14ac:dyDescent="0.25">
      <c r="A920" s="1">
        <v>45572.572824074072</v>
      </c>
      <c r="B920" s="8" t="s">
        <v>24</v>
      </c>
      <c r="C920">
        <v>-73.549800000000005</v>
      </c>
      <c r="D920">
        <v>115.02679999999999</v>
      </c>
      <c r="E920">
        <v>414</v>
      </c>
      <c r="F920" s="8" t="s">
        <v>26</v>
      </c>
      <c r="G920">
        <v>26.8</v>
      </c>
      <c r="H920">
        <v>73.900000000000006</v>
      </c>
      <c r="I920" s="8" t="s">
        <v>22</v>
      </c>
      <c r="J920">
        <v>14</v>
      </c>
      <c r="K920">
        <v>130</v>
      </c>
      <c r="L920">
        <v>1</v>
      </c>
      <c r="M920" s="8" t="s">
        <v>31</v>
      </c>
      <c r="N920">
        <v>86.9</v>
      </c>
      <c r="O920">
        <v>267</v>
      </c>
      <c r="P920">
        <v>1</v>
      </c>
      <c r="Q920">
        <v>10</v>
      </c>
      <c r="R920">
        <v>2024</v>
      </c>
      <c r="S920">
        <v>1</v>
      </c>
      <c r="T920" s="8" t="s">
        <v>91</v>
      </c>
      <c r="U920">
        <v>0</v>
      </c>
      <c r="V920">
        <v>1</v>
      </c>
      <c r="W920">
        <v>2</v>
      </c>
      <c r="X920">
        <v>1</v>
      </c>
      <c r="Y920">
        <v>0</v>
      </c>
      <c r="Z920">
        <v>0</v>
      </c>
    </row>
    <row r="921" spans="1:26" x14ac:dyDescent="0.25">
      <c r="A921" s="1">
        <v>45450.442754629628</v>
      </c>
      <c r="B921" s="8" t="s">
        <v>34</v>
      </c>
      <c r="C921">
        <v>75.222999999999999</v>
      </c>
      <c r="D921">
        <v>158.86019999999999</v>
      </c>
      <c r="E921">
        <v>177</v>
      </c>
      <c r="F921" s="8" t="s">
        <v>17</v>
      </c>
      <c r="G921">
        <v>19.899999999999999</v>
      </c>
      <c r="H921">
        <v>58.4</v>
      </c>
      <c r="I921" s="8" t="s">
        <v>28</v>
      </c>
      <c r="J921">
        <v>57</v>
      </c>
      <c r="K921">
        <v>335</v>
      </c>
      <c r="L921">
        <v>5</v>
      </c>
      <c r="M921" s="8" t="s">
        <v>23</v>
      </c>
      <c r="N921">
        <v>98.6</v>
      </c>
      <c r="O921">
        <v>283</v>
      </c>
      <c r="P921">
        <v>1</v>
      </c>
      <c r="Q921">
        <v>6</v>
      </c>
      <c r="R921">
        <v>2024</v>
      </c>
      <c r="S921">
        <v>5</v>
      </c>
      <c r="T921" s="8" t="s">
        <v>92</v>
      </c>
      <c r="U921">
        <v>1</v>
      </c>
      <c r="V921">
        <v>2</v>
      </c>
      <c r="W921">
        <v>0</v>
      </c>
      <c r="X921">
        <v>0</v>
      </c>
      <c r="Y921">
        <v>0</v>
      </c>
      <c r="Z921">
        <v>1</v>
      </c>
    </row>
    <row r="922" spans="1:26" x14ac:dyDescent="0.25">
      <c r="A922" s="1">
        <v>45646.177141203705</v>
      </c>
      <c r="B922" s="8" t="s">
        <v>25</v>
      </c>
      <c r="C922">
        <v>-40.826700000000002</v>
      </c>
      <c r="D922">
        <v>51.467300000000002</v>
      </c>
      <c r="E922">
        <v>118</v>
      </c>
      <c r="F922" s="8" t="s">
        <v>26</v>
      </c>
      <c r="G922">
        <v>26.8</v>
      </c>
      <c r="H922">
        <v>65.400000000000006</v>
      </c>
      <c r="I922" s="8" t="s">
        <v>18</v>
      </c>
      <c r="J922">
        <v>21</v>
      </c>
      <c r="K922">
        <v>475</v>
      </c>
      <c r="L922">
        <v>1</v>
      </c>
      <c r="M922" s="8" t="s">
        <v>31</v>
      </c>
      <c r="N922">
        <v>96.9</v>
      </c>
      <c r="O922">
        <v>165</v>
      </c>
      <c r="P922">
        <v>0</v>
      </c>
      <c r="Q922">
        <v>12</v>
      </c>
      <c r="R922">
        <v>2024</v>
      </c>
      <c r="S922">
        <v>5</v>
      </c>
      <c r="T922" s="8" t="s">
        <v>93</v>
      </c>
      <c r="U922">
        <v>1</v>
      </c>
      <c r="V922">
        <v>1</v>
      </c>
      <c r="W922">
        <v>1</v>
      </c>
      <c r="X922">
        <v>0</v>
      </c>
      <c r="Y922">
        <v>0</v>
      </c>
      <c r="Z922">
        <v>0</v>
      </c>
    </row>
    <row r="923" spans="1:26" x14ac:dyDescent="0.25">
      <c r="A923" s="1">
        <v>45333.878738425927</v>
      </c>
      <c r="B923" s="8" t="s">
        <v>35</v>
      </c>
      <c r="C923">
        <v>-80.212900000000005</v>
      </c>
      <c r="D923">
        <v>116.4288</v>
      </c>
      <c r="E923">
        <v>438</v>
      </c>
      <c r="F923" s="8" t="s">
        <v>21</v>
      </c>
      <c r="G923">
        <v>25</v>
      </c>
      <c r="H923">
        <v>65.2</v>
      </c>
      <c r="I923" s="8" t="s">
        <v>18</v>
      </c>
      <c r="J923">
        <v>49</v>
      </c>
      <c r="K923">
        <v>421</v>
      </c>
      <c r="L923">
        <v>3</v>
      </c>
      <c r="M923" s="8" t="s">
        <v>19</v>
      </c>
      <c r="N923">
        <v>82.4</v>
      </c>
      <c r="O923">
        <v>273</v>
      </c>
      <c r="P923">
        <v>0</v>
      </c>
      <c r="Q923">
        <v>2</v>
      </c>
      <c r="R923">
        <v>2024</v>
      </c>
      <c r="S923">
        <v>0</v>
      </c>
      <c r="T923" s="8" t="s">
        <v>93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1</v>
      </c>
    </row>
    <row r="924" spans="1:26" x14ac:dyDescent="0.25">
      <c r="A924" s="1">
        <v>45344.838738425926</v>
      </c>
      <c r="B924" s="8" t="s">
        <v>35</v>
      </c>
      <c r="C924">
        <v>18.760999999999999</v>
      </c>
      <c r="D924">
        <v>139.95660000000001</v>
      </c>
      <c r="E924">
        <v>154</v>
      </c>
      <c r="F924" s="8" t="s">
        <v>17</v>
      </c>
      <c r="G924">
        <v>26.8</v>
      </c>
      <c r="H924">
        <v>56</v>
      </c>
      <c r="I924" s="8" t="s">
        <v>28</v>
      </c>
      <c r="J924">
        <v>13</v>
      </c>
      <c r="K924">
        <v>413</v>
      </c>
      <c r="L924">
        <v>8</v>
      </c>
      <c r="M924" s="8" t="s">
        <v>27</v>
      </c>
      <c r="N924">
        <v>73.8</v>
      </c>
      <c r="O924">
        <v>220</v>
      </c>
      <c r="P924">
        <v>1</v>
      </c>
      <c r="Q924">
        <v>2</v>
      </c>
      <c r="R924">
        <v>2024</v>
      </c>
      <c r="S924">
        <v>4</v>
      </c>
      <c r="T924" s="8" t="s">
        <v>93</v>
      </c>
      <c r="U924">
        <v>0</v>
      </c>
      <c r="V924">
        <v>2</v>
      </c>
      <c r="W924">
        <v>0</v>
      </c>
      <c r="X924">
        <v>0</v>
      </c>
      <c r="Y924">
        <v>0</v>
      </c>
      <c r="Z924">
        <v>0</v>
      </c>
    </row>
    <row r="925" spans="1:26" x14ac:dyDescent="0.25">
      <c r="A925" s="1">
        <v>45437.348749999997</v>
      </c>
      <c r="B925" s="8" t="s">
        <v>32</v>
      </c>
      <c r="C925">
        <v>9.1346000000000007</v>
      </c>
      <c r="D925">
        <v>9.0052000000000003</v>
      </c>
      <c r="E925">
        <v>320</v>
      </c>
      <c r="F925" s="8" t="s">
        <v>21</v>
      </c>
      <c r="G925">
        <v>24.3</v>
      </c>
      <c r="H925">
        <v>77</v>
      </c>
      <c r="I925" s="8" t="s">
        <v>28</v>
      </c>
      <c r="J925">
        <v>56</v>
      </c>
      <c r="K925">
        <v>410</v>
      </c>
      <c r="L925">
        <v>3</v>
      </c>
      <c r="M925" s="8" t="s">
        <v>27</v>
      </c>
      <c r="N925">
        <v>73.400000000000006</v>
      </c>
      <c r="O925">
        <v>141</v>
      </c>
      <c r="P925">
        <v>0</v>
      </c>
      <c r="Q925">
        <v>5</v>
      </c>
      <c r="R925">
        <v>2024</v>
      </c>
      <c r="S925">
        <v>6</v>
      </c>
      <c r="T925" s="8" t="s">
        <v>90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1</v>
      </c>
    </row>
    <row r="926" spans="1:26" x14ac:dyDescent="0.25">
      <c r="A926" s="1">
        <v>45476.514594907407</v>
      </c>
      <c r="B926" s="8" t="s">
        <v>35</v>
      </c>
      <c r="C926">
        <v>-28.694199999999999</v>
      </c>
      <c r="D926">
        <v>-75.424400000000006</v>
      </c>
      <c r="E926">
        <v>402</v>
      </c>
      <c r="F926" s="8" t="s">
        <v>17</v>
      </c>
      <c r="G926">
        <v>20.3</v>
      </c>
      <c r="H926">
        <v>56.6</v>
      </c>
      <c r="I926" s="8" t="s">
        <v>18</v>
      </c>
      <c r="J926">
        <v>52</v>
      </c>
      <c r="K926">
        <v>149</v>
      </c>
      <c r="L926">
        <v>4</v>
      </c>
      <c r="M926" s="8" t="s">
        <v>23</v>
      </c>
      <c r="N926">
        <v>82.6</v>
      </c>
      <c r="O926">
        <v>158</v>
      </c>
      <c r="P926">
        <v>1</v>
      </c>
      <c r="Q926">
        <v>7</v>
      </c>
      <c r="R926">
        <v>2024</v>
      </c>
      <c r="S926">
        <v>3</v>
      </c>
      <c r="T926" s="8" t="s">
        <v>92</v>
      </c>
      <c r="U926">
        <v>0</v>
      </c>
      <c r="V926">
        <v>2</v>
      </c>
      <c r="W926">
        <v>1</v>
      </c>
      <c r="X926">
        <v>0</v>
      </c>
      <c r="Y926">
        <v>0</v>
      </c>
      <c r="Z926">
        <v>1</v>
      </c>
    </row>
    <row r="927" spans="1:26" x14ac:dyDescent="0.25">
      <c r="A927" s="1">
        <v>45319.975590277776</v>
      </c>
      <c r="B927" s="8" t="s">
        <v>16</v>
      </c>
      <c r="C927">
        <v>23.959199999999999</v>
      </c>
      <c r="D927">
        <v>-88.760199999999998</v>
      </c>
      <c r="E927">
        <v>443</v>
      </c>
      <c r="F927" s="8" t="s">
        <v>26</v>
      </c>
      <c r="G927">
        <v>18.899999999999999</v>
      </c>
      <c r="H927">
        <v>68.8</v>
      </c>
      <c r="I927" s="8" t="s">
        <v>28</v>
      </c>
      <c r="J927">
        <v>36</v>
      </c>
      <c r="K927">
        <v>159</v>
      </c>
      <c r="L927">
        <v>2</v>
      </c>
      <c r="M927" s="8" t="s">
        <v>23</v>
      </c>
      <c r="N927">
        <v>86.3</v>
      </c>
      <c r="O927">
        <v>171</v>
      </c>
      <c r="P927">
        <v>0</v>
      </c>
      <c r="Q927">
        <v>1</v>
      </c>
      <c r="R927">
        <v>2024</v>
      </c>
      <c r="S927">
        <v>0</v>
      </c>
      <c r="T927" s="8" t="s">
        <v>93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</row>
    <row r="928" spans="1:26" x14ac:dyDescent="0.25">
      <c r="A928" s="1">
        <v>45453.375092592592</v>
      </c>
      <c r="B928" s="8" t="s">
        <v>16</v>
      </c>
      <c r="C928">
        <v>68.154499999999999</v>
      </c>
      <c r="D928">
        <v>43.800699999999999</v>
      </c>
      <c r="E928">
        <v>246</v>
      </c>
      <c r="F928" s="8" t="s">
        <v>21</v>
      </c>
      <c r="G928">
        <v>22</v>
      </c>
      <c r="H928">
        <v>58.1</v>
      </c>
      <c r="I928" s="8" t="s">
        <v>22</v>
      </c>
      <c r="J928">
        <v>54</v>
      </c>
      <c r="K928">
        <v>128</v>
      </c>
      <c r="L928">
        <v>7</v>
      </c>
      <c r="M928" s="8" t="s">
        <v>27</v>
      </c>
      <c r="N928">
        <v>61</v>
      </c>
      <c r="O928">
        <v>265</v>
      </c>
      <c r="P928">
        <v>1</v>
      </c>
      <c r="Q928">
        <v>6</v>
      </c>
      <c r="R928">
        <v>2024</v>
      </c>
      <c r="S928">
        <v>1</v>
      </c>
      <c r="T928" s="8" t="s">
        <v>92</v>
      </c>
      <c r="U928">
        <v>0</v>
      </c>
      <c r="V928">
        <v>0</v>
      </c>
      <c r="W928">
        <v>2</v>
      </c>
      <c r="X928">
        <v>1</v>
      </c>
      <c r="Y928">
        <v>0</v>
      </c>
      <c r="Z928">
        <v>1</v>
      </c>
    </row>
    <row r="929" spans="1:26" x14ac:dyDescent="0.25">
      <c r="A929" s="1">
        <v>45359.967465277776</v>
      </c>
      <c r="B929" s="8" t="s">
        <v>25</v>
      </c>
      <c r="C929">
        <v>76.035799999999995</v>
      </c>
      <c r="D929">
        <v>53.042999999999999</v>
      </c>
      <c r="E929">
        <v>146</v>
      </c>
      <c r="F929" s="8" t="s">
        <v>21</v>
      </c>
      <c r="G929">
        <v>20.7</v>
      </c>
      <c r="H929">
        <v>50.6</v>
      </c>
      <c r="I929" s="8" t="s">
        <v>28</v>
      </c>
      <c r="J929">
        <v>28</v>
      </c>
      <c r="K929">
        <v>201</v>
      </c>
      <c r="L929">
        <v>10</v>
      </c>
      <c r="M929" s="8" t="s">
        <v>23</v>
      </c>
      <c r="N929">
        <v>75.900000000000006</v>
      </c>
      <c r="O929">
        <v>178</v>
      </c>
      <c r="P929">
        <v>0</v>
      </c>
      <c r="Q929">
        <v>3</v>
      </c>
      <c r="R929">
        <v>2024</v>
      </c>
      <c r="S929">
        <v>5</v>
      </c>
      <c r="T929" s="8" t="s">
        <v>90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</row>
    <row r="930" spans="1:26" x14ac:dyDescent="0.25">
      <c r="A930" s="1">
        <v>45500.425798611112</v>
      </c>
      <c r="B930" s="8" t="s">
        <v>35</v>
      </c>
      <c r="C930">
        <v>-30.0307</v>
      </c>
      <c r="D930">
        <v>157.14420000000001</v>
      </c>
      <c r="E930">
        <v>108</v>
      </c>
      <c r="F930" s="8" t="s">
        <v>26</v>
      </c>
      <c r="G930">
        <v>23</v>
      </c>
      <c r="H930">
        <v>73.400000000000006</v>
      </c>
      <c r="I930" s="8" t="s">
        <v>28</v>
      </c>
      <c r="J930">
        <v>13</v>
      </c>
      <c r="K930">
        <v>324</v>
      </c>
      <c r="L930">
        <v>2</v>
      </c>
      <c r="M930" s="8" t="s">
        <v>31</v>
      </c>
      <c r="N930">
        <v>77.900000000000006</v>
      </c>
      <c r="O930">
        <v>233</v>
      </c>
      <c r="P930">
        <v>0</v>
      </c>
      <c r="Q930">
        <v>7</v>
      </c>
      <c r="R930">
        <v>2024</v>
      </c>
      <c r="S930">
        <v>6</v>
      </c>
      <c r="T930" s="8" t="s">
        <v>92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</row>
    <row r="931" spans="1:26" x14ac:dyDescent="0.25">
      <c r="A931" s="1">
        <v>45545.820625</v>
      </c>
      <c r="B931" s="8" t="s">
        <v>35</v>
      </c>
      <c r="C931">
        <v>-79.258399999999995</v>
      </c>
      <c r="D931">
        <v>125.5026</v>
      </c>
      <c r="E931">
        <v>152</v>
      </c>
      <c r="F931" s="8" t="s">
        <v>26</v>
      </c>
      <c r="G931">
        <v>22.8</v>
      </c>
      <c r="H931">
        <v>65.2</v>
      </c>
      <c r="I931" s="8" t="s">
        <v>22</v>
      </c>
      <c r="J931">
        <v>33</v>
      </c>
      <c r="K931">
        <v>386</v>
      </c>
      <c r="L931">
        <v>4</v>
      </c>
      <c r="M931" s="8" t="s">
        <v>23</v>
      </c>
      <c r="N931">
        <v>63.3</v>
      </c>
      <c r="O931">
        <v>227</v>
      </c>
      <c r="P931">
        <v>1</v>
      </c>
      <c r="Q931">
        <v>9</v>
      </c>
      <c r="R931">
        <v>2024</v>
      </c>
      <c r="S931">
        <v>2</v>
      </c>
      <c r="T931" s="8" t="s">
        <v>91</v>
      </c>
      <c r="U931">
        <v>0</v>
      </c>
      <c r="V931">
        <v>1</v>
      </c>
      <c r="W931">
        <v>2</v>
      </c>
      <c r="X931">
        <v>1</v>
      </c>
      <c r="Y931">
        <v>0</v>
      </c>
      <c r="Z931">
        <v>0</v>
      </c>
    </row>
    <row r="932" spans="1:26" x14ac:dyDescent="0.25">
      <c r="A932" s="1">
        <v>45409.128101851849</v>
      </c>
      <c r="B932" s="8" t="s">
        <v>24</v>
      </c>
      <c r="C932">
        <v>-86.660600000000002</v>
      </c>
      <c r="D932">
        <v>29.678599999999999</v>
      </c>
      <c r="E932">
        <v>361</v>
      </c>
      <c r="F932" s="8" t="s">
        <v>17</v>
      </c>
      <c r="G932">
        <v>29.7</v>
      </c>
      <c r="H932">
        <v>62.2</v>
      </c>
      <c r="I932" s="8" t="s">
        <v>18</v>
      </c>
      <c r="J932">
        <v>35</v>
      </c>
      <c r="K932">
        <v>131</v>
      </c>
      <c r="L932">
        <v>9</v>
      </c>
      <c r="M932" s="8" t="s">
        <v>19</v>
      </c>
      <c r="N932">
        <v>61.8</v>
      </c>
      <c r="O932">
        <v>253</v>
      </c>
      <c r="P932">
        <v>1</v>
      </c>
      <c r="Q932">
        <v>4</v>
      </c>
      <c r="R932">
        <v>2024</v>
      </c>
      <c r="S932">
        <v>6</v>
      </c>
      <c r="T932" s="8" t="s">
        <v>90</v>
      </c>
      <c r="U932">
        <v>1</v>
      </c>
      <c r="V932">
        <v>2</v>
      </c>
      <c r="W932">
        <v>1</v>
      </c>
      <c r="X932">
        <v>0</v>
      </c>
      <c r="Y932">
        <v>0</v>
      </c>
      <c r="Z932">
        <v>0</v>
      </c>
    </row>
    <row r="933" spans="1:26" x14ac:dyDescent="0.25">
      <c r="A933" s="1">
        <v>45404.949837962966</v>
      </c>
      <c r="B933" s="8" t="s">
        <v>30</v>
      </c>
      <c r="C933">
        <v>-60.097499999999997</v>
      </c>
      <c r="D933">
        <v>-13.751799999999999</v>
      </c>
      <c r="E933">
        <v>495</v>
      </c>
      <c r="F933" s="8" t="s">
        <v>21</v>
      </c>
      <c r="G933">
        <v>23.8</v>
      </c>
      <c r="H933">
        <v>69.8</v>
      </c>
      <c r="I933" s="8" t="s">
        <v>22</v>
      </c>
      <c r="J933">
        <v>22</v>
      </c>
      <c r="K933">
        <v>487</v>
      </c>
      <c r="L933">
        <v>9</v>
      </c>
      <c r="M933" s="8" t="s">
        <v>23</v>
      </c>
      <c r="N933">
        <v>86.1</v>
      </c>
      <c r="O933">
        <v>108</v>
      </c>
      <c r="P933">
        <v>1</v>
      </c>
      <c r="Q933">
        <v>4</v>
      </c>
      <c r="R933">
        <v>2024</v>
      </c>
      <c r="S933">
        <v>1</v>
      </c>
      <c r="T933" s="8" t="s">
        <v>90</v>
      </c>
      <c r="U933">
        <v>0</v>
      </c>
      <c r="V933">
        <v>0</v>
      </c>
      <c r="W933">
        <v>2</v>
      </c>
      <c r="X933">
        <v>1</v>
      </c>
      <c r="Y933">
        <v>0</v>
      </c>
      <c r="Z933">
        <v>0</v>
      </c>
    </row>
    <row r="934" spans="1:26" x14ac:dyDescent="0.25">
      <c r="A934" s="1">
        <v>45300.146458333336</v>
      </c>
      <c r="B934" s="8" t="s">
        <v>34</v>
      </c>
      <c r="C934">
        <v>50.475000000000001</v>
      </c>
      <c r="D934">
        <v>-168.8578</v>
      </c>
      <c r="E934">
        <v>187</v>
      </c>
      <c r="F934" s="8" t="s">
        <v>21</v>
      </c>
      <c r="G934">
        <v>24.5</v>
      </c>
      <c r="H934">
        <v>73.099999999999994</v>
      </c>
      <c r="I934" s="8" t="s">
        <v>28</v>
      </c>
      <c r="J934">
        <v>23</v>
      </c>
      <c r="K934">
        <v>382</v>
      </c>
      <c r="L934">
        <v>7</v>
      </c>
      <c r="M934" s="8" t="s">
        <v>23</v>
      </c>
      <c r="N934">
        <v>67.400000000000006</v>
      </c>
      <c r="O934">
        <v>149</v>
      </c>
      <c r="P934">
        <v>0</v>
      </c>
      <c r="Q934">
        <v>1</v>
      </c>
      <c r="R934">
        <v>2024</v>
      </c>
      <c r="S934">
        <v>2</v>
      </c>
      <c r="T934" s="8" t="s">
        <v>93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</row>
    <row r="935" spans="1:26" x14ac:dyDescent="0.25">
      <c r="A935" s="1">
        <v>45635.39947916667</v>
      </c>
      <c r="B935" s="8" t="s">
        <v>33</v>
      </c>
      <c r="C935">
        <v>20.924399999999999</v>
      </c>
      <c r="D935">
        <v>-59.3367</v>
      </c>
      <c r="E935">
        <v>202</v>
      </c>
      <c r="F935" s="8" t="s">
        <v>17</v>
      </c>
      <c r="G935">
        <v>26.5</v>
      </c>
      <c r="H935">
        <v>77.8</v>
      </c>
      <c r="I935" s="8" t="s">
        <v>28</v>
      </c>
      <c r="J935">
        <v>31</v>
      </c>
      <c r="K935">
        <v>298</v>
      </c>
      <c r="L935">
        <v>8</v>
      </c>
      <c r="M935" s="8" t="s">
        <v>19</v>
      </c>
      <c r="N935">
        <v>60.6</v>
      </c>
      <c r="O935">
        <v>102</v>
      </c>
      <c r="P935">
        <v>1</v>
      </c>
      <c r="Q935">
        <v>12</v>
      </c>
      <c r="R935">
        <v>2024</v>
      </c>
      <c r="S935">
        <v>1</v>
      </c>
      <c r="T935" s="8" t="s">
        <v>93</v>
      </c>
      <c r="U935">
        <v>0</v>
      </c>
      <c r="V935">
        <v>2</v>
      </c>
      <c r="W935">
        <v>0</v>
      </c>
      <c r="X935">
        <v>0</v>
      </c>
      <c r="Y935">
        <v>1</v>
      </c>
      <c r="Z935">
        <v>0</v>
      </c>
    </row>
    <row r="936" spans="1:26" x14ac:dyDescent="0.25">
      <c r="A936" s="1">
        <v>45358.147245370368</v>
      </c>
      <c r="B936" s="8" t="s">
        <v>29</v>
      </c>
      <c r="C936">
        <v>-8.4784000000000006</v>
      </c>
      <c r="D936">
        <v>117.24939999999999</v>
      </c>
      <c r="E936">
        <v>384</v>
      </c>
      <c r="F936" s="8" t="s">
        <v>26</v>
      </c>
      <c r="G936">
        <v>24.5</v>
      </c>
      <c r="H936">
        <v>62.2</v>
      </c>
      <c r="I936" s="8" t="s">
        <v>28</v>
      </c>
      <c r="J936">
        <v>45</v>
      </c>
      <c r="K936">
        <v>418</v>
      </c>
      <c r="L936">
        <v>7</v>
      </c>
      <c r="M936" s="8" t="s">
        <v>19</v>
      </c>
      <c r="N936">
        <v>75.8</v>
      </c>
      <c r="O936">
        <v>298</v>
      </c>
      <c r="P936">
        <v>0</v>
      </c>
      <c r="Q936">
        <v>3</v>
      </c>
      <c r="R936">
        <v>2024</v>
      </c>
      <c r="S936">
        <v>4</v>
      </c>
      <c r="T936" s="8" t="s">
        <v>90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</row>
    <row r="937" spans="1:26" x14ac:dyDescent="0.25">
      <c r="A937" s="1">
        <v>45508.132650462961</v>
      </c>
      <c r="B937" s="8" t="s">
        <v>32</v>
      </c>
      <c r="C937">
        <v>-30.809000000000001</v>
      </c>
      <c r="D937">
        <v>-126.7483</v>
      </c>
      <c r="E937">
        <v>486</v>
      </c>
      <c r="F937" s="8" t="s">
        <v>21</v>
      </c>
      <c r="G937">
        <v>25.8</v>
      </c>
      <c r="H937">
        <v>64.900000000000006</v>
      </c>
      <c r="I937" s="8" t="s">
        <v>28</v>
      </c>
      <c r="J937">
        <v>31</v>
      </c>
      <c r="K937">
        <v>136</v>
      </c>
      <c r="L937">
        <v>9</v>
      </c>
      <c r="M937" s="8" t="s">
        <v>27</v>
      </c>
      <c r="N937">
        <v>85.4</v>
      </c>
      <c r="O937">
        <v>178</v>
      </c>
      <c r="P937">
        <v>0</v>
      </c>
      <c r="Q937">
        <v>8</v>
      </c>
      <c r="R937">
        <v>2024</v>
      </c>
      <c r="S937">
        <v>0</v>
      </c>
      <c r="T937" s="8" t="s">
        <v>92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1:26" x14ac:dyDescent="0.25">
      <c r="A938" s="1">
        <v>45636.776990740742</v>
      </c>
      <c r="B938" s="8" t="s">
        <v>32</v>
      </c>
      <c r="C938">
        <v>17.9831</v>
      </c>
      <c r="D938">
        <v>-135.1026</v>
      </c>
      <c r="E938">
        <v>488</v>
      </c>
      <c r="F938" s="8" t="s">
        <v>21</v>
      </c>
      <c r="G938">
        <v>25.4</v>
      </c>
      <c r="H938">
        <v>64.3</v>
      </c>
      <c r="I938" s="8" t="s">
        <v>28</v>
      </c>
      <c r="J938">
        <v>14</v>
      </c>
      <c r="K938">
        <v>254</v>
      </c>
      <c r="L938">
        <v>1</v>
      </c>
      <c r="M938" s="8" t="s">
        <v>23</v>
      </c>
      <c r="N938">
        <v>84</v>
      </c>
      <c r="O938">
        <v>250</v>
      </c>
      <c r="P938">
        <v>0</v>
      </c>
      <c r="Q938">
        <v>12</v>
      </c>
      <c r="R938">
        <v>2024</v>
      </c>
      <c r="S938">
        <v>2</v>
      </c>
      <c r="T938" s="8" t="s">
        <v>93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 x14ac:dyDescent="0.25">
      <c r="A939" s="1">
        <v>45613.524675925924</v>
      </c>
      <c r="B939" s="8" t="s">
        <v>32</v>
      </c>
      <c r="C939">
        <v>-28.238499999999998</v>
      </c>
      <c r="D939">
        <v>-87.761700000000005</v>
      </c>
      <c r="E939">
        <v>244</v>
      </c>
      <c r="F939" s="8" t="s">
        <v>17</v>
      </c>
      <c r="G939">
        <v>29.1</v>
      </c>
      <c r="H939">
        <v>67.2</v>
      </c>
      <c r="I939" s="8" t="s">
        <v>22</v>
      </c>
      <c r="J939">
        <v>18</v>
      </c>
      <c r="K939">
        <v>118</v>
      </c>
      <c r="L939">
        <v>5</v>
      </c>
      <c r="M939" s="8" t="s">
        <v>27</v>
      </c>
      <c r="N939">
        <v>70.5</v>
      </c>
      <c r="O939">
        <v>290</v>
      </c>
      <c r="P939">
        <v>1</v>
      </c>
      <c r="Q939">
        <v>11</v>
      </c>
      <c r="R939">
        <v>2024</v>
      </c>
      <c r="S939">
        <v>0</v>
      </c>
      <c r="T939" s="8" t="s">
        <v>91</v>
      </c>
      <c r="U939">
        <v>0</v>
      </c>
      <c r="V939">
        <v>2</v>
      </c>
      <c r="W939">
        <v>2</v>
      </c>
      <c r="X939">
        <v>1</v>
      </c>
      <c r="Y939">
        <v>0</v>
      </c>
      <c r="Z939">
        <v>0</v>
      </c>
    </row>
    <row r="940" spans="1:26" x14ac:dyDescent="0.25">
      <c r="A940" s="1">
        <v>45599.011655092596</v>
      </c>
      <c r="B940" s="8" t="s">
        <v>30</v>
      </c>
      <c r="C940">
        <v>18.199400000000001</v>
      </c>
      <c r="D940">
        <v>40.577100000000002</v>
      </c>
      <c r="E940">
        <v>193</v>
      </c>
      <c r="F940" s="8" t="s">
        <v>21</v>
      </c>
      <c r="G940">
        <v>25.7</v>
      </c>
      <c r="H940">
        <v>64</v>
      </c>
      <c r="I940" s="8" t="s">
        <v>22</v>
      </c>
      <c r="J940">
        <v>33</v>
      </c>
      <c r="K940">
        <v>335</v>
      </c>
      <c r="L940">
        <v>8</v>
      </c>
      <c r="M940" s="8" t="s">
        <v>31</v>
      </c>
      <c r="N940">
        <v>90</v>
      </c>
      <c r="O940">
        <v>240</v>
      </c>
      <c r="P940">
        <v>1</v>
      </c>
      <c r="Q940">
        <v>11</v>
      </c>
      <c r="R940">
        <v>2024</v>
      </c>
      <c r="S940">
        <v>0</v>
      </c>
      <c r="T940" s="8" t="s">
        <v>91</v>
      </c>
      <c r="U940">
        <v>0</v>
      </c>
      <c r="V940">
        <v>0</v>
      </c>
      <c r="W940">
        <v>2</v>
      </c>
      <c r="X940">
        <v>1</v>
      </c>
      <c r="Y940">
        <v>0</v>
      </c>
      <c r="Z940">
        <v>0</v>
      </c>
    </row>
    <row r="941" spans="1:26" x14ac:dyDescent="0.25">
      <c r="A941" s="1">
        <v>45585.088738425926</v>
      </c>
      <c r="B941" s="8" t="s">
        <v>16</v>
      </c>
      <c r="C941">
        <v>-3.5038</v>
      </c>
      <c r="D941">
        <v>21.953299999999999</v>
      </c>
      <c r="E941">
        <v>268</v>
      </c>
      <c r="F941" s="8" t="s">
        <v>26</v>
      </c>
      <c r="G941">
        <v>18.7</v>
      </c>
      <c r="H941">
        <v>69.5</v>
      </c>
      <c r="I941" s="8" t="s">
        <v>22</v>
      </c>
      <c r="J941">
        <v>39</v>
      </c>
      <c r="K941">
        <v>101</v>
      </c>
      <c r="L941">
        <v>9</v>
      </c>
      <c r="M941" s="8" t="s">
        <v>31</v>
      </c>
      <c r="N941">
        <v>77.099999999999994</v>
      </c>
      <c r="O941">
        <v>205</v>
      </c>
      <c r="P941">
        <v>1</v>
      </c>
      <c r="Q941">
        <v>10</v>
      </c>
      <c r="R941">
        <v>2024</v>
      </c>
      <c r="S941">
        <v>0</v>
      </c>
      <c r="T941" s="8" t="s">
        <v>91</v>
      </c>
      <c r="U941">
        <v>0</v>
      </c>
      <c r="V941">
        <v>1</v>
      </c>
      <c r="W941">
        <v>2</v>
      </c>
      <c r="X941">
        <v>1</v>
      </c>
      <c r="Y941">
        <v>0</v>
      </c>
      <c r="Z941">
        <v>0</v>
      </c>
    </row>
    <row r="942" spans="1:26" x14ac:dyDescent="0.25">
      <c r="A942" s="1">
        <v>45300.909363425926</v>
      </c>
      <c r="B942" s="8" t="s">
        <v>30</v>
      </c>
      <c r="C942">
        <v>88.528000000000006</v>
      </c>
      <c r="D942">
        <v>-0.35949999999999999</v>
      </c>
      <c r="E942">
        <v>375</v>
      </c>
      <c r="F942" s="8" t="s">
        <v>17</v>
      </c>
      <c r="G942">
        <v>19.2</v>
      </c>
      <c r="H942">
        <v>72.900000000000006</v>
      </c>
      <c r="I942" s="8" t="s">
        <v>18</v>
      </c>
      <c r="J942">
        <v>58</v>
      </c>
      <c r="K942">
        <v>119</v>
      </c>
      <c r="L942">
        <v>7</v>
      </c>
      <c r="M942" s="8" t="s">
        <v>19</v>
      </c>
      <c r="N942">
        <v>96.9</v>
      </c>
      <c r="O942">
        <v>213</v>
      </c>
      <c r="P942">
        <v>1</v>
      </c>
      <c r="Q942">
        <v>1</v>
      </c>
      <c r="R942">
        <v>2024</v>
      </c>
      <c r="S942">
        <v>2</v>
      </c>
      <c r="T942" s="8" t="s">
        <v>93</v>
      </c>
      <c r="U942">
        <v>0</v>
      </c>
      <c r="V942">
        <v>2</v>
      </c>
      <c r="W942">
        <v>1</v>
      </c>
      <c r="X942">
        <v>0</v>
      </c>
      <c r="Y942">
        <v>0</v>
      </c>
      <c r="Z942">
        <v>1</v>
      </c>
    </row>
    <row r="943" spans="1:26" x14ac:dyDescent="0.25">
      <c r="A943" s="1">
        <v>45495.490208333336</v>
      </c>
      <c r="B943" s="8" t="s">
        <v>25</v>
      </c>
      <c r="C943">
        <v>-24.783799999999999</v>
      </c>
      <c r="D943">
        <v>-21.175999999999998</v>
      </c>
      <c r="E943">
        <v>465</v>
      </c>
      <c r="F943" s="8" t="s">
        <v>21</v>
      </c>
      <c r="G943">
        <v>28</v>
      </c>
      <c r="H943">
        <v>59.6</v>
      </c>
      <c r="I943" s="8" t="s">
        <v>28</v>
      </c>
      <c r="J943">
        <v>51</v>
      </c>
      <c r="K943">
        <v>305</v>
      </c>
      <c r="L943">
        <v>10</v>
      </c>
      <c r="M943" s="8" t="s">
        <v>31</v>
      </c>
      <c r="N943">
        <v>96.9</v>
      </c>
      <c r="O943">
        <v>153</v>
      </c>
      <c r="P943">
        <v>0</v>
      </c>
      <c r="Q943">
        <v>7</v>
      </c>
      <c r="R943">
        <v>2024</v>
      </c>
      <c r="S943">
        <v>1</v>
      </c>
      <c r="T943" s="8" t="s">
        <v>92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 x14ac:dyDescent="0.25">
      <c r="A944" s="1">
        <v>45534.502986111111</v>
      </c>
      <c r="B944" s="8" t="s">
        <v>24</v>
      </c>
      <c r="C944">
        <v>56.137300000000003</v>
      </c>
      <c r="D944">
        <v>82.419200000000004</v>
      </c>
      <c r="E944">
        <v>258</v>
      </c>
      <c r="F944" s="8" t="s">
        <v>17</v>
      </c>
      <c r="G944">
        <v>19.3</v>
      </c>
      <c r="H944">
        <v>74.2</v>
      </c>
      <c r="I944" s="8" t="s">
        <v>18</v>
      </c>
      <c r="J944">
        <v>52</v>
      </c>
      <c r="K944">
        <v>407</v>
      </c>
      <c r="L944">
        <v>8</v>
      </c>
      <c r="M944" s="8" t="s">
        <v>23</v>
      </c>
      <c r="N944">
        <v>84.7</v>
      </c>
      <c r="O944">
        <v>245</v>
      </c>
      <c r="P944">
        <v>1</v>
      </c>
      <c r="Q944">
        <v>8</v>
      </c>
      <c r="R944">
        <v>2024</v>
      </c>
      <c r="S944">
        <v>5</v>
      </c>
      <c r="T944" s="8" t="s">
        <v>92</v>
      </c>
      <c r="U944">
        <v>1</v>
      </c>
      <c r="V944">
        <v>2</v>
      </c>
      <c r="W944">
        <v>1</v>
      </c>
      <c r="X944">
        <v>0</v>
      </c>
      <c r="Y944">
        <v>0</v>
      </c>
      <c r="Z944">
        <v>1</v>
      </c>
    </row>
    <row r="945" spans="1:26" x14ac:dyDescent="0.25">
      <c r="A945" s="1">
        <v>45616.781643518516</v>
      </c>
      <c r="B945" s="8" t="s">
        <v>35</v>
      </c>
      <c r="C945">
        <v>-13.2882</v>
      </c>
      <c r="D945">
        <v>-171.94730000000001</v>
      </c>
      <c r="E945">
        <v>254</v>
      </c>
      <c r="F945" s="8" t="s">
        <v>26</v>
      </c>
      <c r="G945">
        <v>27.3</v>
      </c>
      <c r="H945">
        <v>71.7</v>
      </c>
      <c r="I945" s="8" t="s">
        <v>18</v>
      </c>
      <c r="J945">
        <v>38</v>
      </c>
      <c r="K945">
        <v>279</v>
      </c>
      <c r="L945">
        <v>10</v>
      </c>
      <c r="M945" s="8" t="s">
        <v>27</v>
      </c>
      <c r="N945">
        <v>91.5</v>
      </c>
      <c r="O945">
        <v>111</v>
      </c>
      <c r="P945">
        <v>0</v>
      </c>
      <c r="Q945">
        <v>11</v>
      </c>
      <c r="R945">
        <v>2024</v>
      </c>
      <c r="S945">
        <v>3</v>
      </c>
      <c r="T945" s="8" t="s">
        <v>91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0</v>
      </c>
    </row>
    <row r="946" spans="1:26" x14ac:dyDescent="0.25">
      <c r="A946" s="1">
        <v>45620.051157407404</v>
      </c>
      <c r="B946" s="8" t="s">
        <v>24</v>
      </c>
      <c r="C946">
        <v>68.9345</v>
      </c>
      <c r="D946">
        <v>172.15199999999999</v>
      </c>
      <c r="E946">
        <v>456</v>
      </c>
      <c r="F946" s="8" t="s">
        <v>21</v>
      </c>
      <c r="G946">
        <v>20.9</v>
      </c>
      <c r="H946">
        <v>71.2</v>
      </c>
      <c r="I946" s="8" t="s">
        <v>28</v>
      </c>
      <c r="J946">
        <v>46</v>
      </c>
      <c r="K946">
        <v>414</v>
      </c>
      <c r="L946">
        <v>10</v>
      </c>
      <c r="M946" s="8" t="s">
        <v>31</v>
      </c>
      <c r="N946">
        <v>90.6</v>
      </c>
      <c r="O946">
        <v>280</v>
      </c>
      <c r="P946">
        <v>0</v>
      </c>
      <c r="Q946">
        <v>11</v>
      </c>
      <c r="R946">
        <v>2024</v>
      </c>
      <c r="S946">
        <v>0</v>
      </c>
      <c r="T946" s="8" t="s">
        <v>91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 x14ac:dyDescent="0.25">
      <c r="A947" s="1">
        <v>45317.72084490741</v>
      </c>
      <c r="B947" s="8" t="s">
        <v>16</v>
      </c>
      <c r="C947">
        <v>-80.960099999999997</v>
      </c>
      <c r="D947">
        <v>52.613999999999997</v>
      </c>
      <c r="E947">
        <v>158</v>
      </c>
      <c r="F947" s="8" t="s">
        <v>21</v>
      </c>
      <c r="G947">
        <v>29.7</v>
      </c>
      <c r="H947">
        <v>78.2</v>
      </c>
      <c r="I947" s="8" t="s">
        <v>22</v>
      </c>
      <c r="J947">
        <v>43</v>
      </c>
      <c r="K947">
        <v>334</v>
      </c>
      <c r="L947">
        <v>5</v>
      </c>
      <c r="M947" s="8" t="s">
        <v>23</v>
      </c>
      <c r="N947">
        <v>72.7</v>
      </c>
      <c r="O947">
        <v>181</v>
      </c>
      <c r="P947">
        <v>1</v>
      </c>
      <c r="Q947">
        <v>1</v>
      </c>
      <c r="R947">
        <v>2024</v>
      </c>
      <c r="S947">
        <v>5</v>
      </c>
      <c r="T947" s="8" t="s">
        <v>93</v>
      </c>
      <c r="U947">
        <v>1</v>
      </c>
      <c r="V947">
        <v>0</v>
      </c>
      <c r="W947">
        <v>2</v>
      </c>
      <c r="X947">
        <v>1</v>
      </c>
      <c r="Y947">
        <v>1</v>
      </c>
      <c r="Z947">
        <v>0</v>
      </c>
    </row>
    <row r="948" spans="1:26" x14ac:dyDescent="0.25">
      <c r="A948" s="1">
        <v>45496.999120370368</v>
      </c>
      <c r="B948" s="8" t="s">
        <v>34</v>
      </c>
      <c r="C948">
        <v>57.2271</v>
      </c>
      <c r="D948">
        <v>59.258800000000001</v>
      </c>
      <c r="E948">
        <v>158</v>
      </c>
      <c r="F948" s="8" t="s">
        <v>17</v>
      </c>
      <c r="G948">
        <v>25.9</v>
      </c>
      <c r="H948">
        <v>51.3</v>
      </c>
      <c r="I948" s="8" t="s">
        <v>18</v>
      </c>
      <c r="J948">
        <v>46</v>
      </c>
      <c r="K948">
        <v>308</v>
      </c>
      <c r="L948">
        <v>7</v>
      </c>
      <c r="M948" s="8" t="s">
        <v>19</v>
      </c>
      <c r="N948">
        <v>64.599999999999994</v>
      </c>
      <c r="O948">
        <v>115</v>
      </c>
      <c r="P948">
        <v>1</v>
      </c>
      <c r="Q948">
        <v>7</v>
      </c>
      <c r="R948">
        <v>2024</v>
      </c>
      <c r="S948">
        <v>2</v>
      </c>
      <c r="T948" s="8" t="s">
        <v>92</v>
      </c>
      <c r="U948">
        <v>0</v>
      </c>
      <c r="V948">
        <v>2</v>
      </c>
      <c r="W948">
        <v>1</v>
      </c>
      <c r="X948">
        <v>0</v>
      </c>
      <c r="Y948">
        <v>0</v>
      </c>
      <c r="Z948">
        <v>1</v>
      </c>
    </row>
    <row r="949" spans="1:26" x14ac:dyDescent="0.25">
      <c r="A949" s="1">
        <v>45403.307766203703</v>
      </c>
      <c r="B949" s="8" t="s">
        <v>24</v>
      </c>
      <c r="C949">
        <v>82.630700000000004</v>
      </c>
      <c r="D949">
        <v>-111.6216</v>
      </c>
      <c r="E949">
        <v>260</v>
      </c>
      <c r="F949" s="8" t="s">
        <v>26</v>
      </c>
      <c r="G949">
        <v>23.2</v>
      </c>
      <c r="H949">
        <v>56.3</v>
      </c>
      <c r="I949" s="8" t="s">
        <v>28</v>
      </c>
      <c r="J949">
        <v>57</v>
      </c>
      <c r="K949">
        <v>329</v>
      </c>
      <c r="L949">
        <v>7</v>
      </c>
      <c r="M949" s="8" t="s">
        <v>31</v>
      </c>
      <c r="N949">
        <v>77.900000000000006</v>
      </c>
      <c r="O949">
        <v>258</v>
      </c>
      <c r="P949">
        <v>0</v>
      </c>
      <c r="Q949">
        <v>4</v>
      </c>
      <c r="R949">
        <v>2024</v>
      </c>
      <c r="S949">
        <v>0</v>
      </c>
      <c r="T949" s="8" t="s">
        <v>90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1</v>
      </c>
    </row>
    <row r="950" spans="1:26" x14ac:dyDescent="0.25">
      <c r="A950" s="1">
        <v>45441.820625</v>
      </c>
      <c r="B950" s="8" t="s">
        <v>30</v>
      </c>
      <c r="C950">
        <v>53.022100000000002</v>
      </c>
      <c r="D950">
        <v>110.4363</v>
      </c>
      <c r="E950">
        <v>249</v>
      </c>
      <c r="F950" s="8" t="s">
        <v>21</v>
      </c>
      <c r="G950">
        <v>21.4</v>
      </c>
      <c r="H950">
        <v>56.6</v>
      </c>
      <c r="I950" s="8" t="s">
        <v>18</v>
      </c>
      <c r="J950">
        <v>49</v>
      </c>
      <c r="K950">
        <v>398</v>
      </c>
      <c r="L950">
        <v>10</v>
      </c>
      <c r="M950" s="8" t="s">
        <v>31</v>
      </c>
      <c r="N950">
        <v>67.3</v>
      </c>
      <c r="O950">
        <v>279</v>
      </c>
      <c r="P950">
        <v>0</v>
      </c>
      <c r="Q950">
        <v>5</v>
      </c>
      <c r="R950">
        <v>2024</v>
      </c>
      <c r="S950">
        <v>3</v>
      </c>
      <c r="T950" s="8" t="s">
        <v>90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</v>
      </c>
    </row>
    <row r="951" spans="1:26" x14ac:dyDescent="0.25">
      <c r="A951" s="1">
        <v>45337.534780092596</v>
      </c>
      <c r="B951" s="8" t="s">
        <v>20</v>
      </c>
      <c r="C951">
        <v>21.636199999999999</v>
      </c>
      <c r="D951">
        <v>35.729199999999999</v>
      </c>
      <c r="E951">
        <v>224</v>
      </c>
      <c r="F951" s="8" t="s">
        <v>17</v>
      </c>
      <c r="G951">
        <v>28.3</v>
      </c>
      <c r="H951">
        <v>69</v>
      </c>
      <c r="I951" s="8" t="s">
        <v>28</v>
      </c>
      <c r="J951">
        <v>20</v>
      </c>
      <c r="K951">
        <v>445</v>
      </c>
      <c r="L951">
        <v>6</v>
      </c>
      <c r="M951" s="8" t="s">
        <v>19</v>
      </c>
      <c r="N951">
        <v>60.1</v>
      </c>
      <c r="O951">
        <v>259</v>
      </c>
      <c r="P951">
        <v>1</v>
      </c>
      <c r="Q951">
        <v>2</v>
      </c>
      <c r="R951">
        <v>2024</v>
      </c>
      <c r="S951">
        <v>4</v>
      </c>
      <c r="T951" s="8" t="s">
        <v>93</v>
      </c>
      <c r="U951">
        <v>0</v>
      </c>
      <c r="V951">
        <v>2</v>
      </c>
      <c r="W951">
        <v>0</v>
      </c>
      <c r="X951">
        <v>0</v>
      </c>
      <c r="Y951">
        <v>0</v>
      </c>
      <c r="Z951">
        <v>0</v>
      </c>
    </row>
    <row r="952" spans="1:26" x14ac:dyDescent="0.25">
      <c r="A952" s="1">
        <v>45403.930578703701</v>
      </c>
      <c r="B952" s="8" t="s">
        <v>32</v>
      </c>
      <c r="C952">
        <v>-0.56459999999999999</v>
      </c>
      <c r="D952">
        <v>175.2938</v>
      </c>
      <c r="E952">
        <v>162</v>
      </c>
      <c r="F952" s="8" t="s">
        <v>26</v>
      </c>
      <c r="G952">
        <v>29.4</v>
      </c>
      <c r="H952">
        <v>65.900000000000006</v>
      </c>
      <c r="I952" s="8" t="s">
        <v>18</v>
      </c>
      <c r="J952">
        <v>40</v>
      </c>
      <c r="K952">
        <v>262</v>
      </c>
      <c r="L952">
        <v>2</v>
      </c>
      <c r="M952" s="8" t="s">
        <v>27</v>
      </c>
      <c r="N952">
        <v>61.5</v>
      </c>
      <c r="O952">
        <v>298</v>
      </c>
      <c r="P952">
        <v>0</v>
      </c>
      <c r="Q952">
        <v>4</v>
      </c>
      <c r="R952">
        <v>2024</v>
      </c>
      <c r="S952">
        <v>0</v>
      </c>
      <c r="T952" s="8" t="s">
        <v>90</v>
      </c>
      <c r="U952">
        <v>0</v>
      </c>
      <c r="V952">
        <v>1</v>
      </c>
      <c r="W952">
        <v>1</v>
      </c>
      <c r="X952">
        <v>0</v>
      </c>
      <c r="Y952">
        <v>0</v>
      </c>
      <c r="Z952">
        <v>0</v>
      </c>
    </row>
    <row r="953" spans="1:26" x14ac:dyDescent="0.25">
      <c r="A953" s="1">
        <v>45542.082766203705</v>
      </c>
      <c r="B953" s="8" t="s">
        <v>29</v>
      </c>
      <c r="C953">
        <v>-53.974400000000003</v>
      </c>
      <c r="D953">
        <v>-52.453600000000002</v>
      </c>
      <c r="E953">
        <v>160</v>
      </c>
      <c r="F953" s="8" t="s">
        <v>26</v>
      </c>
      <c r="G953">
        <v>20.7</v>
      </c>
      <c r="H953">
        <v>63.1</v>
      </c>
      <c r="I953" s="8" t="s">
        <v>28</v>
      </c>
      <c r="J953">
        <v>52</v>
      </c>
      <c r="K953">
        <v>488</v>
      </c>
      <c r="L953">
        <v>3</v>
      </c>
      <c r="M953" s="8" t="s">
        <v>31</v>
      </c>
      <c r="N953">
        <v>79.599999999999994</v>
      </c>
      <c r="O953">
        <v>246</v>
      </c>
      <c r="P953">
        <v>0</v>
      </c>
      <c r="Q953">
        <v>9</v>
      </c>
      <c r="R953">
        <v>2024</v>
      </c>
      <c r="S953">
        <v>6</v>
      </c>
      <c r="T953" s="8" t="s">
        <v>91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1</v>
      </c>
    </row>
    <row r="954" spans="1:26" x14ac:dyDescent="0.25">
      <c r="A954" s="1">
        <v>45408.308807870373</v>
      </c>
      <c r="B954" s="8" t="s">
        <v>32</v>
      </c>
      <c r="C954">
        <v>70.9071</v>
      </c>
      <c r="D954">
        <v>-64.786299999999997</v>
      </c>
      <c r="E954">
        <v>260</v>
      </c>
      <c r="F954" s="8" t="s">
        <v>26</v>
      </c>
      <c r="G954">
        <v>18.8</v>
      </c>
      <c r="H954">
        <v>55</v>
      </c>
      <c r="I954" s="8" t="s">
        <v>18</v>
      </c>
      <c r="J954">
        <v>13</v>
      </c>
      <c r="K954">
        <v>428</v>
      </c>
      <c r="L954">
        <v>2</v>
      </c>
      <c r="M954" s="8" t="s">
        <v>23</v>
      </c>
      <c r="N954">
        <v>73.900000000000006</v>
      </c>
      <c r="O954">
        <v>198</v>
      </c>
      <c r="P954">
        <v>0</v>
      </c>
      <c r="Q954">
        <v>4</v>
      </c>
      <c r="R954">
        <v>2024</v>
      </c>
      <c r="S954">
        <v>5</v>
      </c>
      <c r="T954" s="8" t="s">
        <v>90</v>
      </c>
      <c r="U954">
        <v>1</v>
      </c>
      <c r="V954">
        <v>1</v>
      </c>
      <c r="W954">
        <v>1</v>
      </c>
      <c r="X954">
        <v>0</v>
      </c>
      <c r="Y954">
        <v>0</v>
      </c>
      <c r="Z954">
        <v>0</v>
      </c>
    </row>
    <row r="955" spans="1:26" x14ac:dyDescent="0.25">
      <c r="A955" s="1">
        <v>45374.577002314814</v>
      </c>
      <c r="B955" s="8" t="s">
        <v>16</v>
      </c>
      <c r="C955">
        <v>-32.319600000000001</v>
      </c>
      <c r="D955">
        <v>-16.445799999999998</v>
      </c>
      <c r="E955">
        <v>245</v>
      </c>
      <c r="F955" s="8" t="s">
        <v>21</v>
      </c>
      <c r="G955">
        <v>23.3</v>
      </c>
      <c r="H955">
        <v>59.8</v>
      </c>
      <c r="I955" s="8" t="s">
        <v>28</v>
      </c>
      <c r="J955">
        <v>28</v>
      </c>
      <c r="K955">
        <v>142</v>
      </c>
      <c r="L955">
        <v>5</v>
      </c>
      <c r="M955" s="8" t="s">
        <v>19</v>
      </c>
      <c r="N955">
        <v>80.7</v>
      </c>
      <c r="O955">
        <v>160</v>
      </c>
      <c r="P955">
        <v>0</v>
      </c>
      <c r="Q955">
        <v>3</v>
      </c>
      <c r="R955">
        <v>2024</v>
      </c>
      <c r="S955">
        <v>6</v>
      </c>
      <c r="T955" s="8" t="s">
        <v>90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25">
      <c r="A956" s="1">
        <v>45387.576516203706</v>
      </c>
      <c r="B956" s="8" t="s">
        <v>16</v>
      </c>
      <c r="C956">
        <v>-9.6290999999999993</v>
      </c>
      <c r="D956">
        <v>39.650599999999997</v>
      </c>
      <c r="E956">
        <v>495</v>
      </c>
      <c r="F956" s="8" t="s">
        <v>26</v>
      </c>
      <c r="G956">
        <v>25.1</v>
      </c>
      <c r="H956">
        <v>75.5</v>
      </c>
      <c r="I956" s="8" t="s">
        <v>18</v>
      </c>
      <c r="J956">
        <v>39</v>
      </c>
      <c r="K956">
        <v>234</v>
      </c>
      <c r="L956">
        <v>1</v>
      </c>
      <c r="M956" s="8" t="s">
        <v>19</v>
      </c>
      <c r="N956">
        <v>74.8</v>
      </c>
      <c r="O956">
        <v>203</v>
      </c>
      <c r="P956">
        <v>0</v>
      </c>
      <c r="Q956">
        <v>4</v>
      </c>
      <c r="R956">
        <v>2024</v>
      </c>
      <c r="S956">
        <v>5</v>
      </c>
      <c r="T956" s="8" t="s">
        <v>90</v>
      </c>
      <c r="U956">
        <v>1</v>
      </c>
      <c r="V956">
        <v>1</v>
      </c>
      <c r="W956">
        <v>1</v>
      </c>
      <c r="X956">
        <v>0</v>
      </c>
      <c r="Y956">
        <v>1</v>
      </c>
      <c r="Z956">
        <v>0</v>
      </c>
    </row>
    <row r="957" spans="1:26" x14ac:dyDescent="0.25">
      <c r="A957" s="1">
        <v>45528.066921296297</v>
      </c>
      <c r="B957" s="8" t="s">
        <v>32</v>
      </c>
      <c r="C957">
        <v>-69.563900000000004</v>
      </c>
      <c r="D957">
        <v>-74.647300000000001</v>
      </c>
      <c r="E957">
        <v>236</v>
      </c>
      <c r="F957" s="8" t="s">
        <v>17</v>
      </c>
      <c r="G957">
        <v>18.2</v>
      </c>
      <c r="H957">
        <v>50.5</v>
      </c>
      <c r="I957" s="8" t="s">
        <v>28</v>
      </c>
      <c r="J957">
        <v>20</v>
      </c>
      <c r="K957">
        <v>260</v>
      </c>
      <c r="L957">
        <v>2</v>
      </c>
      <c r="M957" s="8" t="s">
        <v>23</v>
      </c>
      <c r="N957">
        <v>61.1</v>
      </c>
      <c r="O957">
        <v>278</v>
      </c>
      <c r="P957">
        <v>1</v>
      </c>
      <c r="Q957">
        <v>8</v>
      </c>
      <c r="R957">
        <v>2024</v>
      </c>
      <c r="S957">
        <v>6</v>
      </c>
      <c r="T957" s="8" t="s">
        <v>92</v>
      </c>
      <c r="U957">
        <v>1</v>
      </c>
      <c r="V957">
        <v>2</v>
      </c>
      <c r="W957">
        <v>0</v>
      </c>
      <c r="X957">
        <v>0</v>
      </c>
      <c r="Y957">
        <v>0</v>
      </c>
      <c r="Z957">
        <v>0</v>
      </c>
    </row>
    <row r="958" spans="1:26" x14ac:dyDescent="0.25">
      <c r="A958" s="1">
        <v>45603.169120370374</v>
      </c>
      <c r="B958" s="8" t="s">
        <v>25</v>
      </c>
      <c r="C958">
        <v>49.042999999999999</v>
      </c>
      <c r="D958">
        <v>-4.5351999999999997</v>
      </c>
      <c r="E958">
        <v>259</v>
      </c>
      <c r="F958" s="8" t="s">
        <v>26</v>
      </c>
      <c r="G958">
        <v>21.3</v>
      </c>
      <c r="H958">
        <v>79.3</v>
      </c>
      <c r="I958" s="8" t="s">
        <v>18</v>
      </c>
      <c r="J958">
        <v>49</v>
      </c>
      <c r="K958">
        <v>276</v>
      </c>
      <c r="L958">
        <v>2</v>
      </c>
      <c r="M958" s="8" t="s">
        <v>19</v>
      </c>
      <c r="N958">
        <v>99.1</v>
      </c>
      <c r="O958">
        <v>259</v>
      </c>
      <c r="P958">
        <v>0</v>
      </c>
      <c r="Q958">
        <v>11</v>
      </c>
      <c r="R958">
        <v>2024</v>
      </c>
      <c r="S958">
        <v>4</v>
      </c>
      <c r="T958" s="8" t="s">
        <v>91</v>
      </c>
      <c r="U958">
        <v>0</v>
      </c>
      <c r="V958">
        <v>1</v>
      </c>
      <c r="W958">
        <v>1</v>
      </c>
      <c r="X958">
        <v>0</v>
      </c>
      <c r="Y958">
        <v>1</v>
      </c>
      <c r="Z958">
        <v>1</v>
      </c>
    </row>
    <row r="959" spans="1:26" x14ac:dyDescent="0.25">
      <c r="A959" s="1">
        <v>45555.697511574072</v>
      </c>
      <c r="B959" s="8" t="s">
        <v>16</v>
      </c>
      <c r="C959">
        <v>69.760800000000003</v>
      </c>
      <c r="D959">
        <v>-77.018799999999999</v>
      </c>
      <c r="E959">
        <v>227</v>
      </c>
      <c r="F959" s="8" t="s">
        <v>26</v>
      </c>
      <c r="G959">
        <v>27.6</v>
      </c>
      <c r="H959">
        <v>68.099999999999994</v>
      </c>
      <c r="I959" s="8" t="s">
        <v>18</v>
      </c>
      <c r="J959">
        <v>60</v>
      </c>
      <c r="K959">
        <v>399</v>
      </c>
      <c r="L959">
        <v>1</v>
      </c>
      <c r="M959" s="8" t="s">
        <v>27</v>
      </c>
      <c r="N959">
        <v>64.099999999999994</v>
      </c>
      <c r="O959">
        <v>126</v>
      </c>
      <c r="P959">
        <v>0</v>
      </c>
      <c r="Q959">
        <v>9</v>
      </c>
      <c r="R959">
        <v>2024</v>
      </c>
      <c r="S959">
        <v>5</v>
      </c>
      <c r="T959" s="8" t="s">
        <v>91</v>
      </c>
      <c r="U959">
        <v>1</v>
      </c>
      <c r="V959">
        <v>1</v>
      </c>
      <c r="W959">
        <v>1</v>
      </c>
      <c r="X959">
        <v>0</v>
      </c>
      <c r="Y959">
        <v>0</v>
      </c>
      <c r="Z959">
        <v>1</v>
      </c>
    </row>
    <row r="960" spans="1:26" x14ac:dyDescent="0.25">
      <c r="A960" s="1">
        <v>45602.915625000001</v>
      </c>
      <c r="B960" s="8" t="s">
        <v>16</v>
      </c>
      <c r="C960">
        <v>27.403400000000001</v>
      </c>
      <c r="D960">
        <v>-35.8705</v>
      </c>
      <c r="E960">
        <v>204</v>
      </c>
      <c r="F960" s="8" t="s">
        <v>21</v>
      </c>
      <c r="G960">
        <v>20.5</v>
      </c>
      <c r="H960">
        <v>60.2</v>
      </c>
      <c r="I960" s="8" t="s">
        <v>28</v>
      </c>
      <c r="J960">
        <v>26</v>
      </c>
      <c r="K960">
        <v>460</v>
      </c>
      <c r="L960">
        <v>5</v>
      </c>
      <c r="M960" s="8" t="s">
        <v>19</v>
      </c>
      <c r="N960">
        <v>66.900000000000006</v>
      </c>
      <c r="O960">
        <v>231</v>
      </c>
      <c r="P960">
        <v>0</v>
      </c>
      <c r="Q960">
        <v>11</v>
      </c>
      <c r="R960">
        <v>2024</v>
      </c>
      <c r="S960">
        <v>3</v>
      </c>
      <c r="T960" s="8" t="s">
        <v>91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x14ac:dyDescent="0.25">
      <c r="A961" s="1">
        <v>45381.504062499997</v>
      </c>
      <c r="B961" s="8" t="s">
        <v>24</v>
      </c>
      <c r="C961">
        <v>-31.4314</v>
      </c>
      <c r="D961">
        <v>-110.7069</v>
      </c>
      <c r="E961">
        <v>384</v>
      </c>
      <c r="F961" s="8" t="s">
        <v>17</v>
      </c>
      <c r="G961">
        <v>18.5</v>
      </c>
      <c r="H961">
        <v>79</v>
      </c>
      <c r="I961" s="8" t="s">
        <v>18</v>
      </c>
      <c r="J961">
        <v>21</v>
      </c>
      <c r="K961">
        <v>185</v>
      </c>
      <c r="L961">
        <v>8</v>
      </c>
      <c r="M961" s="8" t="s">
        <v>23</v>
      </c>
      <c r="N961">
        <v>68.099999999999994</v>
      </c>
      <c r="O961">
        <v>143</v>
      </c>
      <c r="P961">
        <v>1</v>
      </c>
      <c r="Q961">
        <v>3</v>
      </c>
      <c r="R961">
        <v>2024</v>
      </c>
      <c r="S961">
        <v>6</v>
      </c>
      <c r="T961" s="8" t="s">
        <v>90</v>
      </c>
      <c r="U961">
        <v>1</v>
      </c>
      <c r="V961">
        <v>2</v>
      </c>
      <c r="W961">
        <v>1</v>
      </c>
      <c r="X961">
        <v>0</v>
      </c>
      <c r="Y961">
        <v>1</v>
      </c>
      <c r="Z961">
        <v>0</v>
      </c>
    </row>
    <row r="962" spans="1:26" x14ac:dyDescent="0.25">
      <c r="A962" s="1">
        <v>45436.001574074071</v>
      </c>
      <c r="B962" s="8" t="s">
        <v>20</v>
      </c>
      <c r="C962">
        <v>63.555399999999999</v>
      </c>
      <c r="D962">
        <v>151.4083</v>
      </c>
      <c r="E962">
        <v>187</v>
      </c>
      <c r="F962" s="8" t="s">
        <v>17</v>
      </c>
      <c r="G962">
        <v>18.899999999999999</v>
      </c>
      <c r="H962">
        <v>60.3</v>
      </c>
      <c r="I962" s="8" t="s">
        <v>28</v>
      </c>
      <c r="J962">
        <v>34</v>
      </c>
      <c r="K962">
        <v>223</v>
      </c>
      <c r="L962">
        <v>1</v>
      </c>
      <c r="M962" s="8" t="s">
        <v>23</v>
      </c>
      <c r="N962">
        <v>85.3</v>
      </c>
      <c r="O962">
        <v>197</v>
      </c>
      <c r="P962">
        <v>1</v>
      </c>
      <c r="Q962">
        <v>5</v>
      </c>
      <c r="R962">
        <v>2024</v>
      </c>
      <c r="S962">
        <v>5</v>
      </c>
      <c r="T962" s="8" t="s">
        <v>90</v>
      </c>
      <c r="U962">
        <v>1</v>
      </c>
      <c r="V962">
        <v>2</v>
      </c>
      <c r="W962">
        <v>0</v>
      </c>
      <c r="X962">
        <v>0</v>
      </c>
      <c r="Y962">
        <v>0</v>
      </c>
      <c r="Z962">
        <v>0</v>
      </c>
    </row>
    <row r="963" spans="1:26" x14ac:dyDescent="0.25">
      <c r="A963" s="1">
        <v>45317.353379629632</v>
      </c>
      <c r="B963" s="8" t="s">
        <v>33</v>
      </c>
      <c r="C963">
        <v>86.666300000000007</v>
      </c>
      <c r="D963">
        <v>-8.1036000000000001</v>
      </c>
      <c r="E963">
        <v>302</v>
      </c>
      <c r="F963" s="8" t="s">
        <v>26</v>
      </c>
      <c r="G963">
        <v>19.5</v>
      </c>
      <c r="H963">
        <v>64.5</v>
      </c>
      <c r="I963" s="8" t="s">
        <v>18</v>
      </c>
      <c r="J963">
        <v>38</v>
      </c>
      <c r="K963">
        <v>149</v>
      </c>
      <c r="L963">
        <v>10</v>
      </c>
      <c r="M963" s="8" t="s">
        <v>19</v>
      </c>
      <c r="N963">
        <v>69</v>
      </c>
      <c r="O963">
        <v>213</v>
      </c>
      <c r="P963">
        <v>0</v>
      </c>
      <c r="Q963">
        <v>1</v>
      </c>
      <c r="R963">
        <v>2024</v>
      </c>
      <c r="S963">
        <v>5</v>
      </c>
      <c r="T963" s="8" t="s">
        <v>93</v>
      </c>
      <c r="U963">
        <v>1</v>
      </c>
      <c r="V963">
        <v>1</v>
      </c>
      <c r="W963">
        <v>1</v>
      </c>
      <c r="X963">
        <v>0</v>
      </c>
      <c r="Y963">
        <v>0</v>
      </c>
      <c r="Z963">
        <v>0</v>
      </c>
    </row>
    <row r="964" spans="1:26" x14ac:dyDescent="0.25">
      <c r="A964" s="1">
        <v>45430.607523148145</v>
      </c>
      <c r="B964" s="8" t="s">
        <v>33</v>
      </c>
      <c r="C964">
        <v>62.954900000000002</v>
      </c>
      <c r="D964">
        <v>134.6387</v>
      </c>
      <c r="E964">
        <v>177</v>
      </c>
      <c r="F964" s="8" t="s">
        <v>21</v>
      </c>
      <c r="G964">
        <v>24.7</v>
      </c>
      <c r="H964">
        <v>70.599999999999994</v>
      </c>
      <c r="I964" s="8" t="s">
        <v>22</v>
      </c>
      <c r="J964">
        <v>58</v>
      </c>
      <c r="K964">
        <v>301</v>
      </c>
      <c r="L964">
        <v>1</v>
      </c>
      <c r="M964" s="8" t="s">
        <v>31</v>
      </c>
      <c r="N964">
        <v>82.7</v>
      </c>
      <c r="O964">
        <v>254</v>
      </c>
      <c r="P964">
        <v>1</v>
      </c>
      <c r="Q964">
        <v>5</v>
      </c>
      <c r="R964">
        <v>2024</v>
      </c>
      <c r="S964">
        <v>6</v>
      </c>
      <c r="T964" s="8" t="s">
        <v>90</v>
      </c>
      <c r="U964">
        <v>1</v>
      </c>
      <c r="V964">
        <v>0</v>
      </c>
      <c r="W964">
        <v>2</v>
      </c>
      <c r="X964">
        <v>1</v>
      </c>
      <c r="Y964">
        <v>0</v>
      </c>
      <c r="Z964">
        <v>1</v>
      </c>
    </row>
    <row r="965" spans="1:26" x14ac:dyDescent="0.25">
      <c r="A965" s="1">
        <v>45431.465428240743</v>
      </c>
      <c r="B965" s="8" t="s">
        <v>30</v>
      </c>
      <c r="C965">
        <v>57.555</v>
      </c>
      <c r="D965">
        <v>179.23490000000001</v>
      </c>
      <c r="E965">
        <v>448</v>
      </c>
      <c r="F965" s="8" t="s">
        <v>21</v>
      </c>
      <c r="G965">
        <v>21.5</v>
      </c>
      <c r="H965">
        <v>55.7</v>
      </c>
      <c r="I965" s="8" t="s">
        <v>22</v>
      </c>
      <c r="J965">
        <v>55</v>
      </c>
      <c r="K965">
        <v>500</v>
      </c>
      <c r="L965">
        <v>2</v>
      </c>
      <c r="M965" s="8" t="s">
        <v>31</v>
      </c>
      <c r="N965">
        <v>86.7</v>
      </c>
      <c r="O965">
        <v>173</v>
      </c>
      <c r="P965">
        <v>1</v>
      </c>
      <c r="Q965">
        <v>5</v>
      </c>
      <c r="R965">
        <v>2024</v>
      </c>
      <c r="S965">
        <v>0</v>
      </c>
      <c r="T965" s="8" t="s">
        <v>90</v>
      </c>
      <c r="U965">
        <v>0</v>
      </c>
      <c r="V965">
        <v>0</v>
      </c>
      <c r="W965">
        <v>2</v>
      </c>
      <c r="X965">
        <v>1</v>
      </c>
      <c r="Y965">
        <v>0</v>
      </c>
      <c r="Z965">
        <v>1</v>
      </c>
    </row>
    <row r="966" spans="1:26" x14ac:dyDescent="0.25">
      <c r="A966" s="1">
        <v>45584.672118055554</v>
      </c>
      <c r="B966" s="8" t="s">
        <v>34</v>
      </c>
      <c r="C966">
        <v>-8.3428000000000004</v>
      </c>
      <c r="D966">
        <v>-26.270199999999999</v>
      </c>
      <c r="E966">
        <v>197</v>
      </c>
      <c r="F966" s="8" t="s">
        <v>21</v>
      </c>
      <c r="G966">
        <v>22.9</v>
      </c>
      <c r="H966">
        <v>71.900000000000006</v>
      </c>
      <c r="I966" s="8" t="s">
        <v>28</v>
      </c>
      <c r="J966">
        <v>18</v>
      </c>
      <c r="K966">
        <v>387</v>
      </c>
      <c r="L966">
        <v>9</v>
      </c>
      <c r="M966" s="8" t="s">
        <v>19</v>
      </c>
      <c r="N966">
        <v>71</v>
      </c>
      <c r="O966">
        <v>140</v>
      </c>
      <c r="P966">
        <v>0</v>
      </c>
      <c r="Q966">
        <v>10</v>
      </c>
      <c r="R966">
        <v>2024</v>
      </c>
      <c r="S966">
        <v>6</v>
      </c>
      <c r="T966" s="8" t="s">
        <v>91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</row>
    <row r="967" spans="1:26" x14ac:dyDescent="0.25">
      <c r="A967" s="1">
        <v>45394.812395833331</v>
      </c>
      <c r="B967" s="8" t="s">
        <v>24</v>
      </c>
      <c r="C967">
        <v>-51.602499999999999</v>
      </c>
      <c r="D967">
        <v>114.3963</v>
      </c>
      <c r="E967">
        <v>428</v>
      </c>
      <c r="F967" s="8" t="s">
        <v>21</v>
      </c>
      <c r="G967">
        <v>28.6</v>
      </c>
      <c r="H967">
        <v>77.7</v>
      </c>
      <c r="I967" s="8" t="s">
        <v>22</v>
      </c>
      <c r="J967">
        <v>14</v>
      </c>
      <c r="K967">
        <v>175</v>
      </c>
      <c r="L967">
        <v>9</v>
      </c>
      <c r="M967" s="8" t="s">
        <v>27</v>
      </c>
      <c r="N967">
        <v>96.2</v>
      </c>
      <c r="O967">
        <v>115</v>
      </c>
      <c r="P967">
        <v>1</v>
      </c>
      <c r="Q967">
        <v>4</v>
      </c>
      <c r="R967">
        <v>2024</v>
      </c>
      <c r="S967">
        <v>5</v>
      </c>
      <c r="T967" s="8" t="s">
        <v>90</v>
      </c>
      <c r="U967">
        <v>1</v>
      </c>
      <c r="V967">
        <v>0</v>
      </c>
      <c r="W967">
        <v>2</v>
      </c>
      <c r="X967">
        <v>1</v>
      </c>
      <c r="Y967">
        <v>1</v>
      </c>
      <c r="Z967">
        <v>0</v>
      </c>
    </row>
    <row r="968" spans="1:26" x14ac:dyDescent="0.25">
      <c r="A968" s="1">
        <v>45351.980532407404</v>
      </c>
      <c r="B968" s="8" t="s">
        <v>32</v>
      </c>
      <c r="C968">
        <v>-30.946000000000002</v>
      </c>
      <c r="D968">
        <v>-65.535200000000003</v>
      </c>
      <c r="E968">
        <v>435</v>
      </c>
      <c r="F968" s="8" t="s">
        <v>17</v>
      </c>
      <c r="G968">
        <v>24.7</v>
      </c>
      <c r="H968">
        <v>75.3</v>
      </c>
      <c r="I968" s="8" t="s">
        <v>22</v>
      </c>
      <c r="J968">
        <v>41</v>
      </c>
      <c r="K968">
        <v>245</v>
      </c>
      <c r="L968">
        <v>2</v>
      </c>
      <c r="M968" s="8" t="s">
        <v>23</v>
      </c>
      <c r="N968">
        <v>87.1</v>
      </c>
      <c r="O968">
        <v>232</v>
      </c>
      <c r="P968">
        <v>1</v>
      </c>
      <c r="Q968">
        <v>2</v>
      </c>
      <c r="R968">
        <v>2024</v>
      </c>
      <c r="S968">
        <v>4</v>
      </c>
      <c r="T968" s="8" t="s">
        <v>93</v>
      </c>
      <c r="U968">
        <v>0</v>
      </c>
      <c r="V968">
        <v>2</v>
      </c>
      <c r="W968">
        <v>2</v>
      </c>
      <c r="X968">
        <v>1</v>
      </c>
      <c r="Y968">
        <v>1</v>
      </c>
      <c r="Z968">
        <v>0</v>
      </c>
    </row>
    <row r="969" spans="1:26" x14ac:dyDescent="0.25">
      <c r="A969" s="1">
        <v>45568.673101851855</v>
      </c>
      <c r="B969" s="8" t="s">
        <v>20</v>
      </c>
      <c r="C969">
        <v>-47.350299999999997</v>
      </c>
      <c r="D969">
        <v>-100.22110000000001</v>
      </c>
      <c r="E969">
        <v>309</v>
      </c>
      <c r="F969" s="8" t="s">
        <v>21</v>
      </c>
      <c r="G969">
        <v>20.2</v>
      </c>
      <c r="H969">
        <v>65.8</v>
      </c>
      <c r="I969" s="8" t="s">
        <v>18</v>
      </c>
      <c r="J969">
        <v>26</v>
      </c>
      <c r="K969">
        <v>105</v>
      </c>
      <c r="L969">
        <v>9</v>
      </c>
      <c r="M969" s="8" t="s">
        <v>31</v>
      </c>
      <c r="N969">
        <v>60.7</v>
      </c>
      <c r="O969">
        <v>244</v>
      </c>
      <c r="P969">
        <v>0</v>
      </c>
      <c r="Q969">
        <v>10</v>
      </c>
      <c r="R969">
        <v>2024</v>
      </c>
      <c r="S969">
        <v>4</v>
      </c>
      <c r="T969" s="8" t="s">
        <v>91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</row>
    <row r="970" spans="1:26" x14ac:dyDescent="0.25">
      <c r="A970" s="1">
        <v>45485.426018518519</v>
      </c>
      <c r="B970" s="8" t="s">
        <v>25</v>
      </c>
      <c r="C970">
        <v>29.293099999999999</v>
      </c>
      <c r="D970">
        <v>-63.655999999999999</v>
      </c>
      <c r="E970">
        <v>346</v>
      </c>
      <c r="F970" s="8" t="s">
        <v>26</v>
      </c>
      <c r="G970">
        <v>21.5</v>
      </c>
      <c r="H970">
        <v>60.1</v>
      </c>
      <c r="I970" s="8" t="s">
        <v>28</v>
      </c>
      <c r="J970">
        <v>17</v>
      </c>
      <c r="K970">
        <v>370</v>
      </c>
      <c r="L970">
        <v>9</v>
      </c>
      <c r="M970" s="8" t="s">
        <v>19</v>
      </c>
      <c r="N970">
        <v>70.8</v>
      </c>
      <c r="O970">
        <v>259</v>
      </c>
      <c r="P970">
        <v>0</v>
      </c>
      <c r="Q970">
        <v>7</v>
      </c>
      <c r="R970">
        <v>2024</v>
      </c>
      <c r="S970">
        <v>5</v>
      </c>
      <c r="T970" s="8" t="s">
        <v>92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</row>
    <row r="971" spans="1:26" x14ac:dyDescent="0.25">
      <c r="A971" s="1">
        <v>45589.086562500001</v>
      </c>
      <c r="B971" s="8" t="s">
        <v>30</v>
      </c>
      <c r="C971">
        <v>-67.426199999999994</v>
      </c>
      <c r="D971">
        <v>-107.51560000000001</v>
      </c>
      <c r="E971">
        <v>428</v>
      </c>
      <c r="F971" s="8" t="s">
        <v>26</v>
      </c>
      <c r="G971">
        <v>29.1</v>
      </c>
      <c r="H971">
        <v>55.9</v>
      </c>
      <c r="I971" s="8" t="s">
        <v>28</v>
      </c>
      <c r="J971">
        <v>34</v>
      </c>
      <c r="K971">
        <v>176</v>
      </c>
      <c r="L971">
        <v>2</v>
      </c>
      <c r="M971" s="8" t="s">
        <v>19</v>
      </c>
      <c r="N971">
        <v>89.5</v>
      </c>
      <c r="O971">
        <v>123</v>
      </c>
      <c r="P971">
        <v>0</v>
      </c>
      <c r="Q971">
        <v>10</v>
      </c>
      <c r="R971">
        <v>2024</v>
      </c>
      <c r="S971">
        <v>4</v>
      </c>
      <c r="T971" s="8" t="s">
        <v>91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</row>
    <row r="972" spans="1:26" x14ac:dyDescent="0.25">
      <c r="A972" s="1">
        <v>45372.497048611112</v>
      </c>
      <c r="B972" s="8" t="s">
        <v>34</v>
      </c>
      <c r="C972">
        <v>82.811599999999999</v>
      </c>
      <c r="D972">
        <v>62.198300000000003</v>
      </c>
      <c r="E972">
        <v>106</v>
      </c>
      <c r="F972" s="8" t="s">
        <v>26</v>
      </c>
      <c r="G972">
        <v>21.6</v>
      </c>
      <c r="H972">
        <v>79.3</v>
      </c>
      <c r="I972" s="8" t="s">
        <v>28</v>
      </c>
      <c r="J972">
        <v>51</v>
      </c>
      <c r="K972">
        <v>120</v>
      </c>
      <c r="L972">
        <v>9</v>
      </c>
      <c r="M972" s="8" t="s">
        <v>23</v>
      </c>
      <c r="N972">
        <v>96.2</v>
      </c>
      <c r="O972">
        <v>228</v>
      </c>
      <c r="P972">
        <v>0</v>
      </c>
      <c r="Q972">
        <v>3</v>
      </c>
      <c r="R972">
        <v>2024</v>
      </c>
      <c r="S972">
        <v>4</v>
      </c>
      <c r="T972" s="8" t="s">
        <v>90</v>
      </c>
      <c r="U972">
        <v>0</v>
      </c>
      <c r="V972">
        <v>1</v>
      </c>
      <c r="W972">
        <v>0</v>
      </c>
      <c r="X972">
        <v>0</v>
      </c>
      <c r="Y972">
        <v>1</v>
      </c>
      <c r="Z972">
        <v>1</v>
      </c>
    </row>
    <row r="973" spans="1:26" x14ac:dyDescent="0.25">
      <c r="A973" s="1">
        <v>45487.833773148152</v>
      </c>
      <c r="B973" s="8" t="s">
        <v>33</v>
      </c>
      <c r="C973">
        <v>58.6218</v>
      </c>
      <c r="D973">
        <v>133.4487</v>
      </c>
      <c r="E973">
        <v>154</v>
      </c>
      <c r="F973" s="8" t="s">
        <v>17</v>
      </c>
      <c r="G973">
        <v>25.8</v>
      </c>
      <c r="H973">
        <v>69</v>
      </c>
      <c r="I973" s="8" t="s">
        <v>28</v>
      </c>
      <c r="J973">
        <v>60</v>
      </c>
      <c r="K973">
        <v>357</v>
      </c>
      <c r="L973">
        <v>10</v>
      </c>
      <c r="M973" s="8" t="s">
        <v>31</v>
      </c>
      <c r="N973">
        <v>87.9</v>
      </c>
      <c r="O973">
        <v>269</v>
      </c>
      <c r="P973">
        <v>1</v>
      </c>
      <c r="Q973">
        <v>7</v>
      </c>
      <c r="R973">
        <v>2024</v>
      </c>
      <c r="S973">
        <v>0</v>
      </c>
      <c r="T973" s="8" t="s">
        <v>92</v>
      </c>
      <c r="U973">
        <v>0</v>
      </c>
      <c r="V973">
        <v>2</v>
      </c>
      <c r="W973">
        <v>0</v>
      </c>
      <c r="X973">
        <v>0</v>
      </c>
      <c r="Y973">
        <v>0</v>
      </c>
      <c r="Z973">
        <v>1</v>
      </c>
    </row>
    <row r="974" spans="1:26" x14ac:dyDescent="0.25">
      <c r="A974" s="1">
        <v>45619.802754629629</v>
      </c>
      <c r="B974" s="8" t="s">
        <v>24</v>
      </c>
      <c r="C974">
        <v>-31.995899999999999</v>
      </c>
      <c r="D974">
        <v>164.6097</v>
      </c>
      <c r="E974">
        <v>417</v>
      </c>
      <c r="F974" s="8" t="s">
        <v>21</v>
      </c>
      <c r="G974">
        <v>23.8</v>
      </c>
      <c r="H974">
        <v>50.7</v>
      </c>
      <c r="I974" s="8" t="s">
        <v>22</v>
      </c>
      <c r="J974">
        <v>47</v>
      </c>
      <c r="K974">
        <v>278</v>
      </c>
      <c r="L974">
        <v>2</v>
      </c>
      <c r="M974" s="8" t="s">
        <v>19</v>
      </c>
      <c r="N974">
        <v>88.7</v>
      </c>
      <c r="O974">
        <v>226</v>
      </c>
      <c r="P974">
        <v>1</v>
      </c>
      <c r="Q974">
        <v>11</v>
      </c>
      <c r="R974">
        <v>2024</v>
      </c>
      <c r="S974">
        <v>6</v>
      </c>
      <c r="T974" s="8" t="s">
        <v>91</v>
      </c>
      <c r="U974">
        <v>1</v>
      </c>
      <c r="V974">
        <v>0</v>
      </c>
      <c r="W974">
        <v>2</v>
      </c>
      <c r="X974">
        <v>1</v>
      </c>
      <c r="Y974">
        <v>0</v>
      </c>
      <c r="Z974">
        <v>1</v>
      </c>
    </row>
    <row r="975" spans="1:26" x14ac:dyDescent="0.25">
      <c r="A975" s="1">
        <v>45561.440185185187</v>
      </c>
      <c r="B975" s="8" t="s">
        <v>34</v>
      </c>
      <c r="C975">
        <v>84.804100000000005</v>
      </c>
      <c r="D975">
        <v>86.153300000000002</v>
      </c>
      <c r="E975">
        <v>438</v>
      </c>
      <c r="F975" s="8" t="s">
        <v>17</v>
      </c>
      <c r="G975">
        <v>20.6</v>
      </c>
      <c r="H975">
        <v>79.3</v>
      </c>
      <c r="I975" s="8" t="s">
        <v>22</v>
      </c>
      <c r="J975">
        <v>37</v>
      </c>
      <c r="K975">
        <v>431</v>
      </c>
      <c r="L975">
        <v>5</v>
      </c>
      <c r="M975" s="8" t="s">
        <v>31</v>
      </c>
      <c r="N975">
        <v>71.7</v>
      </c>
      <c r="O975">
        <v>246</v>
      </c>
      <c r="P975">
        <v>1</v>
      </c>
      <c r="Q975">
        <v>9</v>
      </c>
      <c r="R975">
        <v>2024</v>
      </c>
      <c r="S975">
        <v>4</v>
      </c>
      <c r="T975" s="8" t="s">
        <v>91</v>
      </c>
      <c r="U975">
        <v>0</v>
      </c>
      <c r="V975">
        <v>2</v>
      </c>
      <c r="W975">
        <v>2</v>
      </c>
      <c r="X975">
        <v>1</v>
      </c>
      <c r="Y975">
        <v>1</v>
      </c>
      <c r="Z975">
        <v>0</v>
      </c>
    </row>
    <row r="976" spans="1:26" x14ac:dyDescent="0.25">
      <c r="A976" s="1">
        <v>45513.700219907405</v>
      </c>
      <c r="B976" s="8" t="s">
        <v>34</v>
      </c>
      <c r="C976">
        <v>-11.147</v>
      </c>
      <c r="D976">
        <v>-97.933499999999995</v>
      </c>
      <c r="E976">
        <v>106</v>
      </c>
      <c r="F976" s="8" t="s">
        <v>17</v>
      </c>
      <c r="G976">
        <v>29.6</v>
      </c>
      <c r="H976">
        <v>62</v>
      </c>
      <c r="I976" s="8" t="s">
        <v>22</v>
      </c>
      <c r="J976">
        <v>54</v>
      </c>
      <c r="K976">
        <v>410</v>
      </c>
      <c r="L976">
        <v>9</v>
      </c>
      <c r="M976" s="8" t="s">
        <v>23</v>
      </c>
      <c r="N976">
        <v>62.3</v>
      </c>
      <c r="O976">
        <v>111</v>
      </c>
      <c r="P976">
        <v>1</v>
      </c>
      <c r="Q976">
        <v>8</v>
      </c>
      <c r="R976">
        <v>2024</v>
      </c>
      <c r="S976">
        <v>5</v>
      </c>
      <c r="T976" s="8" t="s">
        <v>92</v>
      </c>
      <c r="U976">
        <v>1</v>
      </c>
      <c r="V976">
        <v>2</v>
      </c>
      <c r="W976">
        <v>2</v>
      </c>
      <c r="X976">
        <v>1</v>
      </c>
      <c r="Y976">
        <v>0</v>
      </c>
      <c r="Z976">
        <v>1</v>
      </c>
    </row>
    <row r="977" spans="1:26" x14ac:dyDescent="0.25">
      <c r="A977" s="1">
        <v>45619.358067129629</v>
      </c>
      <c r="B977" s="8" t="s">
        <v>29</v>
      </c>
      <c r="C977">
        <v>-9.8535000000000004</v>
      </c>
      <c r="D977">
        <v>-164.78399999999999</v>
      </c>
      <c r="E977">
        <v>147</v>
      </c>
      <c r="F977" s="8" t="s">
        <v>17</v>
      </c>
      <c r="G977">
        <v>27.5</v>
      </c>
      <c r="H977">
        <v>51.6</v>
      </c>
      <c r="I977" s="8" t="s">
        <v>28</v>
      </c>
      <c r="J977">
        <v>15</v>
      </c>
      <c r="K977">
        <v>496</v>
      </c>
      <c r="L977">
        <v>4</v>
      </c>
      <c r="M977" s="8" t="s">
        <v>27</v>
      </c>
      <c r="N977">
        <v>68.400000000000006</v>
      </c>
      <c r="O977">
        <v>238</v>
      </c>
      <c r="P977">
        <v>1</v>
      </c>
      <c r="Q977">
        <v>11</v>
      </c>
      <c r="R977">
        <v>2024</v>
      </c>
      <c r="S977">
        <v>6</v>
      </c>
      <c r="T977" s="8" t="s">
        <v>91</v>
      </c>
      <c r="U977">
        <v>1</v>
      </c>
      <c r="V977">
        <v>2</v>
      </c>
      <c r="W977">
        <v>0</v>
      </c>
      <c r="X977">
        <v>0</v>
      </c>
      <c r="Y977">
        <v>0</v>
      </c>
      <c r="Z977">
        <v>0</v>
      </c>
    </row>
    <row r="978" spans="1:26" x14ac:dyDescent="0.25">
      <c r="A978" s="1">
        <v>45581.950925925928</v>
      </c>
      <c r="B978" s="8" t="s">
        <v>16</v>
      </c>
      <c r="C978">
        <v>35.673999999999999</v>
      </c>
      <c r="D978">
        <v>177.2099</v>
      </c>
      <c r="E978">
        <v>248</v>
      </c>
      <c r="F978" s="8" t="s">
        <v>26</v>
      </c>
      <c r="G978">
        <v>23</v>
      </c>
      <c r="H978">
        <v>72.3</v>
      </c>
      <c r="I978" s="8" t="s">
        <v>22</v>
      </c>
      <c r="J978">
        <v>35</v>
      </c>
      <c r="K978">
        <v>256</v>
      </c>
      <c r="L978">
        <v>3</v>
      </c>
      <c r="M978" s="8" t="s">
        <v>27</v>
      </c>
      <c r="N978">
        <v>99.2</v>
      </c>
      <c r="O978">
        <v>296</v>
      </c>
      <c r="P978">
        <v>1</v>
      </c>
      <c r="Q978">
        <v>10</v>
      </c>
      <c r="R978">
        <v>2024</v>
      </c>
      <c r="S978">
        <v>3</v>
      </c>
      <c r="T978" s="8" t="s">
        <v>91</v>
      </c>
      <c r="U978">
        <v>0</v>
      </c>
      <c r="V978">
        <v>1</v>
      </c>
      <c r="W978">
        <v>2</v>
      </c>
      <c r="X978">
        <v>1</v>
      </c>
      <c r="Y978">
        <v>0</v>
      </c>
      <c r="Z978">
        <v>0</v>
      </c>
    </row>
    <row r="979" spans="1:26" x14ac:dyDescent="0.25">
      <c r="A979" s="1">
        <v>45337.945138888892</v>
      </c>
      <c r="B979" s="8" t="s">
        <v>16</v>
      </c>
      <c r="C979">
        <v>87.965000000000003</v>
      </c>
      <c r="D979">
        <v>-109.0684</v>
      </c>
      <c r="E979">
        <v>299</v>
      </c>
      <c r="F979" s="8" t="s">
        <v>21</v>
      </c>
      <c r="G979">
        <v>20.5</v>
      </c>
      <c r="H979">
        <v>75.2</v>
      </c>
      <c r="I979" s="8" t="s">
        <v>28</v>
      </c>
      <c r="J979">
        <v>21</v>
      </c>
      <c r="K979">
        <v>148</v>
      </c>
      <c r="L979">
        <v>6</v>
      </c>
      <c r="M979" s="8" t="s">
        <v>31</v>
      </c>
      <c r="N979">
        <v>67.5</v>
      </c>
      <c r="O979">
        <v>150</v>
      </c>
      <c r="P979">
        <v>0</v>
      </c>
      <c r="Q979">
        <v>2</v>
      </c>
      <c r="R979">
        <v>2024</v>
      </c>
      <c r="S979">
        <v>4</v>
      </c>
      <c r="T979" s="8" t="s">
        <v>93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</row>
    <row r="980" spans="1:26" x14ac:dyDescent="0.25">
      <c r="A980" s="1">
        <v>45458.118298611109</v>
      </c>
      <c r="B980" s="8" t="s">
        <v>16</v>
      </c>
      <c r="C980">
        <v>68.122900000000001</v>
      </c>
      <c r="D980">
        <v>9.8155000000000001</v>
      </c>
      <c r="E980">
        <v>382</v>
      </c>
      <c r="F980" s="8" t="s">
        <v>26</v>
      </c>
      <c r="G980">
        <v>20.6</v>
      </c>
      <c r="H980">
        <v>72.8</v>
      </c>
      <c r="I980" s="8" t="s">
        <v>22</v>
      </c>
      <c r="J980">
        <v>10</v>
      </c>
      <c r="K980">
        <v>128</v>
      </c>
      <c r="L980">
        <v>1</v>
      </c>
      <c r="M980" s="8" t="s">
        <v>23</v>
      </c>
      <c r="N980">
        <v>79.2</v>
      </c>
      <c r="O980">
        <v>157</v>
      </c>
      <c r="P980">
        <v>1</v>
      </c>
      <c r="Q980">
        <v>6</v>
      </c>
      <c r="R980">
        <v>2024</v>
      </c>
      <c r="S980">
        <v>6</v>
      </c>
      <c r="T980" s="8" t="s">
        <v>92</v>
      </c>
      <c r="U980">
        <v>1</v>
      </c>
      <c r="V980">
        <v>1</v>
      </c>
      <c r="W980">
        <v>2</v>
      </c>
      <c r="X980">
        <v>1</v>
      </c>
      <c r="Y980">
        <v>0</v>
      </c>
      <c r="Z980">
        <v>0</v>
      </c>
    </row>
    <row r="981" spans="1:26" x14ac:dyDescent="0.25">
      <c r="A981" s="1">
        <v>45469.832546296297</v>
      </c>
      <c r="B981" s="8" t="s">
        <v>30</v>
      </c>
      <c r="C981">
        <v>84.021500000000003</v>
      </c>
      <c r="D981">
        <v>75.482900000000001</v>
      </c>
      <c r="E981">
        <v>236</v>
      </c>
      <c r="F981" s="8" t="s">
        <v>26</v>
      </c>
      <c r="G981">
        <v>19.399999999999999</v>
      </c>
      <c r="H981">
        <v>57.2</v>
      </c>
      <c r="I981" s="8" t="s">
        <v>22</v>
      </c>
      <c r="J981">
        <v>13</v>
      </c>
      <c r="K981">
        <v>368</v>
      </c>
      <c r="L981">
        <v>2</v>
      </c>
      <c r="M981" s="8" t="s">
        <v>23</v>
      </c>
      <c r="N981">
        <v>83.7</v>
      </c>
      <c r="O981">
        <v>276</v>
      </c>
      <c r="P981">
        <v>1</v>
      </c>
      <c r="Q981">
        <v>6</v>
      </c>
      <c r="R981">
        <v>2024</v>
      </c>
      <c r="S981">
        <v>3</v>
      </c>
      <c r="T981" s="8" t="s">
        <v>92</v>
      </c>
      <c r="U981">
        <v>0</v>
      </c>
      <c r="V981">
        <v>1</v>
      </c>
      <c r="W981">
        <v>2</v>
      </c>
      <c r="X981">
        <v>1</v>
      </c>
      <c r="Y981">
        <v>0</v>
      </c>
      <c r="Z981">
        <v>0</v>
      </c>
    </row>
    <row r="982" spans="1:26" x14ac:dyDescent="0.25">
      <c r="A982" s="1">
        <v>45627.527048611111</v>
      </c>
      <c r="B982" s="8" t="s">
        <v>29</v>
      </c>
      <c r="C982">
        <v>73.915400000000005</v>
      </c>
      <c r="D982">
        <v>-123.8449</v>
      </c>
      <c r="E982">
        <v>122</v>
      </c>
      <c r="F982" s="8" t="s">
        <v>17</v>
      </c>
      <c r="G982">
        <v>28.3</v>
      </c>
      <c r="H982">
        <v>80</v>
      </c>
      <c r="I982" s="8" t="s">
        <v>18</v>
      </c>
      <c r="J982">
        <v>43</v>
      </c>
      <c r="K982">
        <v>444</v>
      </c>
      <c r="L982">
        <v>10</v>
      </c>
      <c r="M982" s="8" t="s">
        <v>31</v>
      </c>
      <c r="N982">
        <v>91.6</v>
      </c>
      <c r="O982">
        <v>141</v>
      </c>
      <c r="P982">
        <v>1</v>
      </c>
      <c r="Q982">
        <v>12</v>
      </c>
      <c r="R982">
        <v>2024</v>
      </c>
      <c r="S982">
        <v>0</v>
      </c>
      <c r="T982" s="8" t="s">
        <v>93</v>
      </c>
      <c r="U982">
        <v>0</v>
      </c>
      <c r="V982">
        <v>2</v>
      </c>
      <c r="W982">
        <v>1</v>
      </c>
      <c r="X982">
        <v>0</v>
      </c>
      <c r="Y982">
        <v>1</v>
      </c>
      <c r="Z982">
        <v>0</v>
      </c>
    </row>
    <row r="983" spans="1:26" x14ac:dyDescent="0.25">
      <c r="A983" s="1">
        <v>45504.154976851853</v>
      </c>
      <c r="B983" s="8" t="s">
        <v>24</v>
      </c>
      <c r="C983">
        <v>56.282899999999998</v>
      </c>
      <c r="D983">
        <v>49.029200000000003</v>
      </c>
      <c r="E983">
        <v>201</v>
      </c>
      <c r="F983" s="8" t="s">
        <v>21</v>
      </c>
      <c r="G983">
        <v>24.4</v>
      </c>
      <c r="H983">
        <v>50.8</v>
      </c>
      <c r="I983" s="8" t="s">
        <v>22</v>
      </c>
      <c r="J983">
        <v>13</v>
      </c>
      <c r="K983">
        <v>367</v>
      </c>
      <c r="L983">
        <v>2</v>
      </c>
      <c r="M983" s="8" t="s">
        <v>19</v>
      </c>
      <c r="N983">
        <v>88.3</v>
      </c>
      <c r="O983">
        <v>174</v>
      </c>
      <c r="P983">
        <v>1</v>
      </c>
      <c r="Q983">
        <v>7</v>
      </c>
      <c r="R983">
        <v>2024</v>
      </c>
      <c r="S983">
        <v>3</v>
      </c>
      <c r="T983" s="8" t="s">
        <v>92</v>
      </c>
      <c r="U983">
        <v>0</v>
      </c>
      <c r="V983">
        <v>0</v>
      </c>
      <c r="W983">
        <v>2</v>
      </c>
      <c r="X983">
        <v>1</v>
      </c>
      <c r="Y983">
        <v>0</v>
      </c>
      <c r="Z983">
        <v>0</v>
      </c>
    </row>
    <row r="984" spans="1:26" x14ac:dyDescent="0.25">
      <c r="A984" s="1">
        <v>45367.555902777778</v>
      </c>
      <c r="B984" s="8" t="s">
        <v>25</v>
      </c>
      <c r="C984">
        <v>-89.098100000000002</v>
      </c>
      <c r="D984">
        <v>33.8294</v>
      </c>
      <c r="E984">
        <v>226</v>
      </c>
      <c r="F984" s="8" t="s">
        <v>21</v>
      </c>
      <c r="G984">
        <v>18.600000000000001</v>
      </c>
      <c r="H984">
        <v>77.900000000000006</v>
      </c>
      <c r="I984" s="8" t="s">
        <v>22</v>
      </c>
      <c r="J984">
        <v>30</v>
      </c>
      <c r="K984">
        <v>252</v>
      </c>
      <c r="L984">
        <v>10</v>
      </c>
      <c r="M984" s="8" t="s">
        <v>19</v>
      </c>
      <c r="N984">
        <v>67.3</v>
      </c>
      <c r="O984">
        <v>145</v>
      </c>
      <c r="P984">
        <v>1</v>
      </c>
      <c r="Q984">
        <v>3</v>
      </c>
      <c r="R984">
        <v>2024</v>
      </c>
      <c r="S984">
        <v>6</v>
      </c>
      <c r="T984" s="8" t="s">
        <v>90</v>
      </c>
      <c r="U984">
        <v>1</v>
      </c>
      <c r="V984">
        <v>0</v>
      </c>
      <c r="W984">
        <v>2</v>
      </c>
      <c r="X984">
        <v>1</v>
      </c>
      <c r="Y984">
        <v>1</v>
      </c>
      <c r="Z984">
        <v>0</v>
      </c>
    </row>
    <row r="985" spans="1:26" x14ac:dyDescent="0.25">
      <c r="A985" s="1">
        <v>45460.613321759258</v>
      </c>
      <c r="B985" s="8" t="s">
        <v>25</v>
      </c>
      <c r="C985">
        <v>0.40550000000000003</v>
      </c>
      <c r="D985">
        <v>97.602199999999996</v>
      </c>
      <c r="E985">
        <v>266</v>
      </c>
      <c r="F985" s="8" t="s">
        <v>26</v>
      </c>
      <c r="G985">
        <v>23.5</v>
      </c>
      <c r="H985">
        <v>60.2</v>
      </c>
      <c r="I985" s="8" t="s">
        <v>22</v>
      </c>
      <c r="J985">
        <v>57</v>
      </c>
      <c r="K985">
        <v>108</v>
      </c>
      <c r="L985">
        <v>2</v>
      </c>
      <c r="M985" s="8" t="s">
        <v>27</v>
      </c>
      <c r="N985">
        <v>65.5</v>
      </c>
      <c r="O985">
        <v>202</v>
      </c>
      <c r="P985">
        <v>1</v>
      </c>
      <c r="Q985">
        <v>6</v>
      </c>
      <c r="R985">
        <v>2024</v>
      </c>
      <c r="S985">
        <v>1</v>
      </c>
      <c r="T985" s="8" t="s">
        <v>92</v>
      </c>
      <c r="U985">
        <v>0</v>
      </c>
      <c r="V985">
        <v>1</v>
      </c>
      <c r="W985">
        <v>2</v>
      </c>
      <c r="X985">
        <v>1</v>
      </c>
      <c r="Y985">
        <v>0</v>
      </c>
      <c r="Z985">
        <v>1</v>
      </c>
    </row>
    <row r="986" spans="1:26" x14ac:dyDescent="0.25">
      <c r="A986" s="1">
        <v>45317.208402777775</v>
      </c>
      <c r="B986" s="8" t="s">
        <v>32</v>
      </c>
      <c r="C986">
        <v>29.712800000000001</v>
      </c>
      <c r="D986">
        <v>-51.899299999999997</v>
      </c>
      <c r="E986">
        <v>277</v>
      </c>
      <c r="F986" s="8" t="s">
        <v>26</v>
      </c>
      <c r="G986">
        <v>29.2</v>
      </c>
      <c r="H986">
        <v>56.9</v>
      </c>
      <c r="I986" s="8" t="s">
        <v>18</v>
      </c>
      <c r="J986">
        <v>24</v>
      </c>
      <c r="K986">
        <v>100</v>
      </c>
      <c r="L986">
        <v>2</v>
      </c>
      <c r="M986" s="8" t="s">
        <v>31</v>
      </c>
      <c r="N986">
        <v>84.2</v>
      </c>
      <c r="O986">
        <v>164</v>
      </c>
      <c r="P986">
        <v>0</v>
      </c>
      <c r="Q986">
        <v>1</v>
      </c>
      <c r="R986">
        <v>2024</v>
      </c>
      <c r="S986">
        <v>5</v>
      </c>
      <c r="T986" s="8" t="s">
        <v>93</v>
      </c>
      <c r="U986">
        <v>1</v>
      </c>
      <c r="V986">
        <v>1</v>
      </c>
      <c r="W986">
        <v>1</v>
      </c>
      <c r="X986">
        <v>0</v>
      </c>
      <c r="Y986">
        <v>0</v>
      </c>
      <c r="Z986">
        <v>0</v>
      </c>
    </row>
    <row r="987" spans="1:26" x14ac:dyDescent="0.25">
      <c r="A987" s="1">
        <v>45360.414259259262</v>
      </c>
      <c r="B987" s="8" t="s">
        <v>29</v>
      </c>
      <c r="C987">
        <v>76.858199999999997</v>
      </c>
      <c r="D987">
        <v>-8.4829000000000008</v>
      </c>
      <c r="E987">
        <v>475</v>
      </c>
      <c r="F987" s="8" t="s">
        <v>21</v>
      </c>
      <c r="G987">
        <v>24.3</v>
      </c>
      <c r="H987">
        <v>52.6</v>
      </c>
      <c r="I987" s="8" t="s">
        <v>22</v>
      </c>
      <c r="J987">
        <v>55</v>
      </c>
      <c r="K987">
        <v>283</v>
      </c>
      <c r="L987">
        <v>6</v>
      </c>
      <c r="M987" s="8" t="s">
        <v>23</v>
      </c>
      <c r="N987">
        <v>95.9</v>
      </c>
      <c r="O987">
        <v>173</v>
      </c>
      <c r="P987">
        <v>1</v>
      </c>
      <c r="Q987">
        <v>3</v>
      </c>
      <c r="R987">
        <v>2024</v>
      </c>
      <c r="S987">
        <v>6</v>
      </c>
      <c r="T987" s="8" t="s">
        <v>90</v>
      </c>
      <c r="U987">
        <v>1</v>
      </c>
      <c r="V987">
        <v>0</v>
      </c>
      <c r="W987">
        <v>2</v>
      </c>
      <c r="X987">
        <v>1</v>
      </c>
      <c r="Y987">
        <v>0</v>
      </c>
      <c r="Z987">
        <v>1</v>
      </c>
    </row>
    <row r="988" spans="1:26" x14ac:dyDescent="0.25">
      <c r="A988" s="1">
        <v>45532.307638888888</v>
      </c>
      <c r="B988" s="8" t="s">
        <v>32</v>
      </c>
      <c r="C988">
        <v>-74.188000000000002</v>
      </c>
      <c r="D988">
        <v>-176.01410000000001</v>
      </c>
      <c r="E988">
        <v>387</v>
      </c>
      <c r="F988" s="8" t="s">
        <v>26</v>
      </c>
      <c r="G988">
        <v>28.1</v>
      </c>
      <c r="H988">
        <v>64.7</v>
      </c>
      <c r="I988" s="8" t="s">
        <v>28</v>
      </c>
      <c r="J988">
        <v>51</v>
      </c>
      <c r="K988">
        <v>340</v>
      </c>
      <c r="L988">
        <v>10</v>
      </c>
      <c r="M988" s="8" t="s">
        <v>23</v>
      </c>
      <c r="N988">
        <v>61.1</v>
      </c>
      <c r="O988">
        <v>243</v>
      </c>
      <c r="P988">
        <v>0</v>
      </c>
      <c r="Q988">
        <v>8</v>
      </c>
      <c r="R988">
        <v>2024</v>
      </c>
      <c r="S988">
        <v>3</v>
      </c>
      <c r="T988" s="8" t="s">
        <v>92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1</v>
      </c>
    </row>
    <row r="989" spans="1:26" x14ac:dyDescent="0.25">
      <c r="A989" s="1">
        <v>45304.790995370371</v>
      </c>
      <c r="B989" s="8" t="s">
        <v>20</v>
      </c>
      <c r="C989">
        <v>14.1533</v>
      </c>
      <c r="D989">
        <v>164.11859999999999</v>
      </c>
      <c r="E989">
        <v>286</v>
      </c>
      <c r="F989" s="8" t="s">
        <v>21</v>
      </c>
      <c r="G989">
        <v>25</v>
      </c>
      <c r="H989">
        <v>68.400000000000006</v>
      </c>
      <c r="I989" s="8" t="s">
        <v>22</v>
      </c>
      <c r="J989">
        <v>50</v>
      </c>
      <c r="K989">
        <v>382</v>
      </c>
      <c r="L989">
        <v>5</v>
      </c>
      <c r="M989" s="8" t="s">
        <v>23</v>
      </c>
      <c r="N989">
        <v>71.900000000000006</v>
      </c>
      <c r="O989">
        <v>283</v>
      </c>
      <c r="P989">
        <v>1</v>
      </c>
      <c r="Q989">
        <v>1</v>
      </c>
      <c r="R989">
        <v>2024</v>
      </c>
      <c r="S989">
        <v>6</v>
      </c>
      <c r="T989" s="8" t="s">
        <v>93</v>
      </c>
      <c r="U989">
        <v>1</v>
      </c>
      <c r="V989">
        <v>0</v>
      </c>
      <c r="W989">
        <v>2</v>
      </c>
      <c r="X989">
        <v>1</v>
      </c>
      <c r="Y989">
        <v>0</v>
      </c>
      <c r="Z989">
        <v>1</v>
      </c>
    </row>
    <row r="990" spans="1:26" x14ac:dyDescent="0.25">
      <c r="A990" s="1">
        <v>45647.450416666667</v>
      </c>
      <c r="B990" s="8" t="s">
        <v>16</v>
      </c>
      <c r="C990">
        <v>3.9786000000000001</v>
      </c>
      <c r="D990">
        <v>-135.22190000000001</v>
      </c>
      <c r="E990">
        <v>367</v>
      </c>
      <c r="F990" s="8" t="s">
        <v>17</v>
      </c>
      <c r="G990">
        <v>27</v>
      </c>
      <c r="H990">
        <v>55.1</v>
      </c>
      <c r="I990" s="8" t="s">
        <v>22</v>
      </c>
      <c r="J990">
        <v>47</v>
      </c>
      <c r="K990">
        <v>449</v>
      </c>
      <c r="L990">
        <v>9</v>
      </c>
      <c r="M990" s="8" t="s">
        <v>31</v>
      </c>
      <c r="N990">
        <v>99.7</v>
      </c>
      <c r="O990">
        <v>109</v>
      </c>
      <c r="P990">
        <v>1</v>
      </c>
      <c r="Q990">
        <v>12</v>
      </c>
      <c r="R990">
        <v>2024</v>
      </c>
      <c r="S990">
        <v>6</v>
      </c>
      <c r="T990" s="8" t="s">
        <v>93</v>
      </c>
      <c r="U990">
        <v>1</v>
      </c>
      <c r="V990">
        <v>2</v>
      </c>
      <c r="W990">
        <v>2</v>
      </c>
      <c r="X990">
        <v>1</v>
      </c>
      <c r="Y990">
        <v>0</v>
      </c>
      <c r="Z990">
        <v>1</v>
      </c>
    </row>
    <row r="991" spans="1:26" x14ac:dyDescent="0.25">
      <c r="A991" s="1">
        <v>45654.736215277779</v>
      </c>
      <c r="B991" s="8" t="s">
        <v>29</v>
      </c>
      <c r="C991">
        <v>-40.921599999999998</v>
      </c>
      <c r="D991">
        <v>27.528099999999998</v>
      </c>
      <c r="E991">
        <v>371</v>
      </c>
      <c r="F991" s="8" t="s">
        <v>17</v>
      </c>
      <c r="G991">
        <v>27.4</v>
      </c>
      <c r="H991">
        <v>50.9</v>
      </c>
      <c r="I991" s="8" t="s">
        <v>28</v>
      </c>
      <c r="J991">
        <v>40</v>
      </c>
      <c r="K991">
        <v>463</v>
      </c>
      <c r="L991">
        <v>8</v>
      </c>
      <c r="M991" s="8" t="s">
        <v>23</v>
      </c>
      <c r="N991">
        <v>90.7</v>
      </c>
      <c r="O991">
        <v>144</v>
      </c>
      <c r="P991">
        <v>1</v>
      </c>
      <c r="Q991">
        <v>12</v>
      </c>
      <c r="R991">
        <v>2024</v>
      </c>
      <c r="S991">
        <v>6</v>
      </c>
      <c r="T991" s="8" t="s">
        <v>93</v>
      </c>
      <c r="U991">
        <v>1</v>
      </c>
      <c r="V991">
        <v>2</v>
      </c>
      <c r="W991">
        <v>0</v>
      </c>
      <c r="X991">
        <v>0</v>
      </c>
      <c r="Y991">
        <v>0</v>
      </c>
      <c r="Z991">
        <v>0</v>
      </c>
    </row>
    <row r="992" spans="1:26" x14ac:dyDescent="0.25">
      <c r="A992" s="1">
        <v>45522.244293981479</v>
      </c>
      <c r="B992" s="8" t="s">
        <v>16</v>
      </c>
      <c r="C992">
        <v>-58.432099999999998</v>
      </c>
      <c r="D992">
        <v>-90.511799999999994</v>
      </c>
      <c r="E992">
        <v>315</v>
      </c>
      <c r="F992" s="8" t="s">
        <v>26</v>
      </c>
      <c r="G992">
        <v>23.5</v>
      </c>
      <c r="H992">
        <v>68.599999999999994</v>
      </c>
      <c r="I992" s="8" t="s">
        <v>22</v>
      </c>
      <c r="J992">
        <v>20</v>
      </c>
      <c r="K992">
        <v>372</v>
      </c>
      <c r="L992">
        <v>1</v>
      </c>
      <c r="M992" s="8" t="s">
        <v>19</v>
      </c>
      <c r="N992">
        <v>63.8</v>
      </c>
      <c r="O992">
        <v>221</v>
      </c>
      <c r="P992">
        <v>1</v>
      </c>
      <c r="Q992">
        <v>8</v>
      </c>
      <c r="R992">
        <v>2024</v>
      </c>
      <c r="S992">
        <v>0</v>
      </c>
      <c r="T992" s="8" t="s">
        <v>92</v>
      </c>
      <c r="U992">
        <v>0</v>
      </c>
      <c r="V992">
        <v>1</v>
      </c>
      <c r="W992">
        <v>2</v>
      </c>
      <c r="X992">
        <v>1</v>
      </c>
      <c r="Y992">
        <v>0</v>
      </c>
      <c r="Z992">
        <v>0</v>
      </c>
    </row>
    <row r="993" spans="1:26" x14ac:dyDescent="0.25">
      <c r="A993" s="1">
        <v>45544.231446759259</v>
      </c>
      <c r="B993" s="8" t="s">
        <v>20</v>
      </c>
      <c r="C993">
        <v>41.767899999999997</v>
      </c>
      <c r="D993">
        <v>-95.813500000000005</v>
      </c>
      <c r="E993">
        <v>262</v>
      </c>
      <c r="F993" s="8" t="s">
        <v>21</v>
      </c>
      <c r="G993">
        <v>24.5</v>
      </c>
      <c r="H993">
        <v>50.1</v>
      </c>
      <c r="I993" s="8" t="s">
        <v>22</v>
      </c>
      <c r="J993">
        <v>20</v>
      </c>
      <c r="K993">
        <v>387</v>
      </c>
      <c r="L993">
        <v>2</v>
      </c>
      <c r="M993" s="8" t="s">
        <v>23</v>
      </c>
      <c r="N993">
        <v>95</v>
      </c>
      <c r="O993">
        <v>145</v>
      </c>
      <c r="P993">
        <v>1</v>
      </c>
      <c r="Q993">
        <v>9</v>
      </c>
      <c r="R993">
        <v>2024</v>
      </c>
      <c r="S993">
        <v>1</v>
      </c>
      <c r="T993" s="8" t="s">
        <v>91</v>
      </c>
      <c r="U993">
        <v>0</v>
      </c>
      <c r="V993">
        <v>0</v>
      </c>
      <c r="W993">
        <v>2</v>
      </c>
      <c r="X993">
        <v>1</v>
      </c>
      <c r="Y993">
        <v>0</v>
      </c>
      <c r="Z993">
        <v>0</v>
      </c>
    </row>
    <row r="994" spans="1:26" x14ac:dyDescent="0.25">
      <c r="A994" s="1">
        <v>45566.389652777776</v>
      </c>
      <c r="B994" s="8" t="s">
        <v>16</v>
      </c>
      <c r="C994">
        <v>61.942300000000003</v>
      </c>
      <c r="D994">
        <v>34.526000000000003</v>
      </c>
      <c r="E994">
        <v>201</v>
      </c>
      <c r="F994" s="8" t="s">
        <v>17</v>
      </c>
      <c r="G994">
        <v>23.9</v>
      </c>
      <c r="H994">
        <v>57.8</v>
      </c>
      <c r="I994" s="8" t="s">
        <v>22</v>
      </c>
      <c r="J994">
        <v>24</v>
      </c>
      <c r="K994">
        <v>170</v>
      </c>
      <c r="L994">
        <v>1</v>
      </c>
      <c r="M994" s="8" t="s">
        <v>31</v>
      </c>
      <c r="N994">
        <v>90.8</v>
      </c>
      <c r="O994">
        <v>104</v>
      </c>
      <c r="P994">
        <v>1</v>
      </c>
      <c r="Q994">
        <v>10</v>
      </c>
      <c r="R994">
        <v>2024</v>
      </c>
      <c r="S994">
        <v>2</v>
      </c>
      <c r="T994" s="8" t="s">
        <v>91</v>
      </c>
      <c r="U994">
        <v>0</v>
      </c>
      <c r="V994">
        <v>2</v>
      </c>
      <c r="W994">
        <v>2</v>
      </c>
      <c r="X994">
        <v>1</v>
      </c>
      <c r="Y994">
        <v>0</v>
      </c>
      <c r="Z994">
        <v>0</v>
      </c>
    </row>
    <row r="995" spans="1:26" x14ac:dyDescent="0.25">
      <c r="A995" s="1">
        <v>45579.431446759256</v>
      </c>
      <c r="B995" s="8" t="s">
        <v>29</v>
      </c>
      <c r="C995">
        <v>46.972900000000003</v>
      </c>
      <c r="D995">
        <v>-36.519799999999996</v>
      </c>
      <c r="E995">
        <v>420</v>
      </c>
      <c r="F995" s="8" t="s">
        <v>17</v>
      </c>
      <c r="G995">
        <v>21.6</v>
      </c>
      <c r="H995">
        <v>62.8</v>
      </c>
      <c r="I995" s="8" t="s">
        <v>28</v>
      </c>
      <c r="J995">
        <v>31</v>
      </c>
      <c r="K995">
        <v>242</v>
      </c>
      <c r="L995">
        <v>10</v>
      </c>
      <c r="M995" s="8" t="s">
        <v>23</v>
      </c>
      <c r="N995">
        <v>95.6</v>
      </c>
      <c r="O995">
        <v>221</v>
      </c>
      <c r="P995">
        <v>1</v>
      </c>
      <c r="Q995">
        <v>10</v>
      </c>
      <c r="R995">
        <v>2024</v>
      </c>
      <c r="S995">
        <v>1</v>
      </c>
      <c r="T995" s="8" t="s">
        <v>91</v>
      </c>
      <c r="U995">
        <v>0</v>
      </c>
      <c r="V995">
        <v>2</v>
      </c>
      <c r="W995">
        <v>0</v>
      </c>
      <c r="X995">
        <v>0</v>
      </c>
      <c r="Y995">
        <v>0</v>
      </c>
      <c r="Z995">
        <v>0</v>
      </c>
    </row>
    <row r="996" spans="1:26" x14ac:dyDescent="0.25">
      <c r="A996" s="1">
        <v>45456.020185185182</v>
      </c>
      <c r="B996" s="8" t="s">
        <v>35</v>
      </c>
      <c r="C996">
        <v>44.247700000000002</v>
      </c>
      <c r="D996">
        <v>175.0702</v>
      </c>
      <c r="E996">
        <v>143</v>
      </c>
      <c r="F996" s="8" t="s">
        <v>26</v>
      </c>
      <c r="G996">
        <v>21.6</v>
      </c>
      <c r="H996">
        <v>64.099999999999994</v>
      </c>
      <c r="I996" s="8" t="s">
        <v>18</v>
      </c>
      <c r="J996">
        <v>32</v>
      </c>
      <c r="K996">
        <v>307</v>
      </c>
      <c r="L996">
        <v>10</v>
      </c>
      <c r="M996" s="8" t="s">
        <v>27</v>
      </c>
      <c r="N996">
        <v>64</v>
      </c>
      <c r="O996">
        <v>168</v>
      </c>
      <c r="P996">
        <v>0</v>
      </c>
      <c r="Q996">
        <v>6</v>
      </c>
      <c r="R996">
        <v>2024</v>
      </c>
      <c r="S996">
        <v>4</v>
      </c>
      <c r="T996" s="8" t="s">
        <v>92</v>
      </c>
      <c r="U996">
        <v>0</v>
      </c>
      <c r="V996">
        <v>1</v>
      </c>
      <c r="W996">
        <v>1</v>
      </c>
      <c r="X996">
        <v>0</v>
      </c>
      <c r="Y996">
        <v>0</v>
      </c>
      <c r="Z996">
        <v>0</v>
      </c>
    </row>
    <row r="997" spans="1:26" x14ac:dyDescent="0.25">
      <c r="A997" s="1">
        <v>45495.6875</v>
      </c>
      <c r="B997" s="8" t="s">
        <v>20</v>
      </c>
      <c r="C997">
        <v>89.870099999999994</v>
      </c>
      <c r="D997">
        <v>73.686700000000002</v>
      </c>
      <c r="E997">
        <v>264</v>
      </c>
      <c r="F997" s="8" t="s">
        <v>26</v>
      </c>
      <c r="G997">
        <v>26.9</v>
      </c>
      <c r="H997">
        <v>70</v>
      </c>
      <c r="I997" s="8" t="s">
        <v>22</v>
      </c>
      <c r="J997">
        <v>32</v>
      </c>
      <c r="K997">
        <v>188</v>
      </c>
      <c r="L997">
        <v>1</v>
      </c>
      <c r="M997" s="8" t="s">
        <v>23</v>
      </c>
      <c r="N997">
        <v>79.2</v>
      </c>
      <c r="O997">
        <v>213</v>
      </c>
      <c r="P997">
        <v>1</v>
      </c>
      <c r="Q997">
        <v>7</v>
      </c>
      <c r="R997">
        <v>2024</v>
      </c>
      <c r="S997">
        <v>1</v>
      </c>
      <c r="T997" s="8" t="s">
        <v>92</v>
      </c>
      <c r="U997">
        <v>0</v>
      </c>
      <c r="V997">
        <v>1</v>
      </c>
      <c r="W997">
        <v>2</v>
      </c>
      <c r="X997">
        <v>1</v>
      </c>
      <c r="Y997">
        <v>0</v>
      </c>
      <c r="Z997">
        <v>0</v>
      </c>
    </row>
    <row r="998" spans="1:26" x14ac:dyDescent="0.25">
      <c r="A998" s="1">
        <v>45412.207615740743</v>
      </c>
      <c r="B998" s="8" t="s">
        <v>34</v>
      </c>
      <c r="C998">
        <v>-10.479200000000001</v>
      </c>
      <c r="D998">
        <v>-177.12389999999999</v>
      </c>
      <c r="E998">
        <v>479</v>
      </c>
      <c r="F998" s="8" t="s">
        <v>26</v>
      </c>
      <c r="G998">
        <v>23.7</v>
      </c>
      <c r="H998">
        <v>77.900000000000006</v>
      </c>
      <c r="I998" s="8" t="s">
        <v>18</v>
      </c>
      <c r="J998">
        <v>56</v>
      </c>
      <c r="K998">
        <v>276</v>
      </c>
      <c r="L998">
        <v>7</v>
      </c>
      <c r="M998" s="8" t="s">
        <v>23</v>
      </c>
      <c r="N998">
        <v>83.7</v>
      </c>
      <c r="O998">
        <v>272</v>
      </c>
      <c r="P998">
        <v>0</v>
      </c>
      <c r="Q998">
        <v>4</v>
      </c>
      <c r="R998">
        <v>2024</v>
      </c>
      <c r="S998">
        <v>2</v>
      </c>
      <c r="T998" s="8" t="s">
        <v>90</v>
      </c>
      <c r="U998">
        <v>0</v>
      </c>
      <c r="V998">
        <v>1</v>
      </c>
      <c r="W998">
        <v>1</v>
      </c>
      <c r="X998">
        <v>0</v>
      </c>
      <c r="Y998">
        <v>1</v>
      </c>
      <c r="Z998">
        <v>1</v>
      </c>
    </row>
    <row r="999" spans="1:26" x14ac:dyDescent="0.25">
      <c r="A999" s="1">
        <v>45592.923067129632</v>
      </c>
      <c r="B999" s="8" t="s">
        <v>30</v>
      </c>
      <c r="C999">
        <v>-71.060900000000004</v>
      </c>
      <c r="D999">
        <v>75.371399999999994</v>
      </c>
      <c r="E999">
        <v>347</v>
      </c>
      <c r="F999" s="8" t="s">
        <v>21</v>
      </c>
      <c r="G999">
        <v>21</v>
      </c>
      <c r="H999">
        <v>63.1</v>
      </c>
      <c r="I999" s="8" t="s">
        <v>18</v>
      </c>
      <c r="J999">
        <v>35</v>
      </c>
      <c r="K999">
        <v>382</v>
      </c>
      <c r="L999">
        <v>5</v>
      </c>
      <c r="M999" s="8" t="s">
        <v>19</v>
      </c>
      <c r="N999">
        <v>74.8</v>
      </c>
      <c r="O999">
        <v>275</v>
      </c>
      <c r="P999">
        <v>0</v>
      </c>
      <c r="Q999">
        <v>10</v>
      </c>
      <c r="R999">
        <v>2024</v>
      </c>
      <c r="S999">
        <v>0</v>
      </c>
      <c r="T999" s="8" t="s">
        <v>91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</row>
    <row r="1000" spans="1:26" x14ac:dyDescent="0.25">
      <c r="A1000" s="1">
        <v>45400.963148148148</v>
      </c>
      <c r="B1000" s="8" t="s">
        <v>30</v>
      </c>
      <c r="C1000">
        <v>-76.790999999999997</v>
      </c>
      <c r="D1000">
        <v>18.363099999999999</v>
      </c>
      <c r="E1000">
        <v>276</v>
      </c>
      <c r="F1000" s="8" t="s">
        <v>26</v>
      </c>
      <c r="G1000">
        <v>18</v>
      </c>
      <c r="H1000">
        <v>64.3</v>
      </c>
      <c r="I1000" s="8" t="s">
        <v>22</v>
      </c>
      <c r="J1000">
        <v>10</v>
      </c>
      <c r="K1000">
        <v>361</v>
      </c>
      <c r="L1000">
        <v>5</v>
      </c>
      <c r="M1000" s="8" t="s">
        <v>19</v>
      </c>
      <c r="N1000">
        <v>88.6</v>
      </c>
      <c r="O1000">
        <v>242</v>
      </c>
      <c r="P1000">
        <v>1</v>
      </c>
      <c r="Q1000">
        <v>4</v>
      </c>
      <c r="R1000">
        <v>2024</v>
      </c>
      <c r="S1000">
        <v>4</v>
      </c>
      <c r="T1000" s="8" t="s">
        <v>90</v>
      </c>
      <c r="U1000">
        <v>0</v>
      </c>
      <c r="V1000">
        <v>1</v>
      </c>
      <c r="W1000">
        <v>2</v>
      </c>
      <c r="X1000">
        <v>1</v>
      </c>
      <c r="Y1000">
        <v>0</v>
      </c>
      <c r="Z1000">
        <v>0</v>
      </c>
    </row>
    <row r="1001" spans="1:26" x14ac:dyDescent="0.25">
      <c r="A1001" s="1">
        <v>45553.819027777776</v>
      </c>
      <c r="B1001" s="8" t="s">
        <v>32</v>
      </c>
      <c r="C1001">
        <v>59.835599999999999</v>
      </c>
      <c r="D1001">
        <v>-114.4198</v>
      </c>
      <c r="E1001">
        <v>157</v>
      </c>
      <c r="F1001" s="8" t="s">
        <v>17</v>
      </c>
      <c r="G1001">
        <v>18.7</v>
      </c>
      <c r="H1001">
        <v>73.599999999999994</v>
      </c>
      <c r="I1001" s="8" t="s">
        <v>28</v>
      </c>
      <c r="J1001">
        <v>55</v>
      </c>
      <c r="K1001">
        <v>323</v>
      </c>
      <c r="L1001">
        <v>9</v>
      </c>
      <c r="M1001" s="8" t="s">
        <v>31</v>
      </c>
      <c r="N1001">
        <v>81.3</v>
      </c>
      <c r="O1001">
        <v>141</v>
      </c>
      <c r="P1001">
        <v>1</v>
      </c>
      <c r="Q1001">
        <v>9</v>
      </c>
      <c r="R1001">
        <v>2024</v>
      </c>
      <c r="S1001">
        <v>3</v>
      </c>
      <c r="T1001" s="8" t="s">
        <v>91</v>
      </c>
      <c r="U1001">
        <v>0</v>
      </c>
      <c r="V1001">
        <v>2</v>
      </c>
      <c r="W1001">
        <v>0</v>
      </c>
      <c r="X1001">
        <v>0</v>
      </c>
      <c r="Y1001">
        <v>0</v>
      </c>
      <c r="Z100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4D70-E110-4DCC-9D5C-B9B7A8CED009}">
  <dimension ref="A1:W1001"/>
  <sheetViews>
    <sheetView workbookViewId="0">
      <selection activeCell="C2" sqref="C2"/>
    </sheetView>
  </sheetViews>
  <sheetFormatPr defaultRowHeight="15" x14ac:dyDescent="0.25"/>
  <cols>
    <col min="1" max="1" width="15.42578125" customWidth="1"/>
    <col min="2" max="2" width="14.5703125" bestFit="1" customWidth="1"/>
    <col min="3" max="4" width="13.5703125" bestFit="1" customWidth="1"/>
    <col min="5" max="5" width="17.42578125" customWidth="1"/>
    <col min="6" max="6" width="13.42578125" bestFit="1" customWidth="1"/>
    <col min="7" max="7" width="13" bestFit="1" customWidth="1"/>
    <col min="8" max="8" width="14.5703125" bestFit="1" customWidth="1"/>
    <col min="9" max="9" width="20" bestFit="1" customWidth="1"/>
    <col min="10" max="10" width="21" bestFit="1" customWidth="1"/>
    <col min="11" max="11" width="26.42578125" customWidth="1"/>
    <col min="12" max="12" width="26.7109375" customWidth="1"/>
    <col min="13" max="13" width="24.7109375" customWidth="1"/>
    <col min="14" max="14" width="17.85546875" bestFit="1" customWidth="1"/>
    <col min="15" max="15" width="29.28515625" bestFit="1" customWidth="1"/>
    <col min="16" max="16" width="29.5703125" bestFit="1" customWidth="1"/>
    <col min="17" max="17" width="27.5703125" bestFit="1" customWidth="1"/>
    <col min="18" max="18" width="20.7109375" bestFit="1" customWidth="1"/>
    <col min="19" max="19" width="22" bestFit="1" customWidth="1"/>
    <col min="20" max="20" width="19.7109375" bestFit="1" customWidth="1"/>
    <col min="21" max="21" width="24.85546875" bestFit="1" customWidth="1"/>
    <col min="22" max="22" width="23.85546875" bestFit="1" customWidth="1"/>
    <col min="23" max="23" width="21.28515625" bestFit="1" customWidth="1"/>
  </cols>
  <sheetData>
    <row r="1" spans="1:23" x14ac:dyDescent="0.25">
      <c r="A1" t="s">
        <v>0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79</v>
      </c>
      <c r="V1" s="5" t="s">
        <v>80</v>
      </c>
      <c r="W1" t="s">
        <v>81</v>
      </c>
    </row>
    <row r="2" spans="1:23" x14ac:dyDescent="0.25">
      <c r="A2" s="1">
        <v>45371.007800925923</v>
      </c>
      <c r="B2" s="6">
        <f>INT(smart_dataset[[#This Row],[Timestamp]])</f>
        <v>45371</v>
      </c>
      <c r="C2" s="7">
        <f>MOD(smart_dataset[[#This Row],[Timestamp]],1)</f>
        <v>7.8009259232203476E-3</v>
      </c>
      <c r="D2">
        <f>YEAR(smart_dataset[[#This Row],[Date]])</f>
        <v>2024</v>
      </c>
      <c r="E2">
        <f>MONTH(smart_dataset[[#This Row],[Timestamp]])</f>
        <v>3</v>
      </c>
      <c r="F2" t="s">
        <v>16</v>
      </c>
      <c r="G2">
        <v>-65.738299999999995</v>
      </c>
      <c r="H2">
        <v>11.249700000000001</v>
      </c>
      <c r="I2">
        <v>390</v>
      </c>
      <c r="J2" t="s">
        <v>17</v>
      </c>
      <c r="K2">
        <v>27</v>
      </c>
      <c r="L2">
        <v>67.8</v>
      </c>
      <c r="M2" t="s">
        <v>18</v>
      </c>
      <c r="N2">
        <v>38</v>
      </c>
      <c r="O2">
        <v>320</v>
      </c>
      <c r="P2">
        <v>4</v>
      </c>
      <c r="Q2" t="s">
        <v>19</v>
      </c>
      <c r="R2">
        <v>60.1</v>
      </c>
      <c r="S2">
        <v>285</v>
      </c>
      <c r="T2">
        <v>1</v>
      </c>
      <c r="U2" t="str" cm="1">
        <f t="array" ref="U2">_xlfn.IFS(smart_dataset[[#This Row],[Waiting_Time]]&lt;=20,"Low",smart_dataset[[#This Row],[Waiting_Time]]&lt;=40,"Medium",TRUE,"High")</f>
        <v>Medium</v>
      </c>
      <c r="V2" t="str" cm="1">
        <f t="array" ref="V2">_xlfn.IFS(smart_dataset[[#This Row],[Temperature]]&lt;=20,"Cold",smart_dataset[[#This Row],[Temperature]]&lt;=28,"Normal",TRUE,"Hot")</f>
        <v>Normal</v>
      </c>
      <c r="W2" t="str" cm="1">
        <f t="array" ref="W2">_xlfn.IFS(smart_dataset[[#This Row],[Asset_Utilization]]&lt;=75,"Low",smart_dataset[[#This Row],[Asset_Utilization]]&lt;=90,"Medium",TRUE,"High")</f>
        <v>Low</v>
      </c>
    </row>
    <row r="3" spans="1:23" hidden="1" x14ac:dyDescent="0.25">
      <c r="A3" s="1">
        <v>45595.329062500001</v>
      </c>
      <c r="B3" s="1">
        <f>INT(smart_dataset[[#This Row],[Timestamp]])</f>
        <v>45595</v>
      </c>
      <c r="C3" s="1">
        <f>MOD(smart_dataset[[#This Row],[Timestamp]],1)</f>
        <v>0.32906250000087311</v>
      </c>
      <c r="D3" s="1">
        <f>YEAR(smart_dataset[[#This Row],[Date]])</f>
        <v>2024</v>
      </c>
      <c r="E3" s="1">
        <f>MONTH(smart_dataset[[#This Row],[Timestamp]])</f>
        <v>10</v>
      </c>
      <c r="F3" t="s">
        <v>20</v>
      </c>
      <c r="G3">
        <v>22.274799999999999</v>
      </c>
      <c r="H3">
        <v>-131.70859999999999</v>
      </c>
      <c r="I3">
        <v>491</v>
      </c>
      <c r="J3" t="s">
        <v>21</v>
      </c>
      <c r="K3">
        <v>22.5</v>
      </c>
      <c r="L3">
        <v>54.3</v>
      </c>
      <c r="M3" t="s">
        <v>22</v>
      </c>
      <c r="N3">
        <v>16</v>
      </c>
      <c r="O3">
        <v>439</v>
      </c>
      <c r="P3">
        <v>7</v>
      </c>
      <c r="Q3" t="s">
        <v>23</v>
      </c>
      <c r="R3">
        <v>80.900000000000006</v>
      </c>
      <c r="S3">
        <v>174</v>
      </c>
      <c r="T3">
        <v>1</v>
      </c>
      <c r="U3" t="str" cm="1">
        <f t="array" ref="U3">_xlfn.IFS(smart_dataset[[#This Row],[Waiting_Time]]&lt;=20,"Low",smart_dataset[[#This Row],[Waiting_Time]]&lt;=40,"Medium",TRUE,"High")</f>
        <v>Low</v>
      </c>
      <c r="V3" t="str" cm="1">
        <f t="array" ref="V3">_xlfn.IFS(smart_dataset[[#This Row],[Temperature]]&lt;=20,"Cold",smart_dataset[[#This Row],[Temperature]]&lt;=28,"Normal",TRUE,"Hot")</f>
        <v>Normal</v>
      </c>
      <c r="W3" t="str" cm="1">
        <f t="array" ref="W3">_xlfn.IFS(smart_dataset[[#This Row],[Asset_Utilization]]&lt;=75,"Low",smart_dataset[[#This Row],[Asset_Utilization]]&lt;=90,"Medium",TRUE,"High")</f>
        <v>Medium</v>
      </c>
    </row>
    <row r="4" spans="1:23" x14ac:dyDescent="0.25">
      <c r="A4" s="1">
        <v>45502.779722222222</v>
      </c>
      <c r="B4" s="1">
        <f>INT(smart_dataset[[#This Row],[Timestamp]])</f>
        <v>45502</v>
      </c>
      <c r="C4" s="7">
        <f>MOD(smart_dataset[[#This Row],[Timestamp]],1)</f>
        <v>0.77972222222160781</v>
      </c>
      <c r="D4">
        <f>YEAR(smart_dataset[[#This Row],[Date]])</f>
        <v>2024</v>
      </c>
      <c r="E4">
        <f>MONTH(smart_dataset[[#This Row],[Timestamp]])</f>
        <v>7</v>
      </c>
      <c r="F4" t="s">
        <v>24</v>
      </c>
      <c r="G4">
        <v>54.923200000000001</v>
      </c>
      <c r="H4">
        <v>79.545500000000004</v>
      </c>
      <c r="I4">
        <v>190</v>
      </c>
      <c r="J4" t="s">
        <v>21</v>
      </c>
      <c r="K4">
        <v>25.2</v>
      </c>
      <c r="L4">
        <v>62.2</v>
      </c>
      <c r="M4" t="s">
        <v>18</v>
      </c>
      <c r="N4">
        <v>34</v>
      </c>
      <c r="O4">
        <v>355</v>
      </c>
      <c r="P4">
        <v>3</v>
      </c>
      <c r="Q4" t="s">
        <v>19</v>
      </c>
      <c r="R4">
        <v>99.2</v>
      </c>
      <c r="S4">
        <v>260</v>
      </c>
      <c r="T4">
        <v>0</v>
      </c>
      <c r="U4" t="str" cm="1">
        <f t="array" ref="U4">_xlfn.IFS(smart_dataset[[#This Row],[Waiting_Time]]&lt;=20,"Low",smart_dataset[[#This Row],[Waiting_Time]]&lt;=40,"Medium",TRUE,"High")</f>
        <v>Medium</v>
      </c>
      <c r="V4" t="str" cm="1">
        <f t="array" ref="V4">_xlfn.IFS(smart_dataset[[#This Row],[Temperature]]&lt;=20,"Cold",smart_dataset[[#This Row],[Temperature]]&lt;=28,"Normal",TRUE,"Hot")</f>
        <v>Normal</v>
      </c>
      <c r="W4" t="str" cm="1">
        <f t="array" ref="W4">_xlfn.IFS(smart_dataset[[#This Row],[Asset_Utilization]]&lt;=75,"Low",smart_dataset[[#This Row],[Asset_Utilization]]&lt;=90,"Medium",TRUE,"High")</f>
        <v>High</v>
      </c>
    </row>
    <row r="5" spans="1:23" hidden="1" x14ac:dyDescent="0.25">
      <c r="A5" s="1">
        <v>45593.03534722222</v>
      </c>
      <c r="B5" s="1">
        <f>INT(smart_dataset[[#This Row],[Timestamp]])</f>
        <v>45593</v>
      </c>
      <c r="C5" s="1">
        <f>MOD(smart_dataset[[#This Row],[Timestamp]],1)</f>
        <v>3.534722221957054E-2</v>
      </c>
      <c r="D5" s="1">
        <f>YEAR(smart_dataset[[#This Row],[Date]])</f>
        <v>2024</v>
      </c>
      <c r="E5" s="1">
        <f>MONTH(smart_dataset[[#This Row],[Timestamp]])</f>
        <v>10</v>
      </c>
      <c r="F5" t="s">
        <v>25</v>
      </c>
      <c r="G5">
        <v>42.39</v>
      </c>
      <c r="H5">
        <v>-1.4787999999999999</v>
      </c>
      <c r="I5">
        <v>330</v>
      </c>
      <c r="J5" t="s">
        <v>26</v>
      </c>
      <c r="K5">
        <v>25.4</v>
      </c>
      <c r="L5">
        <v>52.3</v>
      </c>
      <c r="M5" t="s">
        <v>22</v>
      </c>
      <c r="N5">
        <v>37</v>
      </c>
      <c r="O5">
        <v>227</v>
      </c>
      <c r="P5">
        <v>5</v>
      </c>
      <c r="Q5" t="s">
        <v>27</v>
      </c>
      <c r="R5">
        <v>97.4</v>
      </c>
      <c r="S5">
        <v>160</v>
      </c>
      <c r="T5">
        <v>1</v>
      </c>
      <c r="U5" t="str" cm="1">
        <f t="array" ref="U5">_xlfn.IFS(smart_dataset[[#This Row],[Waiting_Time]]&lt;=20,"Low",smart_dataset[[#This Row],[Waiting_Time]]&lt;=40,"Medium",TRUE,"High")</f>
        <v>Medium</v>
      </c>
      <c r="V5" t="str" cm="1">
        <f t="array" ref="V5">_xlfn.IFS(smart_dataset[[#This Row],[Temperature]]&lt;=20,"Cold",smart_dataset[[#This Row],[Temperature]]&lt;=28,"Normal",TRUE,"Hot")</f>
        <v>Normal</v>
      </c>
      <c r="W5" t="str" cm="1">
        <f t="array" ref="W5">_xlfn.IFS(smart_dataset[[#This Row],[Asset_Utilization]]&lt;=75,"Low",smart_dataset[[#This Row],[Asset_Utilization]]&lt;=90,"Medium",TRUE,"High")</f>
        <v>High</v>
      </c>
    </row>
    <row r="6" spans="1:23" x14ac:dyDescent="0.25">
      <c r="A6" s="1">
        <v>45562.661782407406</v>
      </c>
      <c r="B6" s="1">
        <f>INT(smart_dataset[[#This Row],[Timestamp]])</f>
        <v>45562</v>
      </c>
      <c r="C6" s="7">
        <f>MOD(smart_dataset[[#This Row],[Timestamp]],1)</f>
        <v>0.66178240740555339</v>
      </c>
      <c r="D6">
        <f>YEAR(smart_dataset[[#This Row],[Date]])</f>
        <v>2024</v>
      </c>
      <c r="E6">
        <f>MONTH(smart_dataset[[#This Row],[Timestamp]])</f>
        <v>9</v>
      </c>
      <c r="F6" t="s">
        <v>16</v>
      </c>
      <c r="G6">
        <v>-65.847700000000003</v>
      </c>
      <c r="H6">
        <v>47.946800000000003</v>
      </c>
      <c r="I6">
        <v>480</v>
      </c>
      <c r="J6" t="s">
        <v>17</v>
      </c>
      <c r="K6">
        <v>20.5</v>
      </c>
      <c r="L6">
        <v>57.2</v>
      </c>
      <c r="M6" t="s">
        <v>28</v>
      </c>
      <c r="N6">
        <v>56</v>
      </c>
      <c r="O6">
        <v>197</v>
      </c>
      <c r="P6">
        <v>6</v>
      </c>
      <c r="Q6" t="s">
        <v>19</v>
      </c>
      <c r="R6">
        <v>71.599999999999994</v>
      </c>
      <c r="S6">
        <v>270</v>
      </c>
      <c r="T6">
        <v>1</v>
      </c>
      <c r="U6" t="str" cm="1">
        <f t="array" ref="U6">_xlfn.IFS(smart_dataset[[#This Row],[Waiting_Time]]&lt;=20,"Low",smart_dataset[[#This Row],[Waiting_Time]]&lt;=40,"Medium",TRUE,"High")</f>
        <v>High</v>
      </c>
      <c r="V6" t="str" cm="1">
        <f t="array" ref="V6">_xlfn.IFS(smart_dataset[[#This Row],[Temperature]]&lt;=20,"Cold",smart_dataset[[#This Row],[Temperature]]&lt;=28,"Normal",TRUE,"Hot")</f>
        <v>Normal</v>
      </c>
      <c r="W6" t="str" cm="1">
        <f t="array" ref="W6">_xlfn.IFS(smart_dataset[[#This Row],[Asset_Utilization]]&lt;=75,"Low",smart_dataset[[#This Row],[Asset_Utilization]]&lt;=90,"Medium",TRUE,"High")</f>
        <v>Low</v>
      </c>
    </row>
    <row r="7" spans="1:23" x14ac:dyDescent="0.25">
      <c r="A7" s="1">
        <v>45552.251562500001</v>
      </c>
      <c r="B7" s="1">
        <f>INT(smart_dataset[[#This Row],[Timestamp]])</f>
        <v>45552</v>
      </c>
      <c r="C7" s="7">
        <f>MOD(smart_dataset[[#This Row],[Timestamp]],1)</f>
        <v>0.25156250000145519</v>
      </c>
      <c r="D7">
        <f>YEAR(smart_dataset[[#This Row],[Date]])</f>
        <v>2024</v>
      </c>
      <c r="E7">
        <f>MONTH(smart_dataset[[#This Row],[Timestamp]])</f>
        <v>9</v>
      </c>
      <c r="F7" t="s">
        <v>16</v>
      </c>
      <c r="G7">
        <v>73.331199999999995</v>
      </c>
      <c r="H7">
        <v>46.583100000000002</v>
      </c>
      <c r="I7">
        <v>118</v>
      </c>
      <c r="J7" t="s">
        <v>21</v>
      </c>
      <c r="K7">
        <v>24.3</v>
      </c>
      <c r="L7">
        <v>61.8</v>
      </c>
      <c r="M7" t="s">
        <v>28</v>
      </c>
      <c r="N7">
        <v>56</v>
      </c>
      <c r="O7">
        <v>258</v>
      </c>
      <c r="P7">
        <v>10</v>
      </c>
      <c r="Q7" t="s">
        <v>19</v>
      </c>
      <c r="R7">
        <v>66.8</v>
      </c>
      <c r="S7">
        <v>189</v>
      </c>
      <c r="T7">
        <v>0</v>
      </c>
      <c r="U7" t="str" cm="1">
        <f t="array" ref="U7">_xlfn.IFS(smart_dataset[[#This Row],[Waiting_Time]]&lt;=20,"Low",smart_dataset[[#This Row],[Waiting_Time]]&lt;=40,"Medium",TRUE,"High")</f>
        <v>High</v>
      </c>
      <c r="V7" t="str" cm="1">
        <f t="array" ref="V7">_xlfn.IFS(smart_dataset[[#This Row],[Temperature]]&lt;=20,"Cold",smart_dataset[[#This Row],[Temperature]]&lt;=28,"Normal",TRUE,"Hot")</f>
        <v>Normal</v>
      </c>
      <c r="W7" t="str" cm="1">
        <f t="array" ref="W7">_xlfn.IFS(smart_dataset[[#This Row],[Asset_Utilization]]&lt;=75,"Low",smart_dataset[[#This Row],[Asset_Utilization]]&lt;=90,"Medium",TRUE,"High")</f>
        <v>Low</v>
      </c>
    </row>
    <row r="8" spans="1:23" x14ac:dyDescent="0.25">
      <c r="A8" s="1">
        <v>45327.36037037037</v>
      </c>
      <c r="B8" s="1">
        <f>INT(smart_dataset[[#This Row],[Timestamp]])</f>
        <v>45327</v>
      </c>
      <c r="C8" s="7">
        <f>MOD(smart_dataset[[#This Row],[Timestamp]],1)</f>
        <v>0.36037037037021946</v>
      </c>
      <c r="D8">
        <f>YEAR(smart_dataset[[#This Row],[Date]])</f>
        <v>2024</v>
      </c>
      <c r="E8">
        <f>MONTH(smart_dataset[[#This Row],[Timestamp]])</f>
        <v>2</v>
      </c>
      <c r="F8" t="s">
        <v>29</v>
      </c>
      <c r="G8">
        <v>27.930700000000002</v>
      </c>
      <c r="H8">
        <v>147.5317</v>
      </c>
      <c r="I8">
        <v>480</v>
      </c>
      <c r="J8" t="s">
        <v>17</v>
      </c>
      <c r="K8">
        <v>20.7</v>
      </c>
      <c r="L8">
        <v>75.400000000000006</v>
      </c>
      <c r="M8" t="s">
        <v>28</v>
      </c>
      <c r="N8">
        <v>32</v>
      </c>
      <c r="O8">
        <v>263</v>
      </c>
      <c r="P8">
        <v>3</v>
      </c>
      <c r="Q8" t="s">
        <v>19</v>
      </c>
      <c r="R8">
        <v>73.3</v>
      </c>
      <c r="S8">
        <v>198</v>
      </c>
      <c r="T8">
        <v>1</v>
      </c>
      <c r="U8" t="str" cm="1">
        <f t="array" ref="U8">_xlfn.IFS(smart_dataset[[#This Row],[Waiting_Time]]&lt;=20,"Low",smart_dataset[[#This Row],[Waiting_Time]]&lt;=40,"Medium",TRUE,"High")</f>
        <v>Medium</v>
      </c>
      <c r="V8" t="str" cm="1">
        <f t="array" ref="V8">_xlfn.IFS(smart_dataset[[#This Row],[Temperature]]&lt;=20,"Cold",smart_dataset[[#This Row],[Temperature]]&lt;=28,"Normal",TRUE,"Hot")</f>
        <v>Normal</v>
      </c>
      <c r="W8" t="str" cm="1">
        <f t="array" ref="W8">_xlfn.IFS(smart_dataset[[#This Row],[Asset_Utilization]]&lt;=75,"Low",smart_dataset[[#This Row],[Asset_Utilization]]&lt;=90,"Medium",TRUE,"High")</f>
        <v>Low</v>
      </c>
    </row>
    <row r="9" spans="1:23" hidden="1" x14ac:dyDescent="0.25">
      <c r="A9" s="1">
        <v>45563.38082175926</v>
      </c>
      <c r="B9" s="1">
        <f>INT(smart_dataset[[#This Row],[Timestamp]])</f>
        <v>45563</v>
      </c>
      <c r="C9" s="1">
        <f>MOD(smart_dataset[[#This Row],[Timestamp]],1)</f>
        <v>0.38082175925956108</v>
      </c>
      <c r="D9" s="1">
        <f>YEAR(smart_dataset[[#This Row],[Date]])</f>
        <v>2024</v>
      </c>
      <c r="E9" s="1">
        <f>MONTH(smart_dataset[[#This Row],[Timestamp]])</f>
        <v>9</v>
      </c>
      <c r="F9" t="s">
        <v>25</v>
      </c>
      <c r="G9">
        <v>46.564300000000003</v>
      </c>
      <c r="H9">
        <v>-126.5348</v>
      </c>
      <c r="I9">
        <v>222</v>
      </c>
      <c r="J9" t="s">
        <v>21</v>
      </c>
      <c r="K9">
        <v>23.3</v>
      </c>
      <c r="L9">
        <v>64.2</v>
      </c>
      <c r="M9" t="s">
        <v>18</v>
      </c>
      <c r="N9">
        <v>30</v>
      </c>
      <c r="O9">
        <v>459</v>
      </c>
      <c r="P9">
        <v>9</v>
      </c>
      <c r="Q9" t="s">
        <v>27</v>
      </c>
      <c r="R9">
        <v>73.8</v>
      </c>
      <c r="S9">
        <v>253</v>
      </c>
      <c r="T9">
        <v>0</v>
      </c>
      <c r="U9" t="str" cm="1">
        <f t="array" ref="U9">_xlfn.IFS(smart_dataset[[#This Row],[Waiting_Time]]&lt;=20,"Low",smart_dataset[[#This Row],[Waiting_Time]]&lt;=40,"Medium",TRUE,"High")</f>
        <v>Medium</v>
      </c>
      <c r="V9" t="str" cm="1">
        <f t="array" ref="V9">_xlfn.IFS(smart_dataset[[#This Row],[Temperature]]&lt;=20,"Cold",smart_dataset[[#This Row],[Temperature]]&lt;=28,"Normal",TRUE,"Hot")</f>
        <v>Normal</v>
      </c>
      <c r="W9" t="str" cm="1">
        <f t="array" ref="W9">_xlfn.IFS(smart_dataset[[#This Row],[Asset_Utilization]]&lt;=75,"Low",smart_dataset[[#This Row],[Asset_Utilization]]&lt;=90,"Medium",TRUE,"High")</f>
        <v>Low</v>
      </c>
    </row>
    <row r="10" spans="1:23" x14ac:dyDescent="0.25">
      <c r="A10" s="1">
        <v>45309.352129629631</v>
      </c>
      <c r="B10" s="1">
        <f>INT(smart_dataset[[#This Row],[Timestamp]])</f>
        <v>45309</v>
      </c>
      <c r="C10" s="7">
        <f>MOD(smart_dataset[[#This Row],[Timestamp]],1)</f>
        <v>0.35212962963123573</v>
      </c>
      <c r="D10">
        <f>YEAR(smart_dataset[[#This Row],[Date]])</f>
        <v>2024</v>
      </c>
      <c r="E10">
        <f>MONTH(smart_dataset[[#This Row],[Timestamp]])</f>
        <v>1</v>
      </c>
      <c r="F10" t="s">
        <v>25</v>
      </c>
      <c r="G10">
        <v>-83.673699999999997</v>
      </c>
      <c r="H10">
        <v>-31.712499999999999</v>
      </c>
      <c r="I10">
        <v>245</v>
      </c>
      <c r="J10" t="s">
        <v>26</v>
      </c>
      <c r="K10">
        <v>26.4</v>
      </c>
      <c r="L10">
        <v>77.2</v>
      </c>
      <c r="M10" t="s">
        <v>28</v>
      </c>
      <c r="N10">
        <v>14</v>
      </c>
      <c r="O10">
        <v>183</v>
      </c>
      <c r="P10">
        <v>2</v>
      </c>
      <c r="Q10" t="s">
        <v>19</v>
      </c>
      <c r="R10">
        <v>69.599999999999994</v>
      </c>
      <c r="S10">
        <v>206</v>
      </c>
      <c r="T10">
        <v>0</v>
      </c>
      <c r="U10" t="str" cm="1">
        <f t="array" ref="U10">_xlfn.IFS(smart_dataset[[#This Row],[Waiting_Time]]&lt;=20,"Low",smart_dataset[[#This Row],[Waiting_Time]]&lt;=40,"Medium",TRUE,"High")</f>
        <v>Low</v>
      </c>
      <c r="V10" t="str" cm="1">
        <f t="array" ref="V10">_xlfn.IFS(smart_dataset[[#This Row],[Temperature]]&lt;=20,"Cold",smart_dataset[[#This Row],[Temperature]]&lt;=28,"Normal",TRUE,"Hot")</f>
        <v>Normal</v>
      </c>
      <c r="W10" t="str" cm="1">
        <f t="array" ref="W10">_xlfn.IFS(smart_dataset[[#This Row],[Asset_Utilization]]&lt;=75,"Low",smart_dataset[[#This Row],[Asset_Utilization]]&lt;=90,"Medium",TRUE,"High")</f>
        <v>Low</v>
      </c>
    </row>
    <row r="11" spans="1:23" hidden="1" x14ac:dyDescent="0.25">
      <c r="A11" s="1">
        <v>45605.033634259256</v>
      </c>
      <c r="B11" s="1">
        <f>INT(smart_dataset[[#This Row],[Timestamp]])</f>
        <v>45605</v>
      </c>
      <c r="C11" s="1">
        <f>MOD(smart_dataset[[#This Row],[Timestamp]],1)</f>
        <v>3.3634259256359655E-2</v>
      </c>
      <c r="D11" s="1">
        <f>YEAR(smart_dataset[[#This Row],[Date]])</f>
        <v>2024</v>
      </c>
      <c r="E11" s="1">
        <f>MONTH(smart_dataset[[#This Row],[Timestamp]])</f>
        <v>11</v>
      </c>
      <c r="F11" t="s">
        <v>30</v>
      </c>
      <c r="G11">
        <v>54.168300000000002</v>
      </c>
      <c r="H11">
        <v>-135.26759999999999</v>
      </c>
      <c r="I11">
        <v>389</v>
      </c>
      <c r="J11" t="s">
        <v>21</v>
      </c>
      <c r="K11">
        <v>21.9</v>
      </c>
      <c r="L11">
        <v>57.3</v>
      </c>
      <c r="M11" t="s">
        <v>28</v>
      </c>
      <c r="N11">
        <v>52</v>
      </c>
      <c r="O11">
        <v>127</v>
      </c>
      <c r="P11">
        <v>7</v>
      </c>
      <c r="Q11" t="s">
        <v>31</v>
      </c>
      <c r="R11">
        <v>63.1</v>
      </c>
      <c r="S11">
        <v>224</v>
      </c>
      <c r="T11">
        <v>0</v>
      </c>
      <c r="U11" t="str" cm="1">
        <f t="array" ref="U11">_xlfn.IFS(smart_dataset[[#This Row],[Waiting_Time]]&lt;=20,"Low",smart_dataset[[#This Row],[Waiting_Time]]&lt;=40,"Medium",TRUE,"High")</f>
        <v>High</v>
      </c>
      <c r="V11" t="str" cm="1">
        <f t="array" ref="V11">_xlfn.IFS(smart_dataset[[#This Row],[Temperature]]&lt;=20,"Cold",smart_dataset[[#This Row],[Temperature]]&lt;=28,"Normal",TRUE,"Hot")</f>
        <v>Normal</v>
      </c>
      <c r="W11" t="str" cm="1">
        <f t="array" ref="W11">_xlfn.IFS(smart_dataset[[#This Row],[Asset_Utilization]]&lt;=75,"Low",smart_dataset[[#This Row],[Asset_Utilization]]&lt;=90,"Medium",TRUE,"High")</f>
        <v>Low</v>
      </c>
    </row>
    <row r="12" spans="1:23" x14ac:dyDescent="0.25">
      <c r="A12" s="1">
        <v>45300.972025462965</v>
      </c>
      <c r="B12" s="1">
        <f>INT(smart_dataset[[#This Row],[Timestamp]])</f>
        <v>45300</v>
      </c>
      <c r="C12" s="7">
        <f>MOD(smart_dataset[[#This Row],[Timestamp]],1)</f>
        <v>0.97202546296466608</v>
      </c>
      <c r="D12">
        <f>YEAR(smart_dataset[[#This Row],[Date]])</f>
        <v>2024</v>
      </c>
      <c r="E12">
        <f>MONTH(smart_dataset[[#This Row],[Timestamp]])</f>
        <v>1</v>
      </c>
      <c r="F12" t="s">
        <v>25</v>
      </c>
      <c r="G12">
        <v>82.963300000000004</v>
      </c>
      <c r="H12">
        <v>-154.5274</v>
      </c>
      <c r="I12">
        <v>319</v>
      </c>
      <c r="J12" t="s">
        <v>17</v>
      </c>
      <c r="K12">
        <v>22</v>
      </c>
      <c r="L12">
        <v>53.5</v>
      </c>
      <c r="M12" t="s">
        <v>28</v>
      </c>
      <c r="N12">
        <v>28</v>
      </c>
      <c r="O12">
        <v>360</v>
      </c>
      <c r="P12">
        <v>4</v>
      </c>
      <c r="Q12" t="s">
        <v>19</v>
      </c>
      <c r="R12">
        <v>69.8</v>
      </c>
      <c r="S12">
        <v>171</v>
      </c>
      <c r="T12">
        <v>1</v>
      </c>
      <c r="U12" t="str" cm="1">
        <f t="array" ref="U12">_xlfn.IFS(smart_dataset[[#This Row],[Waiting_Time]]&lt;=20,"Low",smart_dataset[[#This Row],[Waiting_Time]]&lt;=40,"Medium",TRUE,"High")</f>
        <v>Medium</v>
      </c>
      <c r="V12" t="str" cm="1">
        <f t="array" ref="V12">_xlfn.IFS(smart_dataset[[#This Row],[Temperature]]&lt;=20,"Cold",smart_dataset[[#This Row],[Temperature]]&lt;=28,"Normal",TRUE,"Hot")</f>
        <v>Normal</v>
      </c>
      <c r="W12" t="str" cm="1">
        <f t="array" ref="W12">_xlfn.IFS(smart_dataset[[#This Row],[Asset_Utilization]]&lt;=75,"Low",smart_dataset[[#This Row],[Asset_Utilization]]&lt;=90,"Medium",TRUE,"High")</f>
        <v>Low</v>
      </c>
    </row>
    <row r="13" spans="1:23" hidden="1" x14ac:dyDescent="0.25">
      <c r="A13" s="1">
        <v>45324.936296296299</v>
      </c>
      <c r="B13" s="1">
        <f>INT(smart_dataset[[#This Row],[Timestamp]])</f>
        <v>45324</v>
      </c>
      <c r="C13" s="1">
        <f>MOD(smart_dataset[[#This Row],[Timestamp]],1)</f>
        <v>0.9362962962986785</v>
      </c>
      <c r="D13" s="1">
        <f>YEAR(smart_dataset[[#This Row],[Date]])</f>
        <v>2024</v>
      </c>
      <c r="E13" s="1">
        <f>MONTH(smart_dataset[[#This Row],[Timestamp]])</f>
        <v>2</v>
      </c>
      <c r="F13" t="s">
        <v>24</v>
      </c>
      <c r="G13">
        <v>-25.276800000000001</v>
      </c>
      <c r="H13">
        <v>156.12620000000001</v>
      </c>
      <c r="I13">
        <v>234</v>
      </c>
      <c r="J13" t="s">
        <v>26</v>
      </c>
      <c r="K13">
        <v>29.7</v>
      </c>
      <c r="L13">
        <v>63.6</v>
      </c>
      <c r="M13" t="s">
        <v>18</v>
      </c>
      <c r="N13">
        <v>13</v>
      </c>
      <c r="O13">
        <v>406</v>
      </c>
      <c r="P13">
        <v>10</v>
      </c>
      <c r="Q13" t="s">
        <v>27</v>
      </c>
      <c r="R13">
        <v>85.5</v>
      </c>
      <c r="S13">
        <v>238</v>
      </c>
      <c r="T13">
        <v>0</v>
      </c>
      <c r="U13" t="str" cm="1">
        <f t="array" ref="U13">_xlfn.IFS(smart_dataset[[#This Row],[Waiting_Time]]&lt;=20,"Low",smart_dataset[[#This Row],[Waiting_Time]]&lt;=40,"Medium",TRUE,"High")</f>
        <v>Low</v>
      </c>
      <c r="V13" t="str" cm="1">
        <f t="array" ref="V13">_xlfn.IFS(smart_dataset[[#This Row],[Temperature]]&lt;=20,"Cold",smart_dataset[[#This Row],[Temperature]]&lt;=28,"Normal",TRUE,"Hot")</f>
        <v>Hot</v>
      </c>
      <c r="W13" t="str" cm="1">
        <f t="array" ref="W13">_xlfn.IFS(smart_dataset[[#This Row],[Asset_Utilization]]&lt;=75,"Low",smart_dataset[[#This Row],[Asset_Utilization]]&lt;=90,"Medium",TRUE,"High")</f>
        <v>Medium</v>
      </c>
    </row>
    <row r="14" spans="1:23" hidden="1" x14ac:dyDescent="0.25">
      <c r="A14" s="1">
        <v>45339.885208333333</v>
      </c>
      <c r="B14" s="1">
        <f>INT(smart_dataset[[#This Row],[Timestamp]])</f>
        <v>45339</v>
      </c>
      <c r="C14" s="1">
        <f>MOD(smart_dataset[[#This Row],[Timestamp]],1)</f>
        <v>0.88520833333313931</v>
      </c>
      <c r="D14" s="1">
        <f>YEAR(smart_dataset[[#This Row],[Date]])</f>
        <v>2024</v>
      </c>
      <c r="E14" s="1">
        <f>MONTH(smart_dataset[[#This Row],[Timestamp]])</f>
        <v>2</v>
      </c>
      <c r="F14" t="s">
        <v>32</v>
      </c>
      <c r="G14">
        <v>-65.525999999999996</v>
      </c>
      <c r="H14">
        <v>-3.0202</v>
      </c>
      <c r="I14">
        <v>154</v>
      </c>
      <c r="J14" t="s">
        <v>21</v>
      </c>
      <c r="K14">
        <v>21.5</v>
      </c>
      <c r="L14">
        <v>74.2</v>
      </c>
      <c r="M14" t="s">
        <v>18</v>
      </c>
      <c r="N14">
        <v>38</v>
      </c>
      <c r="O14">
        <v>215</v>
      </c>
      <c r="P14">
        <v>3</v>
      </c>
      <c r="Q14" t="s">
        <v>23</v>
      </c>
      <c r="R14">
        <v>84.4</v>
      </c>
      <c r="S14">
        <v>114</v>
      </c>
      <c r="T14">
        <v>0</v>
      </c>
      <c r="U14" t="str" cm="1">
        <f t="array" ref="U14">_xlfn.IFS(smart_dataset[[#This Row],[Waiting_Time]]&lt;=20,"Low",smart_dataset[[#This Row],[Waiting_Time]]&lt;=40,"Medium",TRUE,"High")</f>
        <v>Medium</v>
      </c>
      <c r="V14" t="str" cm="1">
        <f t="array" ref="V14">_xlfn.IFS(smart_dataset[[#This Row],[Temperature]]&lt;=20,"Cold",smart_dataset[[#This Row],[Temperature]]&lt;=28,"Normal",TRUE,"Hot")</f>
        <v>Normal</v>
      </c>
      <c r="W14" t="str" cm="1">
        <f t="array" ref="W14">_xlfn.IFS(smart_dataset[[#This Row],[Asset_Utilization]]&lt;=75,"Low",smart_dataset[[#This Row],[Asset_Utilization]]&lt;=90,"Medium",TRUE,"High")</f>
        <v>Medium</v>
      </c>
    </row>
    <row r="15" spans="1:23" x14ac:dyDescent="0.25">
      <c r="A15" s="1">
        <v>45355.281134259261</v>
      </c>
      <c r="B15" s="1">
        <f>INT(smart_dataset[[#This Row],[Timestamp]])</f>
        <v>45355</v>
      </c>
      <c r="C15" s="7">
        <f>MOD(smart_dataset[[#This Row],[Timestamp]],1)</f>
        <v>0.28113425926130731</v>
      </c>
      <c r="D15">
        <f>YEAR(smart_dataset[[#This Row],[Date]])</f>
        <v>2024</v>
      </c>
      <c r="E15">
        <f>MONTH(smart_dataset[[#This Row],[Timestamp]])</f>
        <v>3</v>
      </c>
      <c r="F15" t="s">
        <v>30</v>
      </c>
      <c r="G15">
        <v>-26.183599999999998</v>
      </c>
      <c r="H15">
        <v>-30.364100000000001</v>
      </c>
      <c r="I15">
        <v>348</v>
      </c>
      <c r="J15" t="s">
        <v>26</v>
      </c>
      <c r="K15">
        <v>27.3</v>
      </c>
      <c r="L15">
        <v>71.599999999999994</v>
      </c>
      <c r="M15" t="s">
        <v>18</v>
      </c>
      <c r="N15">
        <v>30</v>
      </c>
      <c r="O15">
        <v>211</v>
      </c>
      <c r="P15">
        <v>2</v>
      </c>
      <c r="Q15" t="s">
        <v>19</v>
      </c>
      <c r="R15">
        <v>96.4</v>
      </c>
      <c r="S15">
        <v>115</v>
      </c>
      <c r="T15">
        <v>0</v>
      </c>
      <c r="U15" t="str" cm="1">
        <f t="array" ref="U15">_xlfn.IFS(smart_dataset[[#This Row],[Waiting_Time]]&lt;=20,"Low",smart_dataset[[#This Row],[Waiting_Time]]&lt;=40,"Medium",TRUE,"High")</f>
        <v>Medium</v>
      </c>
      <c r="V15" t="str" cm="1">
        <f t="array" ref="V15">_xlfn.IFS(smart_dataset[[#This Row],[Temperature]]&lt;=20,"Cold",smart_dataset[[#This Row],[Temperature]]&lt;=28,"Normal",TRUE,"Hot")</f>
        <v>Normal</v>
      </c>
      <c r="W15" t="str" cm="1">
        <f t="array" ref="W15">_xlfn.IFS(smart_dataset[[#This Row],[Asset_Utilization]]&lt;=75,"Low",smart_dataset[[#This Row],[Asset_Utilization]]&lt;=90,"Medium",TRUE,"High")</f>
        <v>High</v>
      </c>
    </row>
    <row r="16" spans="1:23" hidden="1" x14ac:dyDescent="0.25">
      <c r="A16" s="1">
        <v>45532.513356481482</v>
      </c>
      <c r="B16" s="1">
        <f>INT(smart_dataset[[#This Row],[Timestamp]])</f>
        <v>45532</v>
      </c>
      <c r="C16" s="1">
        <f>MOD(smart_dataset[[#This Row],[Timestamp]],1)</f>
        <v>0.51335648148233304</v>
      </c>
      <c r="D16" s="1">
        <f>YEAR(smart_dataset[[#This Row],[Date]])</f>
        <v>2024</v>
      </c>
      <c r="E16" s="1">
        <f>MONTH(smart_dataset[[#This Row],[Timestamp]])</f>
        <v>8</v>
      </c>
      <c r="F16" t="s">
        <v>33</v>
      </c>
      <c r="G16">
        <v>2.6709000000000001</v>
      </c>
      <c r="H16">
        <v>-80.887900000000002</v>
      </c>
      <c r="I16">
        <v>163</v>
      </c>
      <c r="J16" t="s">
        <v>21</v>
      </c>
      <c r="K16">
        <v>25.1</v>
      </c>
      <c r="L16">
        <v>76.8</v>
      </c>
      <c r="M16" t="s">
        <v>22</v>
      </c>
      <c r="N16">
        <v>54</v>
      </c>
      <c r="O16">
        <v>320</v>
      </c>
      <c r="P16">
        <v>5</v>
      </c>
      <c r="Q16" t="s">
        <v>23</v>
      </c>
      <c r="R16">
        <v>93.2</v>
      </c>
      <c r="S16">
        <v>231</v>
      </c>
      <c r="T16">
        <v>1</v>
      </c>
      <c r="U16" t="str" cm="1">
        <f t="array" ref="U16">_xlfn.IFS(smart_dataset[[#This Row],[Waiting_Time]]&lt;=20,"Low",smart_dataset[[#This Row],[Waiting_Time]]&lt;=40,"Medium",TRUE,"High")</f>
        <v>High</v>
      </c>
      <c r="V16" t="str" cm="1">
        <f t="array" ref="V16">_xlfn.IFS(smart_dataset[[#This Row],[Temperature]]&lt;=20,"Cold",smart_dataset[[#This Row],[Temperature]]&lt;=28,"Normal",TRUE,"Hot")</f>
        <v>Normal</v>
      </c>
      <c r="W16" t="str" cm="1">
        <f t="array" ref="W16">_xlfn.IFS(smart_dataset[[#This Row],[Asset_Utilization]]&lt;=75,"Low",smart_dataset[[#This Row],[Asset_Utilization]]&lt;=90,"Medium",TRUE,"High")</f>
        <v>High</v>
      </c>
    </row>
    <row r="17" spans="1:23" hidden="1" x14ac:dyDescent="0.25">
      <c r="A17" s="1">
        <v>45295.953275462962</v>
      </c>
      <c r="B17" s="1">
        <f>INT(smart_dataset[[#This Row],[Timestamp]])</f>
        <v>45295</v>
      </c>
      <c r="C17" s="1">
        <f>MOD(smart_dataset[[#This Row],[Timestamp]],1)</f>
        <v>0.95327546296175569</v>
      </c>
      <c r="D17" s="1">
        <f>YEAR(smart_dataset[[#This Row],[Date]])</f>
        <v>2024</v>
      </c>
      <c r="E17" s="1">
        <f>MONTH(smart_dataset[[#This Row],[Timestamp]])</f>
        <v>1</v>
      </c>
      <c r="F17" t="s">
        <v>34</v>
      </c>
      <c r="G17">
        <v>-22.479299999999999</v>
      </c>
      <c r="H17">
        <v>-54.514299999999999</v>
      </c>
      <c r="I17">
        <v>130</v>
      </c>
      <c r="J17" t="s">
        <v>17</v>
      </c>
      <c r="K17">
        <v>23.7</v>
      </c>
      <c r="L17">
        <v>68.099999999999994</v>
      </c>
      <c r="M17" t="s">
        <v>28</v>
      </c>
      <c r="N17">
        <v>45</v>
      </c>
      <c r="O17">
        <v>487</v>
      </c>
      <c r="P17">
        <v>4</v>
      </c>
      <c r="Q17" t="s">
        <v>27</v>
      </c>
      <c r="R17">
        <v>84.1</v>
      </c>
      <c r="S17">
        <v>256</v>
      </c>
      <c r="T17">
        <v>1</v>
      </c>
      <c r="U17" t="str" cm="1">
        <f t="array" ref="U17">_xlfn.IFS(smart_dataset[[#This Row],[Waiting_Time]]&lt;=20,"Low",smart_dataset[[#This Row],[Waiting_Time]]&lt;=40,"Medium",TRUE,"High")</f>
        <v>High</v>
      </c>
      <c r="V17" t="str" cm="1">
        <f t="array" ref="V17">_xlfn.IFS(smart_dataset[[#This Row],[Temperature]]&lt;=20,"Cold",smart_dataset[[#This Row],[Temperature]]&lt;=28,"Normal",TRUE,"Hot")</f>
        <v>Normal</v>
      </c>
      <c r="W17" t="str" cm="1">
        <f t="array" ref="W17">_xlfn.IFS(smart_dataset[[#This Row],[Asset_Utilization]]&lt;=75,"Low",smart_dataset[[#This Row],[Asset_Utilization]]&lt;=90,"Medium",TRUE,"High")</f>
        <v>Medium</v>
      </c>
    </row>
    <row r="18" spans="1:23" hidden="1" x14ac:dyDescent="0.25">
      <c r="A18" s="1">
        <v>45595.744479166664</v>
      </c>
      <c r="B18" s="1">
        <f>INT(smart_dataset[[#This Row],[Timestamp]])</f>
        <v>45595</v>
      </c>
      <c r="C18" s="1">
        <f>MOD(smart_dataset[[#This Row],[Timestamp]],1)</f>
        <v>0.74447916666395031</v>
      </c>
      <c r="D18" s="1">
        <f>YEAR(smart_dataset[[#This Row],[Date]])</f>
        <v>2024</v>
      </c>
      <c r="E18" s="1">
        <f>MONTH(smart_dataset[[#This Row],[Timestamp]])</f>
        <v>10</v>
      </c>
      <c r="F18" t="s">
        <v>29</v>
      </c>
      <c r="G18">
        <v>-34.535299999999999</v>
      </c>
      <c r="H18">
        <v>-40.861699999999999</v>
      </c>
      <c r="I18">
        <v>391</v>
      </c>
      <c r="J18" t="s">
        <v>17</v>
      </c>
      <c r="K18">
        <v>21.6</v>
      </c>
      <c r="L18">
        <v>72.5</v>
      </c>
      <c r="M18" t="s">
        <v>28</v>
      </c>
      <c r="N18">
        <v>58</v>
      </c>
      <c r="O18">
        <v>298</v>
      </c>
      <c r="P18">
        <v>7</v>
      </c>
      <c r="Q18" t="s">
        <v>27</v>
      </c>
      <c r="R18">
        <v>61.5</v>
      </c>
      <c r="S18">
        <v>170</v>
      </c>
      <c r="T18">
        <v>1</v>
      </c>
      <c r="U18" t="str" cm="1">
        <f t="array" ref="U18">_xlfn.IFS(smart_dataset[[#This Row],[Waiting_Time]]&lt;=20,"Low",smart_dataset[[#This Row],[Waiting_Time]]&lt;=40,"Medium",TRUE,"High")</f>
        <v>High</v>
      </c>
      <c r="V18" t="str" cm="1">
        <f t="array" ref="V18">_xlfn.IFS(smart_dataset[[#This Row],[Temperature]]&lt;=20,"Cold",smart_dataset[[#This Row],[Temperature]]&lt;=28,"Normal",TRUE,"Hot")</f>
        <v>Normal</v>
      </c>
      <c r="W18" t="str" cm="1">
        <f t="array" ref="W18">_xlfn.IFS(smart_dataset[[#This Row],[Asset_Utilization]]&lt;=75,"Low",smart_dataset[[#This Row],[Asset_Utilization]]&lt;=90,"Medium",TRUE,"High")</f>
        <v>Low</v>
      </c>
    </row>
    <row r="19" spans="1:23" x14ac:dyDescent="0.25">
      <c r="A19" s="1">
        <v>45488.654189814813</v>
      </c>
      <c r="B19" s="1">
        <f>INT(smart_dataset[[#This Row],[Timestamp]])</f>
        <v>45488</v>
      </c>
      <c r="C19" s="7">
        <f>MOD(smart_dataset[[#This Row],[Timestamp]],1)</f>
        <v>0.65418981481343508</v>
      </c>
      <c r="D19">
        <f>YEAR(smart_dataset[[#This Row],[Date]])</f>
        <v>2024</v>
      </c>
      <c r="E19">
        <f>MONTH(smart_dataset[[#This Row],[Timestamp]])</f>
        <v>7</v>
      </c>
      <c r="F19" t="s">
        <v>16</v>
      </c>
      <c r="G19">
        <v>-8.7104999999999997</v>
      </c>
      <c r="H19">
        <v>-17.834700000000002</v>
      </c>
      <c r="I19">
        <v>344</v>
      </c>
      <c r="J19" t="s">
        <v>17</v>
      </c>
      <c r="K19">
        <v>21.4</v>
      </c>
      <c r="L19">
        <v>53.5</v>
      </c>
      <c r="M19" t="s">
        <v>18</v>
      </c>
      <c r="N19">
        <v>23</v>
      </c>
      <c r="O19">
        <v>461</v>
      </c>
      <c r="P19">
        <v>9</v>
      </c>
      <c r="Q19" t="s">
        <v>19</v>
      </c>
      <c r="R19">
        <v>93.4</v>
      </c>
      <c r="S19">
        <v>106</v>
      </c>
      <c r="T19">
        <v>1</v>
      </c>
      <c r="U19" t="str" cm="1">
        <f t="array" ref="U19">_xlfn.IFS(smart_dataset[[#This Row],[Waiting_Time]]&lt;=20,"Low",smart_dataset[[#This Row],[Waiting_Time]]&lt;=40,"Medium",TRUE,"High")</f>
        <v>Medium</v>
      </c>
      <c r="V19" t="str" cm="1">
        <f t="array" ref="V19">_xlfn.IFS(smart_dataset[[#This Row],[Temperature]]&lt;=20,"Cold",smart_dataset[[#This Row],[Temperature]]&lt;=28,"Normal",TRUE,"Hot")</f>
        <v>Normal</v>
      </c>
      <c r="W19" t="str" cm="1">
        <f t="array" ref="W19">_xlfn.IFS(smart_dataset[[#This Row],[Asset_Utilization]]&lt;=75,"Low",smart_dataset[[#This Row],[Asset_Utilization]]&lt;=90,"Medium",TRUE,"High")</f>
        <v>High</v>
      </c>
    </row>
    <row r="20" spans="1:23" x14ac:dyDescent="0.25">
      <c r="A20" s="1">
        <v>45310.279513888891</v>
      </c>
      <c r="B20" s="1">
        <f>INT(smart_dataset[[#This Row],[Timestamp]])</f>
        <v>45310</v>
      </c>
      <c r="C20" s="7">
        <f>MOD(smart_dataset[[#This Row],[Timestamp]],1)</f>
        <v>0.27951388889050577</v>
      </c>
      <c r="D20">
        <f>YEAR(smart_dataset[[#This Row],[Date]])</f>
        <v>2024</v>
      </c>
      <c r="E20">
        <f>MONTH(smart_dataset[[#This Row],[Timestamp]])</f>
        <v>1</v>
      </c>
      <c r="F20" t="s">
        <v>34</v>
      </c>
      <c r="G20">
        <v>14.6629</v>
      </c>
      <c r="H20">
        <v>116.06959999999999</v>
      </c>
      <c r="I20">
        <v>409</v>
      </c>
      <c r="J20" t="s">
        <v>17</v>
      </c>
      <c r="K20">
        <v>27.5</v>
      </c>
      <c r="L20">
        <v>66.599999999999994</v>
      </c>
      <c r="M20" t="s">
        <v>18</v>
      </c>
      <c r="N20">
        <v>29</v>
      </c>
      <c r="O20">
        <v>492</v>
      </c>
      <c r="P20">
        <v>3</v>
      </c>
      <c r="Q20" t="s">
        <v>19</v>
      </c>
      <c r="R20">
        <v>72.599999999999994</v>
      </c>
      <c r="S20">
        <v>204</v>
      </c>
      <c r="T20">
        <v>1</v>
      </c>
      <c r="U20" t="str" cm="1">
        <f t="array" ref="U20">_xlfn.IFS(smart_dataset[[#This Row],[Waiting_Time]]&lt;=20,"Low",smart_dataset[[#This Row],[Waiting_Time]]&lt;=40,"Medium",TRUE,"High")</f>
        <v>Medium</v>
      </c>
      <c r="V20" t="str" cm="1">
        <f t="array" ref="V20">_xlfn.IFS(smart_dataset[[#This Row],[Temperature]]&lt;=20,"Cold",smart_dataset[[#This Row],[Temperature]]&lt;=28,"Normal",TRUE,"Hot")</f>
        <v>Normal</v>
      </c>
      <c r="W20" t="str" cm="1">
        <f t="array" ref="W20">_xlfn.IFS(smart_dataset[[#This Row],[Asset_Utilization]]&lt;=75,"Low",smart_dataset[[#This Row],[Asset_Utilization]]&lt;=90,"Medium",TRUE,"High")</f>
        <v>Low</v>
      </c>
    </row>
    <row r="21" spans="1:23" hidden="1" x14ac:dyDescent="0.25">
      <c r="A21" s="1">
        <v>45410.891365740739</v>
      </c>
      <c r="B21" s="1">
        <f>INT(smart_dataset[[#This Row],[Timestamp]])</f>
        <v>45410</v>
      </c>
      <c r="C21" s="1">
        <f>MOD(smart_dataset[[#This Row],[Timestamp]],1)</f>
        <v>0.89136574073927477</v>
      </c>
      <c r="D21" s="1">
        <f>YEAR(smart_dataset[[#This Row],[Date]])</f>
        <v>2024</v>
      </c>
      <c r="E21" s="1">
        <f>MONTH(smart_dataset[[#This Row],[Timestamp]])</f>
        <v>4</v>
      </c>
      <c r="F21" t="s">
        <v>24</v>
      </c>
      <c r="G21">
        <v>75.774299999999997</v>
      </c>
      <c r="H21">
        <v>108.9425</v>
      </c>
      <c r="I21">
        <v>457</v>
      </c>
      <c r="J21" t="s">
        <v>21</v>
      </c>
      <c r="K21">
        <v>25.5</v>
      </c>
      <c r="L21">
        <v>75.900000000000006</v>
      </c>
      <c r="M21" t="s">
        <v>28</v>
      </c>
      <c r="N21">
        <v>21</v>
      </c>
      <c r="O21">
        <v>315</v>
      </c>
      <c r="P21">
        <v>3</v>
      </c>
      <c r="Q21" t="s">
        <v>27</v>
      </c>
      <c r="R21">
        <v>83.4</v>
      </c>
      <c r="S21">
        <v>248</v>
      </c>
      <c r="T21">
        <v>0</v>
      </c>
      <c r="U21" t="str" cm="1">
        <f t="array" ref="U21">_xlfn.IFS(smart_dataset[[#This Row],[Waiting_Time]]&lt;=20,"Low",smart_dataset[[#This Row],[Waiting_Time]]&lt;=40,"Medium",TRUE,"High")</f>
        <v>Medium</v>
      </c>
      <c r="V21" t="str" cm="1">
        <f t="array" ref="V21">_xlfn.IFS(smart_dataset[[#This Row],[Temperature]]&lt;=20,"Cold",smart_dataset[[#This Row],[Temperature]]&lt;=28,"Normal",TRUE,"Hot")</f>
        <v>Normal</v>
      </c>
      <c r="W21" t="str" cm="1">
        <f t="array" ref="W21">_xlfn.IFS(smart_dataset[[#This Row],[Asset_Utilization]]&lt;=75,"Low",smart_dataset[[#This Row],[Asset_Utilization]]&lt;=90,"Medium",TRUE,"High")</f>
        <v>Medium</v>
      </c>
    </row>
    <row r="22" spans="1:23" hidden="1" x14ac:dyDescent="0.25">
      <c r="A22" s="1">
        <v>45357.833634259259</v>
      </c>
      <c r="B22" s="1">
        <f>INT(smart_dataset[[#This Row],[Timestamp]])</f>
        <v>45357</v>
      </c>
      <c r="C22" s="1">
        <f>MOD(smart_dataset[[#This Row],[Timestamp]],1)</f>
        <v>0.83363425925927004</v>
      </c>
      <c r="D22" s="1">
        <f>YEAR(smart_dataset[[#This Row],[Date]])</f>
        <v>2024</v>
      </c>
      <c r="E22" s="1">
        <f>MONTH(smart_dataset[[#This Row],[Timestamp]])</f>
        <v>3</v>
      </c>
      <c r="F22" t="s">
        <v>34</v>
      </c>
      <c r="G22">
        <v>50.341900000000003</v>
      </c>
      <c r="H22">
        <v>108.5647</v>
      </c>
      <c r="I22">
        <v>207</v>
      </c>
      <c r="J22" t="s">
        <v>26</v>
      </c>
      <c r="K22">
        <v>29.3</v>
      </c>
      <c r="L22">
        <v>59.4</v>
      </c>
      <c r="M22" t="s">
        <v>18</v>
      </c>
      <c r="N22">
        <v>31</v>
      </c>
      <c r="O22">
        <v>174</v>
      </c>
      <c r="P22">
        <v>5</v>
      </c>
      <c r="Q22" t="s">
        <v>31</v>
      </c>
      <c r="R22">
        <v>65.900000000000006</v>
      </c>
      <c r="S22">
        <v>195</v>
      </c>
      <c r="T22">
        <v>0</v>
      </c>
      <c r="U22" t="str" cm="1">
        <f t="array" ref="U22">_xlfn.IFS(smart_dataset[[#This Row],[Waiting_Time]]&lt;=20,"Low",smart_dataset[[#This Row],[Waiting_Time]]&lt;=40,"Medium",TRUE,"High")</f>
        <v>Medium</v>
      </c>
      <c r="V22" t="str" cm="1">
        <f t="array" ref="V22">_xlfn.IFS(smart_dataset[[#This Row],[Temperature]]&lt;=20,"Cold",smart_dataset[[#This Row],[Temperature]]&lt;=28,"Normal",TRUE,"Hot")</f>
        <v>Hot</v>
      </c>
      <c r="W22" t="str" cm="1">
        <f t="array" ref="W22">_xlfn.IFS(smart_dataset[[#This Row],[Asset_Utilization]]&lt;=75,"Low",smart_dataset[[#This Row],[Asset_Utilization]]&lt;=90,"Medium",TRUE,"High")</f>
        <v>Low</v>
      </c>
    </row>
    <row r="23" spans="1:23" hidden="1" x14ac:dyDescent="0.25">
      <c r="A23" s="1">
        <v>45616.693136574075</v>
      </c>
      <c r="B23" s="1">
        <f>INT(smart_dataset[[#This Row],[Timestamp]])</f>
        <v>45616</v>
      </c>
      <c r="C23" s="1">
        <f>MOD(smart_dataset[[#This Row],[Timestamp]],1)</f>
        <v>0.69313657407474238</v>
      </c>
      <c r="D23" s="1">
        <f>YEAR(smart_dataset[[#This Row],[Date]])</f>
        <v>2024</v>
      </c>
      <c r="E23" s="1">
        <f>MONTH(smart_dataset[[#This Row],[Timestamp]])</f>
        <v>11</v>
      </c>
      <c r="F23" t="s">
        <v>32</v>
      </c>
      <c r="G23">
        <v>-6.6729000000000003</v>
      </c>
      <c r="H23">
        <v>132.67269999999999</v>
      </c>
      <c r="I23">
        <v>155</v>
      </c>
      <c r="J23" t="s">
        <v>26</v>
      </c>
      <c r="K23">
        <v>19.399999999999999</v>
      </c>
      <c r="L23">
        <v>53.2</v>
      </c>
      <c r="M23" t="s">
        <v>22</v>
      </c>
      <c r="N23">
        <v>20</v>
      </c>
      <c r="O23">
        <v>152</v>
      </c>
      <c r="P23">
        <v>1</v>
      </c>
      <c r="Q23" t="s">
        <v>31</v>
      </c>
      <c r="R23">
        <v>99.3</v>
      </c>
      <c r="S23">
        <v>235</v>
      </c>
      <c r="T23">
        <v>1</v>
      </c>
      <c r="U23" t="str" cm="1">
        <f t="array" ref="U23">_xlfn.IFS(smart_dataset[[#This Row],[Waiting_Time]]&lt;=20,"Low",smart_dataset[[#This Row],[Waiting_Time]]&lt;=40,"Medium",TRUE,"High")</f>
        <v>Low</v>
      </c>
      <c r="V23" t="str" cm="1">
        <f t="array" ref="V23">_xlfn.IFS(smart_dataset[[#This Row],[Temperature]]&lt;=20,"Cold",smart_dataset[[#This Row],[Temperature]]&lt;=28,"Normal",TRUE,"Hot")</f>
        <v>Cold</v>
      </c>
      <c r="W23" t="str" cm="1">
        <f t="array" ref="W23">_xlfn.IFS(smart_dataset[[#This Row],[Asset_Utilization]]&lt;=75,"Low",smart_dataset[[#This Row],[Asset_Utilization]]&lt;=90,"Medium",TRUE,"High")</f>
        <v>High</v>
      </c>
    </row>
    <row r="24" spans="1:23" hidden="1" x14ac:dyDescent="0.25">
      <c r="A24" s="1">
        <v>45298.384351851855</v>
      </c>
      <c r="B24" s="1">
        <f>INT(smart_dataset[[#This Row],[Timestamp]])</f>
        <v>45298</v>
      </c>
      <c r="C24" s="1">
        <f>MOD(smart_dataset[[#This Row],[Timestamp]],1)</f>
        <v>0.38435185185517184</v>
      </c>
      <c r="D24" s="1">
        <f>YEAR(smart_dataset[[#This Row],[Date]])</f>
        <v>2024</v>
      </c>
      <c r="E24" s="1">
        <f>MONTH(smart_dataset[[#This Row],[Timestamp]])</f>
        <v>1</v>
      </c>
      <c r="F24" t="s">
        <v>20</v>
      </c>
      <c r="G24">
        <v>-74.1751</v>
      </c>
      <c r="H24">
        <v>-102.73309999999999</v>
      </c>
      <c r="I24">
        <v>314</v>
      </c>
      <c r="J24" t="s">
        <v>26</v>
      </c>
      <c r="K24">
        <v>19.899999999999999</v>
      </c>
      <c r="L24">
        <v>64.8</v>
      </c>
      <c r="M24" t="s">
        <v>18</v>
      </c>
      <c r="N24">
        <v>57</v>
      </c>
      <c r="O24">
        <v>396</v>
      </c>
      <c r="P24">
        <v>10</v>
      </c>
      <c r="Q24" t="s">
        <v>23</v>
      </c>
      <c r="R24">
        <v>78.599999999999994</v>
      </c>
      <c r="S24">
        <v>135</v>
      </c>
      <c r="T24">
        <v>0</v>
      </c>
      <c r="U24" t="str" cm="1">
        <f t="array" ref="U24">_xlfn.IFS(smart_dataset[[#This Row],[Waiting_Time]]&lt;=20,"Low",smart_dataset[[#This Row],[Waiting_Time]]&lt;=40,"Medium",TRUE,"High")</f>
        <v>High</v>
      </c>
      <c r="V24" t="str" cm="1">
        <f t="array" ref="V24">_xlfn.IFS(smart_dataset[[#This Row],[Temperature]]&lt;=20,"Cold",smart_dataset[[#This Row],[Temperature]]&lt;=28,"Normal",TRUE,"Hot")</f>
        <v>Cold</v>
      </c>
      <c r="W24" t="str" cm="1">
        <f t="array" ref="W24">_xlfn.IFS(smart_dataset[[#This Row],[Asset_Utilization]]&lt;=75,"Low",smart_dataset[[#This Row],[Asset_Utilization]]&lt;=90,"Medium",TRUE,"High")</f>
        <v>Medium</v>
      </c>
    </row>
    <row r="25" spans="1:23" hidden="1" x14ac:dyDescent="0.25">
      <c r="A25" s="1">
        <v>45560.633472222224</v>
      </c>
      <c r="B25" s="1">
        <f>INT(smart_dataset[[#This Row],[Timestamp]])</f>
        <v>45560</v>
      </c>
      <c r="C25" s="1">
        <f>MOD(smart_dataset[[#This Row],[Timestamp]],1)</f>
        <v>0.63347222222364508</v>
      </c>
      <c r="D25" s="1">
        <f>YEAR(smart_dataset[[#This Row],[Date]])</f>
        <v>2024</v>
      </c>
      <c r="E25" s="1">
        <f>MONTH(smart_dataset[[#This Row],[Timestamp]])</f>
        <v>9</v>
      </c>
      <c r="F25" t="s">
        <v>24</v>
      </c>
      <c r="G25">
        <v>-33.226399999999998</v>
      </c>
      <c r="H25">
        <v>169.61869999999999</v>
      </c>
      <c r="I25">
        <v>156</v>
      </c>
      <c r="J25" t="s">
        <v>21</v>
      </c>
      <c r="K25">
        <v>27.2</v>
      </c>
      <c r="L25">
        <v>74.400000000000006</v>
      </c>
      <c r="M25" t="s">
        <v>28</v>
      </c>
      <c r="N25">
        <v>35</v>
      </c>
      <c r="O25">
        <v>354</v>
      </c>
      <c r="P25">
        <v>2</v>
      </c>
      <c r="Q25" t="s">
        <v>23</v>
      </c>
      <c r="R25">
        <v>63.1</v>
      </c>
      <c r="S25">
        <v>282</v>
      </c>
      <c r="T25">
        <v>0</v>
      </c>
      <c r="U25" t="str" cm="1">
        <f t="array" ref="U25">_xlfn.IFS(smart_dataset[[#This Row],[Waiting_Time]]&lt;=20,"Low",smart_dataset[[#This Row],[Waiting_Time]]&lt;=40,"Medium",TRUE,"High")</f>
        <v>Medium</v>
      </c>
      <c r="V25" t="str" cm="1">
        <f t="array" ref="V25">_xlfn.IFS(smart_dataset[[#This Row],[Temperature]]&lt;=20,"Cold",smart_dataset[[#This Row],[Temperature]]&lt;=28,"Normal",TRUE,"Hot")</f>
        <v>Normal</v>
      </c>
      <c r="W25" t="str" cm="1">
        <f t="array" ref="W25">_xlfn.IFS(smart_dataset[[#This Row],[Asset_Utilization]]&lt;=75,"Low",smart_dataset[[#This Row],[Asset_Utilization]]&lt;=90,"Medium",TRUE,"High")</f>
        <v>Low</v>
      </c>
    </row>
    <row r="26" spans="1:23" x14ac:dyDescent="0.25">
      <c r="A26" s="1">
        <v>45333.562708333331</v>
      </c>
      <c r="B26" s="1">
        <f>INT(smart_dataset[[#This Row],[Timestamp]])</f>
        <v>45333</v>
      </c>
      <c r="C26" s="7">
        <f>MOD(smart_dataset[[#This Row],[Timestamp]],1)</f>
        <v>0.56270833333110204</v>
      </c>
      <c r="D26">
        <f>YEAR(smart_dataset[[#This Row],[Date]])</f>
        <v>2024</v>
      </c>
      <c r="E26">
        <f>MONTH(smart_dataset[[#This Row],[Timestamp]])</f>
        <v>2</v>
      </c>
      <c r="F26" t="s">
        <v>30</v>
      </c>
      <c r="G26">
        <v>-34.446899999999999</v>
      </c>
      <c r="H26">
        <v>93.158500000000004</v>
      </c>
      <c r="I26">
        <v>119</v>
      </c>
      <c r="J26" t="s">
        <v>21</v>
      </c>
      <c r="K26">
        <v>28.1</v>
      </c>
      <c r="L26">
        <v>72.400000000000006</v>
      </c>
      <c r="M26" t="s">
        <v>18</v>
      </c>
      <c r="N26">
        <v>41</v>
      </c>
      <c r="O26">
        <v>176</v>
      </c>
      <c r="P26">
        <v>2</v>
      </c>
      <c r="Q26" t="s">
        <v>19</v>
      </c>
      <c r="R26">
        <v>60.9</v>
      </c>
      <c r="S26">
        <v>238</v>
      </c>
      <c r="T26">
        <v>0</v>
      </c>
      <c r="U26" t="str" cm="1">
        <f t="array" ref="U26">_xlfn.IFS(smart_dataset[[#This Row],[Waiting_Time]]&lt;=20,"Low",smart_dataset[[#This Row],[Waiting_Time]]&lt;=40,"Medium",TRUE,"High")</f>
        <v>High</v>
      </c>
      <c r="V26" t="str" cm="1">
        <f t="array" ref="V26">_xlfn.IFS(smart_dataset[[#This Row],[Temperature]]&lt;=20,"Cold",smart_dataset[[#This Row],[Temperature]]&lt;=28,"Normal",TRUE,"Hot")</f>
        <v>Hot</v>
      </c>
      <c r="W26" t="str" cm="1">
        <f t="array" ref="W26">_xlfn.IFS(smart_dataset[[#This Row],[Asset_Utilization]]&lt;=75,"Low",smart_dataset[[#This Row],[Asset_Utilization]]&lt;=90,"Medium",TRUE,"High")</f>
        <v>Low</v>
      </c>
    </row>
    <row r="27" spans="1:23" hidden="1" x14ac:dyDescent="0.25">
      <c r="A27" s="1">
        <v>45616.473761574074</v>
      </c>
      <c r="B27" s="1">
        <f>INT(smart_dataset[[#This Row],[Timestamp]])</f>
        <v>45616</v>
      </c>
      <c r="C27" s="1">
        <f>MOD(smart_dataset[[#This Row],[Timestamp]],1)</f>
        <v>0.47376157407416031</v>
      </c>
      <c r="D27" s="1">
        <f>YEAR(smart_dataset[[#This Row],[Date]])</f>
        <v>2024</v>
      </c>
      <c r="E27" s="1">
        <f>MONTH(smart_dataset[[#This Row],[Timestamp]])</f>
        <v>11</v>
      </c>
      <c r="F27" t="s">
        <v>33</v>
      </c>
      <c r="G27">
        <v>-13.510999999999999</v>
      </c>
      <c r="H27">
        <v>141.84540000000001</v>
      </c>
      <c r="I27">
        <v>112</v>
      </c>
      <c r="J27" t="s">
        <v>21</v>
      </c>
      <c r="K27">
        <v>19.7</v>
      </c>
      <c r="L27">
        <v>76.599999999999994</v>
      </c>
      <c r="M27" t="s">
        <v>18</v>
      </c>
      <c r="N27">
        <v>22</v>
      </c>
      <c r="O27">
        <v>121</v>
      </c>
      <c r="P27">
        <v>3</v>
      </c>
      <c r="Q27" t="s">
        <v>27</v>
      </c>
      <c r="R27">
        <v>80.900000000000006</v>
      </c>
      <c r="S27">
        <v>262</v>
      </c>
      <c r="T27">
        <v>0</v>
      </c>
      <c r="U27" t="str" cm="1">
        <f t="array" ref="U27">_xlfn.IFS(smart_dataset[[#This Row],[Waiting_Time]]&lt;=20,"Low",smart_dataset[[#This Row],[Waiting_Time]]&lt;=40,"Medium",TRUE,"High")</f>
        <v>Medium</v>
      </c>
      <c r="V27" t="str" cm="1">
        <f t="array" ref="V27">_xlfn.IFS(smart_dataset[[#This Row],[Temperature]]&lt;=20,"Cold",smart_dataset[[#This Row],[Temperature]]&lt;=28,"Normal",TRUE,"Hot")</f>
        <v>Cold</v>
      </c>
      <c r="W27" t="str" cm="1">
        <f t="array" ref="W27">_xlfn.IFS(smart_dataset[[#This Row],[Asset_Utilization]]&lt;=75,"Low",smart_dataset[[#This Row],[Asset_Utilization]]&lt;=90,"Medium",TRUE,"High")</f>
        <v>Medium</v>
      </c>
    </row>
    <row r="28" spans="1:23" hidden="1" x14ac:dyDescent="0.25">
      <c r="A28" s="1">
        <v>45468.101678240739</v>
      </c>
      <c r="B28" s="1">
        <f>INT(smart_dataset[[#This Row],[Timestamp]])</f>
        <v>45468</v>
      </c>
      <c r="C28" s="1">
        <f>MOD(smart_dataset[[#This Row],[Timestamp]],1)</f>
        <v>0.10167824073869269</v>
      </c>
      <c r="D28" s="1">
        <f>YEAR(smart_dataset[[#This Row],[Date]])</f>
        <v>2024</v>
      </c>
      <c r="E28" s="1">
        <f>MONTH(smart_dataset[[#This Row],[Timestamp]])</f>
        <v>6</v>
      </c>
      <c r="F28" t="s">
        <v>33</v>
      </c>
      <c r="G28">
        <v>-22.427</v>
      </c>
      <c r="H28">
        <v>108.2306</v>
      </c>
      <c r="I28">
        <v>435</v>
      </c>
      <c r="J28" t="s">
        <v>26</v>
      </c>
      <c r="K28">
        <v>25.8</v>
      </c>
      <c r="L28">
        <v>78.599999999999994</v>
      </c>
      <c r="M28" t="s">
        <v>22</v>
      </c>
      <c r="N28">
        <v>22</v>
      </c>
      <c r="O28">
        <v>220</v>
      </c>
      <c r="P28">
        <v>7</v>
      </c>
      <c r="Q28" t="s">
        <v>27</v>
      </c>
      <c r="R28">
        <v>90.8</v>
      </c>
      <c r="S28">
        <v>101</v>
      </c>
      <c r="T28">
        <v>1</v>
      </c>
      <c r="U28" t="str" cm="1">
        <f t="array" ref="U28">_xlfn.IFS(smart_dataset[[#This Row],[Waiting_Time]]&lt;=20,"Low",smart_dataset[[#This Row],[Waiting_Time]]&lt;=40,"Medium",TRUE,"High")</f>
        <v>Medium</v>
      </c>
      <c r="V28" t="str" cm="1">
        <f t="array" ref="V28">_xlfn.IFS(smart_dataset[[#This Row],[Temperature]]&lt;=20,"Cold",smart_dataset[[#This Row],[Temperature]]&lt;=28,"Normal",TRUE,"Hot")</f>
        <v>Normal</v>
      </c>
      <c r="W28" t="str" cm="1">
        <f t="array" ref="W28">_xlfn.IFS(smart_dataset[[#This Row],[Asset_Utilization]]&lt;=75,"Low",smart_dataset[[#This Row],[Asset_Utilization]]&lt;=90,"Medium",TRUE,"High")</f>
        <v>High</v>
      </c>
    </row>
    <row r="29" spans="1:23" hidden="1" x14ac:dyDescent="0.25">
      <c r="A29" s="1">
        <v>45468.000833333332</v>
      </c>
      <c r="B29" s="1">
        <f>INT(smart_dataset[[#This Row],[Timestamp]])</f>
        <v>45468</v>
      </c>
      <c r="C29" s="1">
        <f>MOD(smart_dataset[[#This Row],[Timestamp]],1)</f>
        <v>8.3333333168411627E-4</v>
      </c>
      <c r="D29" s="1">
        <f>YEAR(smart_dataset[[#This Row],[Date]])</f>
        <v>2024</v>
      </c>
      <c r="E29" s="1">
        <f>MONTH(smart_dataset[[#This Row],[Timestamp]])</f>
        <v>6</v>
      </c>
      <c r="F29" t="s">
        <v>25</v>
      </c>
      <c r="G29">
        <v>43.335299999999997</v>
      </c>
      <c r="H29">
        <v>-12.068300000000001</v>
      </c>
      <c r="I29">
        <v>422</v>
      </c>
      <c r="J29" t="s">
        <v>26</v>
      </c>
      <c r="K29">
        <v>20</v>
      </c>
      <c r="L29">
        <v>62.9</v>
      </c>
      <c r="M29" t="s">
        <v>22</v>
      </c>
      <c r="N29">
        <v>14</v>
      </c>
      <c r="O29">
        <v>184</v>
      </c>
      <c r="P29">
        <v>9</v>
      </c>
      <c r="Q29" t="s">
        <v>27</v>
      </c>
      <c r="R29">
        <v>64</v>
      </c>
      <c r="S29">
        <v>248</v>
      </c>
      <c r="T29">
        <v>1</v>
      </c>
      <c r="U29" t="str" cm="1">
        <f t="array" ref="U29">_xlfn.IFS(smart_dataset[[#This Row],[Waiting_Time]]&lt;=20,"Low",smart_dataset[[#This Row],[Waiting_Time]]&lt;=40,"Medium",TRUE,"High")</f>
        <v>Low</v>
      </c>
      <c r="V29" t="str" cm="1">
        <f t="array" ref="V29">_xlfn.IFS(smart_dataset[[#This Row],[Temperature]]&lt;=20,"Cold",smart_dataset[[#This Row],[Temperature]]&lt;=28,"Normal",TRUE,"Hot")</f>
        <v>Cold</v>
      </c>
      <c r="W29" t="str" cm="1">
        <f t="array" ref="W29">_xlfn.IFS(smart_dataset[[#This Row],[Asset_Utilization]]&lt;=75,"Low",smart_dataset[[#This Row],[Asset_Utilization]]&lt;=90,"Medium",TRUE,"High")</f>
        <v>Low</v>
      </c>
    </row>
    <row r="30" spans="1:23" hidden="1" x14ac:dyDescent="0.25">
      <c r="A30" s="1">
        <v>45414.106898148151</v>
      </c>
      <c r="B30" s="1">
        <f>INT(smart_dataset[[#This Row],[Timestamp]])</f>
        <v>45414</v>
      </c>
      <c r="C30" s="1">
        <f>MOD(smart_dataset[[#This Row],[Timestamp]],1)</f>
        <v>0.106898148151231</v>
      </c>
      <c r="D30" s="1">
        <f>YEAR(smart_dataset[[#This Row],[Date]])</f>
        <v>2024</v>
      </c>
      <c r="E30" s="1">
        <f>MONTH(smart_dataset[[#This Row],[Timestamp]])</f>
        <v>5</v>
      </c>
      <c r="F30" t="s">
        <v>29</v>
      </c>
      <c r="G30">
        <v>-66.7517</v>
      </c>
      <c r="H30">
        <v>161.44999999999999</v>
      </c>
      <c r="I30">
        <v>353</v>
      </c>
      <c r="J30" t="s">
        <v>21</v>
      </c>
      <c r="K30">
        <v>20.5</v>
      </c>
      <c r="L30">
        <v>52</v>
      </c>
      <c r="M30" t="s">
        <v>22</v>
      </c>
      <c r="N30">
        <v>26</v>
      </c>
      <c r="O30">
        <v>392</v>
      </c>
      <c r="P30">
        <v>7</v>
      </c>
      <c r="Q30" t="s">
        <v>27</v>
      </c>
      <c r="R30">
        <v>76.400000000000006</v>
      </c>
      <c r="S30">
        <v>155</v>
      </c>
      <c r="T30">
        <v>1</v>
      </c>
      <c r="U30" t="str" cm="1">
        <f t="array" ref="U30">_xlfn.IFS(smart_dataset[[#This Row],[Waiting_Time]]&lt;=20,"Low",smart_dataset[[#This Row],[Waiting_Time]]&lt;=40,"Medium",TRUE,"High")</f>
        <v>Medium</v>
      </c>
      <c r="V30" t="str" cm="1">
        <f t="array" ref="V30">_xlfn.IFS(smart_dataset[[#This Row],[Temperature]]&lt;=20,"Cold",smart_dataset[[#This Row],[Temperature]]&lt;=28,"Normal",TRUE,"Hot")</f>
        <v>Normal</v>
      </c>
      <c r="W30" t="str" cm="1">
        <f t="array" ref="W30">_xlfn.IFS(smart_dataset[[#This Row],[Asset_Utilization]]&lt;=75,"Low",smart_dataset[[#This Row],[Asset_Utilization]]&lt;=90,"Medium",TRUE,"High")</f>
        <v>Medium</v>
      </c>
    </row>
    <row r="31" spans="1:23" x14ac:dyDescent="0.25">
      <c r="A31" s="1">
        <v>45514.003240740742</v>
      </c>
      <c r="B31" s="1">
        <f>INT(smart_dataset[[#This Row],[Timestamp]])</f>
        <v>45514</v>
      </c>
      <c r="C31" s="7">
        <f>MOD(smart_dataset[[#This Row],[Timestamp]],1)</f>
        <v>3.2407407416030765E-3</v>
      </c>
      <c r="D31">
        <f>YEAR(smart_dataset[[#This Row],[Date]])</f>
        <v>2024</v>
      </c>
      <c r="E31">
        <f>MONTH(smart_dataset[[#This Row],[Timestamp]])</f>
        <v>8</v>
      </c>
      <c r="F31" t="s">
        <v>32</v>
      </c>
      <c r="G31">
        <v>-65.734899999999996</v>
      </c>
      <c r="H31">
        <v>-173.30109999999999</v>
      </c>
      <c r="I31">
        <v>299</v>
      </c>
      <c r="J31" t="s">
        <v>17</v>
      </c>
      <c r="K31">
        <v>23.9</v>
      </c>
      <c r="L31">
        <v>50.1</v>
      </c>
      <c r="M31" t="s">
        <v>22</v>
      </c>
      <c r="N31">
        <v>17</v>
      </c>
      <c r="O31">
        <v>315</v>
      </c>
      <c r="P31">
        <v>6</v>
      </c>
      <c r="Q31" t="s">
        <v>19</v>
      </c>
      <c r="R31">
        <v>88.3</v>
      </c>
      <c r="S31">
        <v>252</v>
      </c>
      <c r="T31">
        <v>1</v>
      </c>
      <c r="U31" t="str" cm="1">
        <f t="array" ref="U31">_xlfn.IFS(smart_dataset[[#This Row],[Waiting_Time]]&lt;=20,"Low",smart_dataset[[#This Row],[Waiting_Time]]&lt;=40,"Medium",TRUE,"High")</f>
        <v>Low</v>
      </c>
      <c r="V31" t="str" cm="1">
        <f t="array" ref="V31">_xlfn.IFS(smart_dataset[[#This Row],[Temperature]]&lt;=20,"Cold",smart_dataset[[#This Row],[Temperature]]&lt;=28,"Normal",TRUE,"Hot")</f>
        <v>Normal</v>
      </c>
      <c r="W31" t="str" cm="1">
        <f t="array" ref="W31">_xlfn.IFS(smart_dataset[[#This Row],[Asset_Utilization]]&lt;=75,"Low",smart_dataset[[#This Row],[Asset_Utilization]]&lt;=90,"Medium",TRUE,"High")</f>
        <v>Medium</v>
      </c>
    </row>
    <row r="32" spans="1:23" hidden="1" x14ac:dyDescent="0.25">
      <c r="A32" s="1">
        <v>45425.139131944445</v>
      </c>
      <c r="B32" s="1">
        <f>INT(smart_dataset[[#This Row],[Timestamp]])</f>
        <v>45425</v>
      </c>
      <c r="C32" s="1">
        <f>MOD(smart_dataset[[#This Row],[Timestamp]],1)</f>
        <v>0.13913194444467081</v>
      </c>
      <c r="D32" s="1">
        <f>YEAR(smart_dataset[[#This Row],[Date]])</f>
        <v>2024</v>
      </c>
      <c r="E32" s="1">
        <f>MONTH(smart_dataset[[#This Row],[Timestamp]])</f>
        <v>5</v>
      </c>
      <c r="F32" t="s">
        <v>35</v>
      </c>
      <c r="G32">
        <v>-55.476799999999997</v>
      </c>
      <c r="H32">
        <v>18.255099999999999</v>
      </c>
      <c r="I32">
        <v>261</v>
      </c>
      <c r="J32" t="s">
        <v>17</v>
      </c>
      <c r="K32">
        <v>22.5</v>
      </c>
      <c r="L32">
        <v>78.400000000000006</v>
      </c>
      <c r="M32" t="s">
        <v>28</v>
      </c>
      <c r="N32">
        <v>41</v>
      </c>
      <c r="O32">
        <v>209</v>
      </c>
      <c r="P32">
        <v>6</v>
      </c>
      <c r="Q32" t="s">
        <v>31</v>
      </c>
      <c r="R32">
        <v>71.8</v>
      </c>
      <c r="S32">
        <v>240</v>
      </c>
      <c r="T32">
        <v>1</v>
      </c>
      <c r="U32" t="str" cm="1">
        <f t="array" ref="U32">_xlfn.IFS(smart_dataset[[#This Row],[Waiting_Time]]&lt;=20,"Low",smart_dataset[[#This Row],[Waiting_Time]]&lt;=40,"Medium",TRUE,"High")</f>
        <v>High</v>
      </c>
      <c r="V32" t="str" cm="1">
        <f t="array" ref="V32">_xlfn.IFS(smart_dataset[[#This Row],[Temperature]]&lt;=20,"Cold",smart_dataset[[#This Row],[Temperature]]&lt;=28,"Normal",TRUE,"Hot")</f>
        <v>Normal</v>
      </c>
      <c r="W32" t="str" cm="1">
        <f t="array" ref="W32">_xlfn.IFS(smart_dataset[[#This Row],[Asset_Utilization]]&lt;=75,"Low",smart_dataset[[#This Row],[Asset_Utilization]]&lt;=90,"Medium",TRUE,"High")</f>
        <v>Low</v>
      </c>
    </row>
    <row r="33" spans="1:23" hidden="1" x14ac:dyDescent="0.25">
      <c r="A33" s="1">
        <v>45628.356099537035</v>
      </c>
      <c r="B33" s="1">
        <f>INT(smart_dataset[[#This Row],[Timestamp]])</f>
        <v>45628</v>
      </c>
      <c r="C33" s="1">
        <f>MOD(smart_dataset[[#This Row],[Timestamp]],1)</f>
        <v>0.35609953703533392</v>
      </c>
      <c r="D33" s="1">
        <f>YEAR(smart_dataset[[#This Row],[Date]])</f>
        <v>2024</v>
      </c>
      <c r="E33" s="1">
        <f>MONTH(smart_dataset[[#This Row],[Timestamp]])</f>
        <v>12</v>
      </c>
      <c r="F33" t="s">
        <v>32</v>
      </c>
      <c r="G33">
        <v>5.9179000000000004</v>
      </c>
      <c r="H33">
        <v>74.825400000000002</v>
      </c>
      <c r="I33">
        <v>425</v>
      </c>
      <c r="J33" t="s">
        <v>17</v>
      </c>
      <c r="K33">
        <v>19.3</v>
      </c>
      <c r="L33">
        <v>51.1</v>
      </c>
      <c r="M33" t="s">
        <v>22</v>
      </c>
      <c r="N33">
        <v>39</v>
      </c>
      <c r="O33">
        <v>235</v>
      </c>
      <c r="P33">
        <v>9</v>
      </c>
      <c r="Q33" t="s">
        <v>31</v>
      </c>
      <c r="R33">
        <v>88.3</v>
      </c>
      <c r="S33">
        <v>242</v>
      </c>
      <c r="T33">
        <v>1</v>
      </c>
      <c r="U33" t="str" cm="1">
        <f t="array" ref="U33">_xlfn.IFS(smart_dataset[[#This Row],[Waiting_Time]]&lt;=20,"Low",smart_dataset[[#This Row],[Waiting_Time]]&lt;=40,"Medium",TRUE,"High")</f>
        <v>Medium</v>
      </c>
      <c r="V33" t="str" cm="1">
        <f t="array" ref="V33">_xlfn.IFS(smart_dataset[[#This Row],[Temperature]]&lt;=20,"Cold",smart_dataset[[#This Row],[Temperature]]&lt;=28,"Normal",TRUE,"Hot")</f>
        <v>Cold</v>
      </c>
      <c r="W33" t="str" cm="1">
        <f t="array" ref="W33">_xlfn.IFS(smart_dataset[[#This Row],[Asset_Utilization]]&lt;=75,"Low",smart_dataset[[#This Row],[Asset_Utilization]]&lt;=90,"Medium",TRUE,"High")</f>
        <v>Medium</v>
      </c>
    </row>
    <row r="34" spans="1:23" x14ac:dyDescent="0.25">
      <c r="A34" s="1">
        <v>45334.266284722224</v>
      </c>
      <c r="B34" s="1">
        <f>INT(smart_dataset[[#This Row],[Timestamp]])</f>
        <v>45334</v>
      </c>
      <c r="C34" s="7">
        <f>MOD(smart_dataset[[#This Row],[Timestamp]],1)</f>
        <v>0.26628472222364508</v>
      </c>
      <c r="D34">
        <f>YEAR(smart_dataset[[#This Row],[Date]])</f>
        <v>2024</v>
      </c>
      <c r="E34">
        <f>MONTH(smart_dataset[[#This Row],[Timestamp]])</f>
        <v>2</v>
      </c>
      <c r="F34" t="s">
        <v>16</v>
      </c>
      <c r="G34">
        <v>49.392899999999997</v>
      </c>
      <c r="H34">
        <v>-47.580500000000001</v>
      </c>
      <c r="I34">
        <v>369</v>
      </c>
      <c r="J34" t="s">
        <v>26</v>
      </c>
      <c r="K34">
        <v>26.3</v>
      </c>
      <c r="L34">
        <v>52.1</v>
      </c>
      <c r="M34" t="s">
        <v>18</v>
      </c>
      <c r="N34">
        <v>48</v>
      </c>
      <c r="O34">
        <v>104</v>
      </c>
      <c r="P34">
        <v>7</v>
      </c>
      <c r="Q34" t="s">
        <v>19</v>
      </c>
      <c r="R34">
        <v>66.7</v>
      </c>
      <c r="S34">
        <v>220</v>
      </c>
      <c r="T34">
        <v>0</v>
      </c>
      <c r="U34" t="str" cm="1">
        <f t="array" ref="U34">_xlfn.IFS(smart_dataset[[#This Row],[Waiting_Time]]&lt;=20,"Low",smart_dataset[[#This Row],[Waiting_Time]]&lt;=40,"Medium",TRUE,"High")</f>
        <v>High</v>
      </c>
      <c r="V34" t="str" cm="1">
        <f t="array" ref="V34">_xlfn.IFS(smart_dataset[[#This Row],[Temperature]]&lt;=20,"Cold",smart_dataset[[#This Row],[Temperature]]&lt;=28,"Normal",TRUE,"Hot")</f>
        <v>Normal</v>
      </c>
      <c r="W34" t="str" cm="1">
        <f t="array" ref="W34">_xlfn.IFS(smart_dataset[[#This Row],[Asset_Utilization]]&lt;=75,"Low",smart_dataset[[#This Row],[Asset_Utilization]]&lt;=90,"Medium",TRUE,"High")</f>
        <v>Low</v>
      </c>
    </row>
    <row r="35" spans="1:23" hidden="1" x14ac:dyDescent="0.25">
      <c r="A35" s="1">
        <v>45406.262060185189</v>
      </c>
      <c r="B35" s="1">
        <f>INT(smart_dataset[[#This Row],[Timestamp]])</f>
        <v>45406</v>
      </c>
      <c r="C35" s="1">
        <f>MOD(smart_dataset[[#This Row],[Timestamp]],1)</f>
        <v>0.26206018518860219</v>
      </c>
      <c r="D35" s="1">
        <f>YEAR(smart_dataset[[#This Row],[Date]])</f>
        <v>2024</v>
      </c>
      <c r="E35" s="1">
        <f>MONTH(smart_dataset[[#This Row],[Timestamp]])</f>
        <v>4</v>
      </c>
      <c r="F35" t="s">
        <v>24</v>
      </c>
      <c r="G35">
        <v>80.315799999999996</v>
      </c>
      <c r="H35">
        <v>70.765000000000001</v>
      </c>
      <c r="I35">
        <v>223</v>
      </c>
      <c r="J35" t="s">
        <v>17</v>
      </c>
      <c r="K35">
        <v>24</v>
      </c>
      <c r="L35">
        <v>60.2</v>
      </c>
      <c r="M35" t="s">
        <v>22</v>
      </c>
      <c r="N35">
        <v>45</v>
      </c>
      <c r="O35">
        <v>292</v>
      </c>
      <c r="P35">
        <v>6</v>
      </c>
      <c r="Q35" t="s">
        <v>23</v>
      </c>
      <c r="R35">
        <v>78.400000000000006</v>
      </c>
      <c r="S35">
        <v>205</v>
      </c>
      <c r="T35">
        <v>1</v>
      </c>
      <c r="U35" t="str" cm="1">
        <f t="array" ref="U35">_xlfn.IFS(smart_dataset[[#This Row],[Waiting_Time]]&lt;=20,"Low",smart_dataset[[#This Row],[Waiting_Time]]&lt;=40,"Medium",TRUE,"High")</f>
        <v>High</v>
      </c>
      <c r="V35" t="str" cm="1">
        <f t="array" ref="V35">_xlfn.IFS(smart_dataset[[#This Row],[Temperature]]&lt;=20,"Cold",smart_dataset[[#This Row],[Temperature]]&lt;=28,"Normal",TRUE,"Hot")</f>
        <v>Normal</v>
      </c>
      <c r="W35" t="str" cm="1">
        <f t="array" ref="W35">_xlfn.IFS(smart_dataset[[#This Row],[Asset_Utilization]]&lt;=75,"Low",smart_dataset[[#This Row],[Asset_Utilization]]&lt;=90,"Medium",TRUE,"High")</f>
        <v>Medium</v>
      </c>
    </row>
    <row r="36" spans="1:23" x14ac:dyDescent="0.25">
      <c r="A36" s="1">
        <v>45632.795289351852</v>
      </c>
      <c r="B36" s="1">
        <f>INT(smart_dataset[[#This Row],[Timestamp]])</f>
        <v>45632</v>
      </c>
      <c r="C36" s="7">
        <f>MOD(smart_dataset[[#This Row],[Timestamp]],1)</f>
        <v>0.79528935185226146</v>
      </c>
      <c r="D36">
        <f>YEAR(smart_dataset[[#This Row],[Date]])</f>
        <v>2024</v>
      </c>
      <c r="E36">
        <f>MONTH(smart_dataset[[#This Row],[Timestamp]])</f>
        <v>12</v>
      </c>
      <c r="F36" t="s">
        <v>30</v>
      </c>
      <c r="G36">
        <v>-19.884699999999999</v>
      </c>
      <c r="H36">
        <v>42.5062</v>
      </c>
      <c r="I36">
        <v>200</v>
      </c>
      <c r="J36" t="s">
        <v>26</v>
      </c>
      <c r="K36">
        <v>28.1</v>
      </c>
      <c r="L36">
        <v>72.099999999999994</v>
      </c>
      <c r="M36" t="s">
        <v>18</v>
      </c>
      <c r="N36">
        <v>28</v>
      </c>
      <c r="O36">
        <v>129</v>
      </c>
      <c r="P36">
        <v>9</v>
      </c>
      <c r="Q36" t="s">
        <v>19</v>
      </c>
      <c r="R36">
        <v>74.3</v>
      </c>
      <c r="S36">
        <v>134</v>
      </c>
      <c r="T36">
        <v>0</v>
      </c>
      <c r="U36" t="str" cm="1">
        <f t="array" ref="U36">_xlfn.IFS(smart_dataset[[#This Row],[Waiting_Time]]&lt;=20,"Low",smart_dataset[[#This Row],[Waiting_Time]]&lt;=40,"Medium",TRUE,"High")</f>
        <v>Medium</v>
      </c>
      <c r="V36" t="str" cm="1">
        <f t="array" ref="V36">_xlfn.IFS(smart_dataset[[#This Row],[Temperature]]&lt;=20,"Cold",smart_dataset[[#This Row],[Temperature]]&lt;=28,"Normal",TRUE,"Hot")</f>
        <v>Hot</v>
      </c>
      <c r="W36" t="str" cm="1">
        <f t="array" ref="W36">_xlfn.IFS(smart_dataset[[#This Row],[Asset_Utilization]]&lt;=75,"Low",smart_dataset[[#This Row],[Asset_Utilization]]&lt;=90,"Medium",TRUE,"High")</f>
        <v>Low</v>
      </c>
    </row>
    <row r="37" spans="1:23" hidden="1" x14ac:dyDescent="0.25">
      <c r="A37" s="1">
        <v>45412.495335648149</v>
      </c>
      <c r="B37" s="1">
        <f>INT(smart_dataset[[#This Row],[Timestamp]])</f>
        <v>45412</v>
      </c>
      <c r="C37" s="1">
        <f>MOD(smart_dataset[[#This Row],[Timestamp]],1)</f>
        <v>0.49533564814919373</v>
      </c>
      <c r="D37" s="1">
        <f>YEAR(smart_dataset[[#This Row],[Date]])</f>
        <v>2024</v>
      </c>
      <c r="E37" s="1">
        <f>MONTH(smart_dataset[[#This Row],[Timestamp]])</f>
        <v>4</v>
      </c>
      <c r="F37" t="s">
        <v>25</v>
      </c>
      <c r="G37">
        <v>5.4554999999999998</v>
      </c>
      <c r="H37">
        <v>-147.5455</v>
      </c>
      <c r="I37">
        <v>466</v>
      </c>
      <c r="J37" t="s">
        <v>21</v>
      </c>
      <c r="K37">
        <v>26.1</v>
      </c>
      <c r="L37">
        <v>72.099999999999994</v>
      </c>
      <c r="M37" t="s">
        <v>18</v>
      </c>
      <c r="N37">
        <v>54</v>
      </c>
      <c r="O37">
        <v>475</v>
      </c>
      <c r="P37">
        <v>9</v>
      </c>
      <c r="Q37" t="s">
        <v>31</v>
      </c>
      <c r="R37">
        <v>83.4</v>
      </c>
      <c r="S37">
        <v>222</v>
      </c>
      <c r="T37">
        <v>0</v>
      </c>
      <c r="U37" t="str" cm="1">
        <f t="array" ref="U37">_xlfn.IFS(smart_dataset[[#This Row],[Waiting_Time]]&lt;=20,"Low",smart_dataset[[#This Row],[Waiting_Time]]&lt;=40,"Medium",TRUE,"High")</f>
        <v>High</v>
      </c>
      <c r="V37" t="str" cm="1">
        <f t="array" ref="V37">_xlfn.IFS(smart_dataset[[#This Row],[Temperature]]&lt;=20,"Cold",smart_dataset[[#This Row],[Temperature]]&lt;=28,"Normal",TRUE,"Hot")</f>
        <v>Normal</v>
      </c>
      <c r="W37" t="str" cm="1">
        <f t="array" ref="W37">_xlfn.IFS(smart_dataset[[#This Row],[Asset_Utilization]]&lt;=75,"Low",smart_dataset[[#This Row],[Asset_Utilization]]&lt;=90,"Medium",TRUE,"High")</f>
        <v>Medium</v>
      </c>
    </row>
    <row r="38" spans="1:23" hidden="1" x14ac:dyDescent="0.25">
      <c r="A38" s="1">
        <v>45554.954062500001</v>
      </c>
      <c r="B38" s="1">
        <f>INT(smart_dataset[[#This Row],[Timestamp]])</f>
        <v>45554</v>
      </c>
      <c r="C38" s="1">
        <f>MOD(smart_dataset[[#This Row],[Timestamp]],1)</f>
        <v>0.95406250000087311</v>
      </c>
      <c r="D38" s="1">
        <f>YEAR(smart_dataset[[#This Row],[Date]])</f>
        <v>2024</v>
      </c>
      <c r="E38" s="1">
        <f>MONTH(smart_dataset[[#This Row],[Timestamp]])</f>
        <v>9</v>
      </c>
      <c r="F38" t="s">
        <v>32</v>
      </c>
      <c r="G38">
        <v>-19.2577</v>
      </c>
      <c r="H38">
        <v>66.744</v>
      </c>
      <c r="I38">
        <v>474</v>
      </c>
      <c r="J38" t="s">
        <v>21</v>
      </c>
      <c r="K38">
        <v>27.7</v>
      </c>
      <c r="L38">
        <v>71.2</v>
      </c>
      <c r="M38" t="s">
        <v>22</v>
      </c>
      <c r="N38">
        <v>50</v>
      </c>
      <c r="O38">
        <v>311</v>
      </c>
      <c r="P38">
        <v>3</v>
      </c>
      <c r="Q38" t="s">
        <v>31</v>
      </c>
      <c r="R38">
        <v>91.6</v>
      </c>
      <c r="S38">
        <v>266</v>
      </c>
      <c r="T38">
        <v>1</v>
      </c>
      <c r="U38" t="str" cm="1">
        <f t="array" ref="U38">_xlfn.IFS(smart_dataset[[#This Row],[Waiting_Time]]&lt;=20,"Low",smart_dataset[[#This Row],[Waiting_Time]]&lt;=40,"Medium",TRUE,"High")</f>
        <v>High</v>
      </c>
      <c r="V38" t="str" cm="1">
        <f t="array" ref="V38">_xlfn.IFS(smart_dataset[[#This Row],[Temperature]]&lt;=20,"Cold",smart_dataset[[#This Row],[Temperature]]&lt;=28,"Normal",TRUE,"Hot")</f>
        <v>Normal</v>
      </c>
      <c r="W38" t="str" cm="1">
        <f t="array" ref="W38">_xlfn.IFS(smart_dataset[[#This Row],[Asset_Utilization]]&lt;=75,"Low",smart_dataset[[#This Row],[Asset_Utilization]]&lt;=90,"Medium",TRUE,"High")</f>
        <v>High</v>
      </c>
    </row>
    <row r="39" spans="1:23" x14ac:dyDescent="0.25">
      <c r="A39" s="1">
        <v>45648.63071759259</v>
      </c>
      <c r="B39" s="1">
        <f>INT(smart_dataset[[#This Row],[Timestamp]])</f>
        <v>45648</v>
      </c>
      <c r="C39" s="7">
        <f>MOD(smart_dataset[[#This Row],[Timestamp]],1)</f>
        <v>0.63071759259037208</v>
      </c>
      <c r="D39">
        <f>YEAR(smart_dataset[[#This Row],[Date]])</f>
        <v>2024</v>
      </c>
      <c r="E39">
        <f>MONTH(smart_dataset[[#This Row],[Timestamp]])</f>
        <v>12</v>
      </c>
      <c r="F39" t="s">
        <v>20</v>
      </c>
      <c r="G39">
        <v>-79.0792</v>
      </c>
      <c r="H39">
        <v>-16.342300000000002</v>
      </c>
      <c r="I39">
        <v>490</v>
      </c>
      <c r="J39" t="s">
        <v>26</v>
      </c>
      <c r="K39">
        <v>23.1</v>
      </c>
      <c r="L39">
        <v>75.2</v>
      </c>
      <c r="M39" t="s">
        <v>22</v>
      </c>
      <c r="N39">
        <v>14</v>
      </c>
      <c r="O39">
        <v>460</v>
      </c>
      <c r="P39">
        <v>7</v>
      </c>
      <c r="Q39" t="s">
        <v>19</v>
      </c>
      <c r="R39">
        <v>87.8</v>
      </c>
      <c r="S39">
        <v>261</v>
      </c>
      <c r="T39">
        <v>1</v>
      </c>
      <c r="U39" t="str" cm="1">
        <f t="array" ref="U39">_xlfn.IFS(smart_dataset[[#This Row],[Waiting_Time]]&lt;=20,"Low",smart_dataset[[#This Row],[Waiting_Time]]&lt;=40,"Medium",TRUE,"High")</f>
        <v>Low</v>
      </c>
      <c r="V39" t="str" cm="1">
        <f t="array" ref="V39">_xlfn.IFS(smart_dataset[[#This Row],[Temperature]]&lt;=20,"Cold",smart_dataset[[#This Row],[Temperature]]&lt;=28,"Normal",TRUE,"Hot")</f>
        <v>Normal</v>
      </c>
      <c r="W39" t="str" cm="1">
        <f t="array" ref="W39">_xlfn.IFS(smart_dataset[[#This Row],[Asset_Utilization]]&lt;=75,"Low",smart_dataset[[#This Row],[Asset_Utilization]]&lt;=90,"Medium",TRUE,"High")</f>
        <v>Medium</v>
      </c>
    </row>
    <row r="40" spans="1:23" hidden="1" x14ac:dyDescent="0.25">
      <c r="A40" s="1">
        <v>45519.239629629628</v>
      </c>
      <c r="B40" s="1">
        <f>INT(smart_dataset[[#This Row],[Timestamp]])</f>
        <v>45519</v>
      </c>
      <c r="C40" s="1">
        <f>MOD(smart_dataset[[#This Row],[Timestamp]],1)</f>
        <v>0.23962962962832535</v>
      </c>
      <c r="D40" s="1">
        <f>YEAR(smart_dataset[[#This Row],[Date]])</f>
        <v>2024</v>
      </c>
      <c r="E40" s="1">
        <f>MONTH(smart_dataset[[#This Row],[Timestamp]])</f>
        <v>8</v>
      </c>
      <c r="F40" t="s">
        <v>34</v>
      </c>
      <c r="G40">
        <v>-1.6787000000000001</v>
      </c>
      <c r="H40">
        <v>3.2441</v>
      </c>
      <c r="I40">
        <v>126</v>
      </c>
      <c r="J40" t="s">
        <v>26</v>
      </c>
      <c r="K40">
        <v>29.6</v>
      </c>
      <c r="L40">
        <v>67.599999999999994</v>
      </c>
      <c r="M40" t="s">
        <v>18</v>
      </c>
      <c r="N40">
        <v>19</v>
      </c>
      <c r="O40">
        <v>201</v>
      </c>
      <c r="P40">
        <v>9</v>
      </c>
      <c r="Q40" t="s">
        <v>23</v>
      </c>
      <c r="R40">
        <v>84.1</v>
      </c>
      <c r="S40">
        <v>255</v>
      </c>
      <c r="T40">
        <v>0</v>
      </c>
      <c r="U40" t="str" cm="1">
        <f t="array" ref="U40">_xlfn.IFS(smart_dataset[[#This Row],[Waiting_Time]]&lt;=20,"Low",smart_dataset[[#This Row],[Waiting_Time]]&lt;=40,"Medium",TRUE,"High")</f>
        <v>Low</v>
      </c>
      <c r="V40" t="str" cm="1">
        <f t="array" ref="V40">_xlfn.IFS(smart_dataset[[#This Row],[Temperature]]&lt;=20,"Cold",smart_dataset[[#This Row],[Temperature]]&lt;=28,"Normal",TRUE,"Hot")</f>
        <v>Hot</v>
      </c>
      <c r="W40" t="str" cm="1">
        <f t="array" ref="W40">_xlfn.IFS(smart_dataset[[#This Row],[Asset_Utilization]]&lt;=75,"Low",smart_dataset[[#This Row],[Asset_Utilization]]&lt;=90,"Medium",TRUE,"High")</f>
        <v>Medium</v>
      </c>
    </row>
    <row r="41" spans="1:23" x14ac:dyDescent="0.25">
      <c r="A41" s="1">
        <v>45367.470625000002</v>
      </c>
      <c r="B41" s="1">
        <f>INT(smart_dataset[[#This Row],[Timestamp]])</f>
        <v>45367</v>
      </c>
      <c r="C41" s="7">
        <f>MOD(smart_dataset[[#This Row],[Timestamp]],1)</f>
        <v>0.47062500000174623</v>
      </c>
      <c r="D41">
        <f>YEAR(smart_dataset[[#This Row],[Date]])</f>
        <v>2024</v>
      </c>
      <c r="E41">
        <f>MONTH(smart_dataset[[#This Row],[Timestamp]])</f>
        <v>3</v>
      </c>
      <c r="F41" t="s">
        <v>16</v>
      </c>
      <c r="G41">
        <v>-8.2431000000000001</v>
      </c>
      <c r="H41">
        <v>-12.495900000000001</v>
      </c>
      <c r="I41">
        <v>164</v>
      </c>
      <c r="J41" t="s">
        <v>21</v>
      </c>
      <c r="K41">
        <v>18.2</v>
      </c>
      <c r="L41">
        <v>76.400000000000006</v>
      </c>
      <c r="M41" t="s">
        <v>28</v>
      </c>
      <c r="N41">
        <v>45</v>
      </c>
      <c r="O41">
        <v>466</v>
      </c>
      <c r="P41">
        <v>7</v>
      </c>
      <c r="Q41" t="s">
        <v>19</v>
      </c>
      <c r="R41">
        <v>98.1</v>
      </c>
      <c r="S41">
        <v>196</v>
      </c>
      <c r="T41">
        <v>0</v>
      </c>
      <c r="U41" t="str" cm="1">
        <f t="array" ref="U41">_xlfn.IFS(smart_dataset[[#This Row],[Waiting_Time]]&lt;=20,"Low",smart_dataset[[#This Row],[Waiting_Time]]&lt;=40,"Medium",TRUE,"High")</f>
        <v>High</v>
      </c>
      <c r="V41" t="str" cm="1">
        <f t="array" ref="V41">_xlfn.IFS(smart_dataset[[#This Row],[Temperature]]&lt;=20,"Cold",smart_dataset[[#This Row],[Temperature]]&lt;=28,"Normal",TRUE,"Hot")</f>
        <v>Cold</v>
      </c>
      <c r="W41" t="str" cm="1">
        <f t="array" ref="W41">_xlfn.IFS(smart_dataset[[#This Row],[Asset_Utilization]]&lt;=75,"Low",smart_dataset[[#This Row],[Asset_Utilization]]&lt;=90,"Medium",TRUE,"High")</f>
        <v>High</v>
      </c>
    </row>
    <row r="42" spans="1:23" hidden="1" x14ac:dyDescent="0.25">
      <c r="A42" s="1">
        <v>45654.486747685187</v>
      </c>
      <c r="B42" s="1">
        <f>INT(smart_dataset[[#This Row],[Timestamp]])</f>
        <v>45654</v>
      </c>
      <c r="C42" s="1">
        <f>MOD(smart_dataset[[#This Row],[Timestamp]],1)</f>
        <v>0.48674768518685596</v>
      </c>
      <c r="D42" s="1">
        <f>YEAR(smart_dataset[[#This Row],[Date]])</f>
        <v>2024</v>
      </c>
      <c r="E42" s="1">
        <f>MONTH(smart_dataset[[#This Row],[Timestamp]])</f>
        <v>12</v>
      </c>
      <c r="F42" t="s">
        <v>30</v>
      </c>
      <c r="G42">
        <v>-30.0701</v>
      </c>
      <c r="H42">
        <v>135.6396</v>
      </c>
      <c r="I42">
        <v>477</v>
      </c>
      <c r="J42" t="s">
        <v>17</v>
      </c>
      <c r="K42">
        <v>19.2</v>
      </c>
      <c r="L42">
        <v>79.400000000000006</v>
      </c>
      <c r="M42" t="s">
        <v>28</v>
      </c>
      <c r="N42">
        <v>12</v>
      </c>
      <c r="O42">
        <v>310</v>
      </c>
      <c r="P42">
        <v>5</v>
      </c>
      <c r="Q42" t="s">
        <v>31</v>
      </c>
      <c r="R42">
        <v>63.7</v>
      </c>
      <c r="S42">
        <v>129</v>
      </c>
      <c r="T42">
        <v>1</v>
      </c>
      <c r="U42" t="str" cm="1">
        <f t="array" ref="U42">_xlfn.IFS(smart_dataset[[#This Row],[Waiting_Time]]&lt;=20,"Low",smart_dataset[[#This Row],[Waiting_Time]]&lt;=40,"Medium",TRUE,"High")</f>
        <v>Low</v>
      </c>
      <c r="V42" t="str" cm="1">
        <f t="array" ref="V42">_xlfn.IFS(smart_dataset[[#This Row],[Temperature]]&lt;=20,"Cold",smart_dataset[[#This Row],[Temperature]]&lt;=28,"Normal",TRUE,"Hot")</f>
        <v>Cold</v>
      </c>
      <c r="W42" t="str" cm="1">
        <f t="array" ref="W42">_xlfn.IFS(smart_dataset[[#This Row],[Asset_Utilization]]&lt;=75,"Low",smart_dataset[[#This Row],[Asset_Utilization]]&lt;=90,"Medium",TRUE,"High")</f>
        <v>Low</v>
      </c>
    </row>
    <row r="43" spans="1:23" hidden="1" x14ac:dyDescent="0.25">
      <c r="A43" s="1">
        <v>45326.788865740738</v>
      </c>
      <c r="B43" s="1">
        <f>INT(smart_dataset[[#This Row],[Timestamp]])</f>
        <v>45326</v>
      </c>
      <c r="C43" s="1">
        <f>MOD(smart_dataset[[#This Row],[Timestamp]],1)</f>
        <v>0.78886574073840166</v>
      </c>
      <c r="D43" s="1">
        <f>YEAR(smart_dataset[[#This Row],[Date]])</f>
        <v>2024</v>
      </c>
      <c r="E43" s="1">
        <f>MONTH(smart_dataset[[#This Row],[Timestamp]])</f>
        <v>2</v>
      </c>
      <c r="F43" t="s">
        <v>34</v>
      </c>
      <c r="G43">
        <v>61.8444</v>
      </c>
      <c r="H43">
        <v>107.48350000000001</v>
      </c>
      <c r="I43">
        <v>245</v>
      </c>
      <c r="J43" t="s">
        <v>21</v>
      </c>
      <c r="K43">
        <v>24.2</v>
      </c>
      <c r="L43">
        <v>56.9</v>
      </c>
      <c r="M43" t="s">
        <v>18</v>
      </c>
      <c r="N43">
        <v>39</v>
      </c>
      <c r="O43">
        <v>379</v>
      </c>
      <c r="P43">
        <v>2</v>
      </c>
      <c r="Q43" t="s">
        <v>27</v>
      </c>
      <c r="R43">
        <v>66.400000000000006</v>
      </c>
      <c r="S43">
        <v>183</v>
      </c>
      <c r="T43">
        <v>0</v>
      </c>
      <c r="U43" t="str" cm="1">
        <f t="array" ref="U43">_xlfn.IFS(smart_dataset[[#This Row],[Waiting_Time]]&lt;=20,"Low",smart_dataset[[#This Row],[Waiting_Time]]&lt;=40,"Medium",TRUE,"High")</f>
        <v>Medium</v>
      </c>
      <c r="V43" t="str" cm="1">
        <f t="array" ref="V43">_xlfn.IFS(smart_dataset[[#This Row],[Temperature]]&lt;=20,"Cold",smart_dataset[[#This Row],[Temperature]]&lt;=28,"Normal",TRUE,"Hot")</f>
        <v>Normal</v>
      </c>
      <c r="W43" t="str" cm="1">
        <f t="array" ref="W43">_xlfn.IFS(smart_dataset[[#This Row],[Asset_Utilization]]&lt;=75,"Low",smart_dataset[[#This Row],[Asset_Utilization]]&lt;=90,"Medium",TRUE,"High")</f>
        <v>Low</v>
      </c>
    </row>
    <row r="44" spans="1:23" hidden="1" x14ac:dyDescent="0.25">
      <c r="A44" s="1">
        <v>45482.092291666668</v>
      </c>
      <c r="B44" s="1">
        <f>INT(smart_dataset[[#This Row],[Timestamp]])</f>
        <v>45482</v>
      </c>
      <c r="C44" s="1">
        <f>MOD(smart_dataset[[#This Row],[Timestamp]],1)</f>
        <v>9.2291666667733807E-2</v>
      </c>
      <c r="D44" s="1">
        <f>YEAR(smart_dataset[[#This Row],[Date]])</f>
        <v>2024</v>
      </c>
      <c r="E44" s="1">
        <f>MONTH(smart_dataset[[#This Row],[Timestamp]])</f>
        <v>7</v>
      </c>
      <c r="F44" t="s">
        <v>34</v>
      </c>
      <c r="G44">
        <v>40.783999999999999</v>
      </c>
      <c r="H44">
        <v>77.2346</v>
      </c>
      <c r="I44">
        <v>172</v>
      </c>
      <c r="J44" t="s">
        <v>17</v>
      </c>
      <c r="K44">
        <v>25.2</v>
      </c>
      <c r="L44">
        <v>67.599999999999994</v>
      </c>
      <c r="M44" t="s">
        <v>28</v>
      </c>
      <c r="N44">
        <v>40</v>
      </c>
      <c r="O44">
        <v>274</v>
      </c>
      <c r="P44">
        <v>7</v>
      </c>
      <c r="Q44" t="s">
        <v>23</v>
      </c>
      <c r="R44">
        <v>66.3</v>
      </c>
      <c r="S44">
        <v>170</v>
      </c>
      <c r="T44">
        <v>1</v>
      </c>
      <c r="U44" t="str" cm="1">
        <f t="array" ref="U44">_xlfn.IFS(smart_dataset[[#This Row],[Waiting_Time]]&lt;=20,"Low",smart_dataset[[#This Row],[Waiting_Time]]&lt;=40,"Medium",TRUE,"High")</f>
        <v>Medium</v>
      </c>
      <c r="V44" t="str" cm="1">
        <f t="array" ref="V44">_xlfn.IFS(smart_dataset[[#This Row],[Temperature]]&lt;=20,"Cold",smart_dataset[[#This Row],[Temperature]]&lt;=28,"Normal",TRUE,"Hot")</f>
        <v>Normal</v>
      </c>
      <c r="W44" t="str" cm="1">
        <f t="array" ref="W44">_xlfn.IFS(smart_dataset[[#This Row],[Asset_Utilization]]&lt;=75,"Low",smart_dataset[[#This Row],[Asset_Utilization]]&lt;=90,"Medium",TRUE,"High")</f>
        <v>Low</v>
      </c>
    </row>
    <row r="45" spans="1:23" hidden="1" x14ac:dyDescent="0.25">
      <c r="A45" s="1">
        <v>45627.996018518519</v>
      </c>
      <c r="B45" s="1">
        <f>INT(smart_dataset[[#This Row],[Timestamp]])</f>
        <v>45627</v>
      </c>
      <c r="C45" s="1">
        <f>MOD(smart_dataset[[#This Row],[Timestamp]],1)</f>
        <v>0.99601851851912215</v>
      </c>
      <c r="D45" s="1">
        <f>YEAR(smart_dataset[[#This Row],[Date]])</f>
        <v>2024</v>
      </c>
      <c r="E45" s="1">
        <f>MONTH(smart_dataset[[#This Row],[Timestamp]])</f>
        <v>12</v>
      </c>
      <c r="F45" t="s">
        <v>16</v>
      </c>
      <c r="G45">
        <v>-68.351500000000001</v>
      </c>
      <c r="H45">
        <v>158.251</v>
      </c>
      <c r="I45">
        <v>206</v>
      </c>
      <c r="J45" t="s">
        <v>17</v>
      </c>
      <c r="K45">
        <v>20.7</v>
      </c>
      <c r="L45">
        <v>77.5</v>
      </c>
      <c r="M45" t="s">
        <v>28</v>
      </c>
      <c r="N45">
        <v>15</v>
      </c>
      <c r="O45">
        <v>308</v>
      </c>
      <c r="P45">
        <v>2</v>
      </c>
      <c r="Q45" t="s">
        <v>31</v>
      </c>
      <c r="R45">
        <v>63.9</v>
      </c>
      <c r="S45">
        <v>209</v>
      </c>
      <c r="T45">
        <v>1</v>
      </c>
      <c r="U45" t="str" cm="1">
        <f t="array" ref="U45">_xlfn.IFS(smart_dataset[[#This Row],[Waiting_Time]]&lt;=20,"Low",smart_dataset[[#This Row],[Waiting_Time]]&lt;=40,"Medium",TRUE,"High")</f>
        <v>Low</v>
      </c>
      <c r="V45" t="str" cm="1">
        <f t="array" ref="V45">_xlfn.IFS(smart_dataset[[#This Row],[Temperature]]&lt;=20,"Cold",smart_dataset[[#This Row],[Temperature]]&lt;=28,"Normal",TRUE,"Hot")</f>
        <v>Normal</v>
      </c>
      <c r="W45" t="str" cm="1">
        <f t="array" ref="W45">_xlfn.IFS(smart_dataset[[#This Row],[Asset_Utilization]]&lt;=75,"Low",smart_dataset[[#This Row],[Asset_Utilization]]&lt;=90,"Medium",TRUE,"High")</f>
        <v>Low</v>
      </c>
    </row>
    <row r="46" spans="1:23" hidden="1" x14ac:dyDescent="0.25">
      <c r="A46" s="1">
        <v>45465.559745370374</v>
      </c>
      <c r="B46" s="1">
        <f>INT(smart_dataset[[#This Row],[Timestamp]])</f>
        <v>45465</v>
      </c>
      <c r="C46" s="1">
        <f>MOD(smart_dataset[[#This Row],[Timestamp]],1)</f>
        <v>0.55974537037400296</v>
      </c>
      <c r="D46" s="1">
        <f>YEAR(smart_dataset[[#This Row],[Date]])</f>
        <v>2024</v>
      </c>
      <c r="E46" s="1">
        <f>MONTH(smart_dataset[[#This Row],[Timestamp]])</f>
        <v>6</v>
      </c>
      <c r="F46" t="s">
        <v>20</v>
      </c>
      <c r="G46">
        <v>-33.837800000000001</v>
      </c>
      <c r="H46">
        <v>73.322100000000006</v>
      </c>
      <c r="I46">
        <v>310</v>
      </c>
      <c r="J46" t="s">
        <v>21</v>
      </c>
      <c r="K46">
        <v>18.7</v>
      </c>
      <c r="L46">
        <v>54.7</v>
      </c>
      <c r="M46" t="s">
        <v>28</v>
      </c>
      <c r="N46">
        <v>52</v>
      </c>
      <c r="O46">
        <v>232</v>
      </c>
      <c r="P46">
        <v>9</v>
      </c>
      <c r="Q46" t="s">
        <v>27</v>
      </c>
      <c r="R46">
        <v>72.599999999999994</v>
      </c>
      <c r="S46">
        <v>113</v>
      </c>
      <c r="T46">
        <v>0</v>
      </c>
      <c r="U46" t="str" cm="1">
        <f t="array" ref="U46">_xlfn.IFS(smart_dataset[[#This Row],[Waiting_Time]]&lt;=20,"Low",smart_dataset[[#This Row],[Waiting_Time]]&lt;=40,"Medium",TRUE,"High")</f>
        <v>High</v>
      </c>
      <c r="V46" t="str" cm="1">
        <f t="array" ref="V46">_xlfn.IFS(smart_dataset[[#This Row],[Temperature]]&lt;=20,"Cold",smart_dataset[[#This Row],[Temperature]]&lt;=28,"Normal",TRUE,"Hot")</f>
        <v>Cold</v>
      </c>
      <c r="W46" t="str" cm="1">
        <f t="array" ref="W46">_xlfn.IFS(smart_dataset[[#This Row],[Asset_Utilization]]&lt;=75,"Low",smart_dataset[[#This Row],[Asset_Utilization]]&lt;=90,"Medium",TRUE,"High")</f>
        <v>Low</v>
      </c>
    </row>
    <row r="47" spans="1:23" hidden="1" x14ac:dyDescent="0.25">
      <c r="A47" s="1">
        <v>45500.660254629627</v>
      </c>
      <c r="B47" s="1">
        <f>INT(smart_dataset[[#This Row],[Timestamp]])</f>
        <v>45500</v>
      </c>
      <c r="C47" s="1">
        <f>MOD(smart_dataset[[#This Row],[Timestamp]],1)</f>
        <v>0.66025462962716119</v>
      </c>
      <c r="D47" s="1">
        <f>YEAR(smart_dataset[[#This Row],[Date]])</f>
        <v>2024</v>
      </c>
      <c r="E47" s="1">
        <f>MONTH(smart_dataset[[#This Row],[Timestamp]])</f>
        <v>7</v>
      </c>
      <c r="F47" t="s">
        <v>30</v>
      </c>
      <c r="G47">
        <v>69.660899999999998</v>
      </c>
      <c r="H47">
        <v>38.446399999999997</v>
      </c>
      <c r="I47">
        <v>225</v>
      </c>
      <c r="J47" t="s">
        <v>26</v>
      </c>
      <c r="K47">
        <v>19</v>
      </c>
      <c r="L47">
        <v>63</v>
      </c>
      <c r="M47" t="s">
        <v>22</v>
      </c>
      <c r="N47">
        <v>17</v>
      </c>
      <c r="O47">
        <v>282</v>
      </c>
      <c r="P47">
        <v>6</v>
      </c>
      <c r="Q47" t="s">
        <v>23</v>
      </c>
      <c r="R47">
        <v>99.6</v>
      </c>
      <c r="S47">
        <v>265</v>
      </c>
      <c r="T47">
        <v>1</v>
      </c>
      <c r="U47" t="str" cm="1">
        <f t="array" ref="U47">_xlfn.IFS(smart_dataset[[#This Row],[Waiting_Time]]&lt;=20,"Low",smart_dataset[[#This Row],[Waiting_Time]]&lt;=40,"Medium",TRUE,"High")</f>
        <v>Low</v>
      </c>
      <c r="V47" t="str" cm="1">
        <f t="array" ref="V47">_xlfn.IFS(smart_dataset[[#This Row],[Temperature]]&lt;=20,"Cold",smart_dataset[[#This Row],[Temperature]]&lt;=28,"Normal",TRUE,"Hot")</f>
        <v>Cold</v>
      </c>
      <c r="W47" t="str" cm="1">
        <f t="array" ref="W47">_xlfn.IFS(smart_dataset[[#This Row],[Asset_Utilization]]&lt;=75,"Low",smart_dataset[[#This Row],[Asset_Utilization]]&lt;=90,"Medium",TRUE,"High")</f>
        <v>High</v>
      </c>
    </row>
    <row r="48" spans="1:23" x14ac:dyDescent="0.25">
      <c r="A48" s="1">
        <v>45540.591666666667</v>
      </c>
      <c r="B48" s="1">
        <f>INT(smart_dataset[[#This Row],[Timestamp]])</f>
        <v>45540</v>
      </c>
      <c r="C48" s="7">
        <f>MOD(smart_dataset[[#This Row],[Timestamp]],1)</f>
        <v>0.59166666666715173</v>
      </c>
      <c r="D48">
        <f>YEAR(smart_dataset[[#This Row],[Date]])</f>
        <v>2024</v>
      </c>
      <c r="E48">
        <f>MONTH(smart_dataset[[#This Row],[Timestamp]])</f>
        <v>9</v>
      </c>
      <c r="F48" t="s">
        <v>33</v>
      </c>
      <c r="G48">
        <v>20.8843</v>
      </c>
      <c r="H48">
        <v>1.3947000000000001</v>
      </c>
      <c r="I48">
        <v>303</v>
      </c>
      <c r="J48" t="s">
        <v>17</v>
      </c>
      <c r="K48">
        <v>20.7</v>
      </c>
      <c r="L48">
        <v>70.599999999999994</v>
      </c>
      <c r="M48" t="s">
        <v>28</v>
      </c>
      <c r="N48">
        <v>47</v>
      </c>
      <c r="O48">
        <v>143</v>
      </c>
      <c r="P48">
        <v>10</v>
      </c>
      <c r="Q48" t="s">
        <v>19</v>
      </c>
      <c r="R48">
        <v>98.1</v>
      </c>
      <c r="S48">
        <v>123</v>
      </c>
      <c r="T48">
        <v>1</v>
      </c>
      <c r="U48" t="str" cm="1">
        <f t="array" ref="U48">_xlfn.IFS(smart_dataset[[#This Row],[Waiting_Time]]&lt;=20,"Low",smart_dataset[[#This Row],[Waiting_Time]]&lt;=40,"Medium",TRUE,"High")</f>
        <v>High</v>
      </c>
      <c r="V48" t="str" cm="1">
        <f t="array" ref="V48">_xlfn.IFS(smart_dataset[[#This Row],[Temperature]]&lt;=20,"Cold",smart_dataset[[#This Row],[Temperature]]&lt;=28,"Normal",TRUE,"Hot")</f>
        <v>Normal</v>
      </c>
      <c r="W48" t="str" cm="1">
        <f t="array" ref="W48">_xlfn.IFS(smart_dataset[[#This Row],[Asset_Utilization]]&lt;=75,"Low",smart_dataset[[#This Row],[Asset_Utilization]]&lt;=90,"Medium",TRUE,"High")</f>
        <v>High</v>
      </c>
    </row>
    <row r="49" spans="1:23" x14ac:dyDescent="0.25">
      <c r="A49" s="1">
        <v>45607.923530092594</v>
      </c>
      <c r="B49" s="1">
        <f>INT(smart_dataset[[#This Row],[Timestamp]])</f>
        <v>45607</v>
      </c>
      <c r="C49" s="7">
        <f>MOD(smart_dataset[[#This Row],[Timestamp]],1)</f>
        <v>0.92353009259386454</v>
      </c>
      <c r="D49">
        <f>YEAR(smart_dataset[[#This Row],[Date]])</f>
        <v>2024</v>
      </c>
      <c r="E49">
        <f>MONTH(smart_dataset[[#This Row],[Timestamp]])</f>
        <v>11</v>
      </c>
      <c r="F49" t="s">
        <v>35</v>
      </c>
      <c r="G49">
        <v>-14.8081</v>
      </c>
      <c r="H49">
        <v>-177.30029999999999</v>
      </c>
      <c r="I49">
        <v>237</v>
      </c>
      <c r="J49" t="s">
        <v>17</v>
      </c>
      <c r="K49">
        <v>20.7</v>
      </c>
      <c r="L49">
        <v>78.3</v>
      </c>
      <c r="M49" t="s">
        <v>22</v>
      </c>
      <c r="N49">
        <v>35</v>
      </c>
      <c r="O49">
        <v>491</v>
      </c>
      <c r="P49">
        <v>2</v>
      </c>
      <c r="Q49" t="s">
        <v>19</v>
      </c>
      <c r="R49">
        <v>80.7</v>
      </c>
      <c r="S49">
        <v>189</v>
      </c>
      <c r="T49">
        <v>1</v>
      </c>
      <c r="U49" t="str" cm="1">
        <f t="array" ref="U49">_xlfn.IFS(smart_dataset[[#This Row],[Waiting_Time]]&lt;=20,"Low",smart_dataset[[#This Row],[Waiting_Time]]&lt;=40,"Medium",TRUE,"High")</f>
        <v>Medium</v>
      </c>
      <c r="V49" t="str" cm="1">
        <f t="array" ref="V49">_xlfn.IFS(smart_dataset[[#This Row],[Temperature]]&lt;=20,"Cold",smart_dataset[[#This Row],[Temperature]]&lt;=28,"Normal",TRUE,"Hot")</f>
        <v>Normal</v>
      </c>
      <c r="W49" t="str" cm="1">
        <f t="array" ref="W49">_xlfn.IFS(smart_dataset[[#This Row],[Asset_Utilization]]&lt;=75,"Low",smart_dataset[[#This Row],[Asset_Utilization]]&lt;=90,"Medium",TRUE,"High")</f>
        <v>Medium</v>
      </c>
    </row>
    <row r="50" spans="1:23" hidden="1" x14ac:dyDescent="0.25">
      <c r="A50" s="1">
        <v>45413.934849537036</v>
      </c>
      <c r="B50" s="1">
        <f>INT(smart_dataset[[#This Row],[Timestamp]])</f>
        <v>45413</v>
      </c>
      <c r="C50" s="1">
        <f>MOD(smart_dataset[[#This Row],[Timestamp]],1)</f>
        <v>0.934849537035916</v>
      </c>
      <c r="D50" s="1">
        <f>YEAR(smart_dataset[[#This Row],[Date]])</f>
        <v>2024</v>
      </c>
      <c r="E50" s="1">
        <f>MONTH(smart_dataset[[#This Row],[Timestamp]])</f>
        <v>5</v>
      </c>
      <c r="F50" t="s">
        <v>20</v>
      </c>
      <c r="G50">
        <v>4.1399999999999999E-2</v>
      </c>
      <c r="H50">
        <v>-130.65049999999999</v>
      </c>
      <c r="I50">
        <v>172</v>
      </c>
      <c r="J50" t="s">
        <v>26</v>
      </c>
      <c r="K50">
        <v>18.2</v>
      </c>
      <c r="L50">
        <v>79.900000000000006</v>
      </c>
      <c r="M50" t="s">
        <v>28</v>
      </c>
      <c r="N50">
        <v>46</v>
      </c>
      <c r="O50">
        <v>258</v>
      </c>
      <c r="P50">
        <v>3</v>
      </c>
      <c r="Q50" t="s">
        <v>31</v>
      </c>
      <c r="R50">
        <v>60.1</v>
      </c>
      <c r="S50">
        <v>154</v>
      </c>
      <c r="T50">
        <v>0</v>
      </c>
      <c r="U50" t="str" cm="1">
        <f t="array" ref="U50">_xlfn.IFS(smart_dataset[[#This Row],[Waiting_Time]]&lt;=20,"Low",smart_dataset[[#This Row],[Waiting_Time]]&lt;=40,"Medium",TRUE,"High")</f>
        <v>High</v>
      </c>
      <c r="V50" t="str" cm="1">
        <f t="array" ref="V50">_xlfn.IFS(smart_dataset[[#This Row],[Temperature]]&lt;=20,"Cold",smart_dataset[[#This Row],[Temperature]]&lt;=28,"Normal",TRUE,"Hot")</f>
        <v>Cold</v>
      </c>
      <c r="W50" t="str" cm="1">
        <f t="array" ref="W50">_xlfn.IFS(smart_dataset[[#This Row],[Asset_Utilization]]&lt;=75,"Low",smart_dataset[[#This Row],[Asset_Utilization]]&lt;=90,"Medium",TRUE,"High")</f>
        <v>Low</v>
      </c>
    </row>
    <row r="51" spans="1:23" x14ac:dyDescent="0.25">
      <c r="A51" s="1">
        <v>45499.846539351849</v>
      </c>
      <c r="B51" s="1">
        <f>INT(smart_dataset[[#This Row],[Timestamp]])</f>
        <v>45499</v>
      </c>
      <c r="C51" s="7">
        <f>MOD(smart_dataset[[#This Row],[Timestamp]],1)</f>
        <v>0.84653935184906004</v>
      </c>
      <c r="D51">
        <f>YEAR(smart_dataset[[#This Row],[Date]])</f>
        <v>2024</v>
      </c>
      <c r="E51">
        <f>MONTH(smart_dataset[[#This Row],[Timestamp]])</f>
        <v>7</v>
      </c>
      <c r="F51" t="s">
        <v>25</v>
      </c>
      <c r="G51">
        <v>-79.914599999999993</v>
      </c>
      <c r="H51">
        <v>-3.8553999999999999</v>
      </c>
      <c r="I51">
        <v>214</v>
      </c>
      <c r="J51" t="s">
        <v>21</v>
      </c>
      <c r="K51">
        <v>21.7</v>
      </c>
      <c r="L51">
        <v>77</v>
      </c>
      <c r="M51" t="s">
        <v>22</v>
      </c>
      <c r="N51">
        <v>47</v>
      </c>
      <c r="O51">
        <v>187</v>
      </c>
      <c r="P51">
        <v>10</v>
      </c>
      <c r="Q51" t="s">
        <v>19</v>
      </c>
      <c r="R51">
        <v>97.4</v>
      </c>
      <c r="S51">
        <v>175</v>
      </c>
      <c r="T51">
        <v>1</v>
      </c>
      <c r="U51" t="str" cm="1">
        <f t="array" ref="U51">_xlfn.IFS(smart_dataset[[#This Row],[Waiting_Time]]&lt;=20,"Low",smart_dataset[[#This Row],[Waiting_Time]]&lt;=40,"Medium",TRUE,"High")</f>
        <v>High</v>
      </c>
      <c r="V51" t="str" cm="1">
        <f t="array" ref="V51">_xlfn.IFS(smart_dataset[[#This Row],[Temperature]]&lt;=20,"Cold",smart_dataset[[#This Row],[Temperature]]&lt;=28,"Normal",TRUE,"Hot")</f>
        <v>Normal</v>
      </c>
      <c r="W51" t="str" cm="1">
        <f t="array" ref="W51">_xlfn.IFS(smart_dataset[[#This Row],[Asset_Utilization]]&lt;=75,"Low",smart_dataset[[#This Row],[Asset_Utilization]]&lt;=90,"Medium",TRUE,"High")</f>
        <v>High</v>
      </c>
    </row>
    <row r="52" spans="1:23" hidden="1" x14ac:dyDescent="0.25">
      <c r="A52" s="1">
        <v>45513.05327546296</v>
      </c>
      <c r="B52" s="1">
        <f>INT(smart_dataset[[#This Row],[Timestamp]])</f>
        <v>45513</v>
      </c>
      <c r="C52" s="1">
        <f>MOD(smart_dataset[[#This Row],[Timestamp]],1)</f>
        <v>5.3275462960300501E-2</v>
      </c>
      <c r="D52" s="1">
        <f>YEAR(smart_dataset[[#This Row],[Date]])</f>
        <v>2024</v>
      </c>
      <c r="E52" s="1">
        <f>MONTH(smart_dataset[[#This Row],[Timestamp]])</f>
        <v>8</v>
      </c>
      <c r="F52" t="s">
        <v>33</v>
      </c>
      <c r="G52">
        <v>76.4465</v>
      </c>
      <c r="H52">
        <v>173.14930000000001</v>
      </c>
      <c r="I52">
        <v>330</v>
      </c>
      <c r="J52" t="s">
        <v>17</v>
      </c>
      <c r="K52">
        <v>24</v>
      </c>
      <c r="L52">
        <v>52.9</v>
      </c>
      <c r="M52" t="s">
        <v>22</v>
      </c>
      <c r="N52">
        <v>14</v>
      </c>
      <c r="O52">
        <v>425</v>
      </c>
      <c r="P52">
        <v>1</v>
      </c>
      <c r="Q52" t="s">
        <v>31</v>
      </c>
      <c r="R52">
        <v>89.8</v>
      </c>
      <c r="S52">
        <v>289</v>
      </c>
      <c r="T52">
        <v>1</v>
      </c>
      <c r="U52" t="str" cm="1">
        <f t="array" ref="U52">_xlfn.IFS(smart_dataset[[#This Row],[Waiting_Time]]&lt;=20,"Low",smart_dataset[[#This Row],[Waiting_Time]]&lt;=40,"Medium",TRUE,"High")</f>
        <v>Low</v>
      </c>
      <c r="V52" t="str" cm="1">
        <f t="array" ref="V52">_xlfn.IFS(smart_dataset[[#This Row],[Temperature]]&lt;=20,"Cold",smart_dataset[[#This Row],[Temperature]]&lt;=28,"Normal",TRUE,"Hot")</f>
        <v>Normal</v>
      </c>
      <c r="W52" t="str" cm="1">
        <f t="array" ref="W52">_xlfn.IFS(smart_dataset[[#This Row],[Asset_Utilization]]&lt;=75,"Low",smart_dataset[[#This Row],[Asset_Utilization]]&lt;=90,"Medium",TRUE,"High")</f>
        <v>Medium</v>
      </c>
    </row>
    <row r="53" spans="1:23" hidden="1" x14ac:dyDescent="0.25">
      <c r="A53" s="1">
        <v>45320.877870370372</v>
      </c>
      <c r="B53" s="1">
        <f>INT(smart_dataset[[#This Row],[Timestamp]])</f>
        <v>45320</v>
      </c>
      <c r="C53" s="1">
        <f>MOD(smart_dataset[[#This Row],[Timestamp]],1)</f>
        <v>0.87787037037196569</v>
      </c>
      <c r="D53" s="1">
        <f>YEAR(smart_dataset[[#This Row],[Date]])</f>
        <v>2024</v>
      </c>
      <c r="E53" s="1">
        <f>MONTH(smart_dataset[[#This Row],[Timestamp]])</f>
        <v>1</v>
      </c>
      <c r="F53" t="s">
        <v>34</v>
      </c>
      <c r="G53">
        <v>-15.6005</v>
      </c>
      <c r="H53">
        <v>-92.197400000000002</v>
      </c>
      <c r="I53">
        <v>130</v>
      </c>
      <c r="J53" t="s">
        <v>26</v>
      </c>
      <c r="K53">
        <v>18.100000000000001</v>
      </c>
      <c r="L53">
        <v>78.3</v>
      </c>
      <c r="M53" t="s">
        <v>22</v>
      </c>
      <c r="N53">
        <v>39</v>
      </c>
      <c r="O53">
        <v>424</v>
      </c>
      <c r="P53">
        <v>9</v>
      </c>
      <c r="Q53" t="s">
        <v>27</v>
      </c>
      <c r="R53">
        <v>92.3</v>
      </c>
      <c r="S53">
        <v>143</v>
      </c>
      <c r="T53">
        <v>1</v>
      </c>
      <c r="U53" t="str" cm="1">
        <f t="array" ref="U53">_xlfn.IFS(smart_dataset[[#This Row],[Waiting_Time]]&lt;=20,"Low",smart_dataset[[#This Row],[Waiting_Time]]&lt;=40,"Medium",TRUE,"High")</f>
        <v>Medium</v>
      </c>
      <c r="V53" t="str" cm="1">
        <f t="array" ref="V53">_xlfn.IFS(smart_dataset[[#This Row],[Temperature]]&lt;=20,"Cold",smart_dataset[[#This Row],[Temperature]]&lt;=28,"Normal",TRUE,"Hot")</f>
        <v>Cold</v>
      </c>
      <c r="W53" t="str" cm="1">
        <f t="array" ref="W53">_xlfn.IFS(smart_dataset[[#This Row],[Asset_Utilization]]&lt;=75,"Low",smart_dataset[[#This Row],[Asset_Utilization]]&lt;=90,"Medium",TRUE,"High")</f>
        <v>High</v>
      </c>
    </row>
    <row r="54" spans="1:23" hidden="1" x14ac:dyDescent="0.25">
      <c r="A54" s="1">
        <v>45374.533032407409</v>
      </c>
      <c r="B54" s="1">
        <f>INT(smart_dataset[[#This Row],[Timestamp]])</f>
        <v>45374</v>
      </c>
      <c r="C54" s="1">
        <f>MOD(smart_dataset[[#This Row],[Timestamp]],1)</f>
        <v>0.53303240740933688</v>
      </c>
      <c r="D54" s="1">
        <f>YEAR(smart_dataset[[#This Row],[Date]])</f>
        <v>2024</v>
      </c>
      <c r="E54" s="1">
        <f>MONTH(smart_dataset[[#This Row],[Timestamp]])</f>
        <v>3</v>
      </c>
      <c r="F54" t="s">
        <v>30</v>
      </c>
      <c r="G54">
        <v>67.396000000000001</v>
      </c>
      <c r="H54">
        <v>170.15369999999999</v>
      </c>
      <c r="I54">
        <v>364</v>
      </c>
      <c r="J54" t="s">
        <v>17</v>
      </c>
      <c r="K54">
        <v>26.9</v>
      </c>
      <c r="L54">
        <v>67.8</v>
      </c>
      <c r="M54" t="s">
        <v>28</v>
      </c>
      <c r="N54">
        <v>55</v>
      </c>
      <c r="O54">
        <v>467</v>
      </c>
      <c r="P54">
        <v>7</v>
      </c>
      <c r="Q54" t="s">
        <v>23</v>
      </c>
      <c r="R54">
        <v>95.2</v>
      </c>
      <c r="S54">
        <v>128</v>
      </c>
      <c r="T54">
        <v>1</v>
      </c>
      <c r="U54" t="str" cm="1">
        <f t="array" ref="U54">_xlfn.IFS(smart_dataset[[#This Row],[Waiting_Time]]&lt;=20,"Low",smart_dataset[[#This Row],[Waiting_Time]]&lt;=40,"Medium",TRUE,"High")</f>
        <v>High</v>
      </c>
      <c r="V54" t="str" cm="1">
        <f t="array" ref="V54">_xlfn.IFS(smart_dataset[[#This Row],[Temperature]]&lt;=20,"Cold",smart_dataset[[#This Row],[Temperature]]&lt;=28,"Normal",TRUE,"Hot")</f>
        <v>Normal</v>
      </c>
      <c r="W54" t="str" cm="1">
        <f t="array" ref="W54">_xlfn.IFS(smart_dataset[[#This Row],[Asset_Utilization]]&lt;=75,"Low",smart_dataset[[#This Row],[Asset_Utilization]]&lt;=90,"Medium",TRUE,"High")</f>
        <v>High</v>
      </c>
    </row>
    <row r="55" spans="1:23" x14ac:dyDescent="0.25">
      <c r="A55" s="1">
        <v>45582.557303240741</v>
      </c>
      <c r="B55" s="1">
        <f>INT(smart_dataset[[#This Row],[Timestamp]])</f>
        <v>45582</v>
      </c>
      <c r="C55" s="7">
        <f>MOD(smart_dataset[[#This Row],[Timestamp]],1)</f>
        <v>0.557303240741021</v>
      </c>
      <c r="D55">
        <f>YEAR(smart_dataset[[#This Row],[Date]])</f>
        <v>2024</v>
      </c>
      <c r="E55">
        <f>MONTH(smart_dataset[[#This Row],[Timestamp]])</f>
        <v>10</v>
      </c>
      <c r="F55" t="s">
        <v>32</v>
      </c>
      <c r="G55">
        <v>33.617899999999999</v>
      </c>
      <c r="H55">
        <v>-67.275800000000004</v>
      </c>
      <c r="I55">
        <v>430</v>
      </c>
      <c r="J55" t="s">
        <v>17</v>
      </c>
      <c r="K55">
        <v>26.4</v>
      </c>
      <c r="L55">
        <v>68.400000000000006</v>
      </c>
      <c r="M55" t="s">
        <v>22</v>
      </c>
      <c r="N55">
        <v>16</v>
      </c>
      <c r="O55">
        <v>277</v>
      </c>
      <c r="P55">
        <v>8</v>
      </c>
      <c r="Q55" t="s">
        <v>19</v>
      </c>
      <c r="R55">
        <v>71.900000000000006</v>
      </c>
      <c r="S55">
        <v>137</v>
      </c>
      <c r="T55">
        <v>1</v>
      </c>
      <c r="U55" t="str" cm="1">
        <f t="array" ref="U55">_xlfn.IFS(smart_dataset[[#This Row],[Waiting_Time]]&lt;=20,"Low",smart_dataset[[#This Row],[Waiting_Time]]&lt;=40,"Medium",TRUE,"High")</f>
        <v>Low</v>
      </c>
      <c r="V55" t="str" cm="1">
        <f t="array" ref="V55">_xlfn.IFS(smart_dataset[[#This Row],[Temperature]]&lt;=20,"Cold",smart_dataset[[#This Row],[Temperature]]&lt;=28,"Normal",TRUE,"Hot")</f>
        <v>Normal</v>
      </c>
      <c r="W55" t="str" cm="1">
        <f t="array" ref="W55">_xlfn.IFS(smart_dataset[[#This Row],[Asset_Utilization]]&lt;=75,"Low",smart_dataset[[#This Row],[Asset_Utilization]]&lt;=90,"Medium",TRUE,"High")</f>
        <v>Low</v>
      </c>
    </row>
    <row r="56" spans="1:23" x14ac:dyDescent="0.25">
      <c r="A56" s="1">
        <v>45484.296840277777</v>
      </c>
      <c r="B56" s="1">
        <f>INT(smart_dataset[[#This Row],[Timestamp]])</f>
        <v>45484</v>
      </c>
      <c r="C56" s="7">
        <f>MOD(smart_dataset[[#This Row],[Timestamp]],1)</f>
        <v>0.296840277776937</v>
      </c>
      <c r="D56">
        <f>YEAR(smart_dataset[[#This Row],[Date]])</f>
        <v>2024</v>
      </c>
      <c r="E56">
        <f>MONTH(smart_dataset[[#This Row],[Timestamp]])</f>
        <v>7</v>
      </c>
      <c r="F56" t="s">
        <v>32</v>
      </c>
      <c r="G56">
        <v>-50.817399999999999</v>
      </c>
      <c r="H56">
        <v>-40.340899999999998</v>
      </c>
      <c r="I56">
        <v>187</v>
      </c>
      <c r="J56" t="s">
        <v>21</v>
      </c>
      <c r="K56">
        <v>18.600000000000001</v>
      </c>
      <c r="L56">
        <v>67.7</v>
      </c>
      <c r="M56" t="s">
        <v>28</v>
      </c>
      <c r="N56">
        <v>12</v>
      </c>
      <c r="O56">
        <v>375</v>
      </c>
      <c r="P56">
        <v>5</v>
      </c>
      <c r="Q56" t="s">
        <v>19</v>
      </c>
      <c r="R56">
        <v>85.4</v>
      </c>
      <c r="S56">
        <v>140</v>
      </c>
      <c r="T56">
        <v>0</v>
      </c>
      <c r="U56" t="str" cm="1">
        <f t="array" ref="U56">_xlfn.IFS(smart_dataset[[#This Row],[Waiting_Time]]&lt;=20,"Low",smart_dataset[[#This Row],[Waiting_Time]]&lt;=40,"Medium",TRUE,"High")</f>
        <v>Low</v>
      </c>
      <c r="V56" t="str" cm="1">
        <f t="array" ref="V56">_xlfn.IFS(smart_dataset[[#This Row],[Temperature]]&lt;=20,"Cold",smart_dataset[[#This Row],[Temperature]]&lt;=28,"Normal",TRUE,"Hot")</f>
        <v>Cold</v>
      </c>
      <c r="W56" t="str" cm="1">
        <f t="array" ref="W56">_xlfn.IFS(smart_dataset[[#This Row],[Asset_Utilization]]&lt;=75,"Low",smart_dataset[[#This Row],[Asset_Utilization]]&lt;=90,"Medium",TRUE,"High")</f>
        <v>Medium</v>
      </c>
    </row>
    <row r="57" spans="1:23" hidden="1" x14ac:dyDescent="0.25">
      <c r="A57" s="1">
        <v>45637.706805555557</v>
      </c>
      <c r="B57" s="1">
        <f>INT(smart_dataset[[#This Row],[Timestamp]])</f>
        <v>45637</v>
      </c>
      <c r="C57" s="1">
        <f>MOD(smart_dataset[[#This Row],[Timestamp]],1)</f>
        <v>0.70680555555736646</v>
      </c>
      <c r="D57" s="1">
        <f>YEAR(smart_dataset[[#This Row],[Date]])</f>
        <v>2024</v>
      </c>
      <c r="E57" s="1">
        <f>MONTH(smart_dataset[[#This Row],[Timestamp]])</f>
        <v>12</v>
      </c>
      <c r="F57" t="s">
        <v>34</v>
      </c>
      <c r="G57">
        <v>50.270899999999997</v>
      </c>
      <c r="H57">
        <v>125.6915</v>
      </c>
      <c r="I57">
        <v>323</v>
      </c>
      <c r="J57" t="s">
        <v>17</v>
      </c>
      <c r="K57">
        <v>28.3</v>
      </c>
      <c r="L57">
        <v>61.2</v>
      </c>
      <c r="M57" t="s">
        <v>18</v>
      </c>
      <c r="N57">
        <v>52</v>
      </c>
      <c r="O57">
        <v>139</v>
      </c>
      <c r="P57">
        <v>4</v>
      </c>
      <c r="Q57" t="s">
        <v>23</v>
      </c>
      <c r="R57">
        <v>72.400000000000006</v>
      </c>
      <c r="S57">
        <v>127</v>
      </c>
      <c r="T57">
        <v>1</v>
      </c>
      <c r="U57" t="str" cm="1">
        <f t="array" ref="U57">_xlfn.IFS(smart_dataset[[#This Row],[Waiting_Time]]&lt;=20,"Low",smart_dataset[[#This Row],[Waiting_Time]]&lt;=40,"Medium",TRUE,"High")</f>
        <v>High</v>
      </c>
      <c r="V57" t="str" cm="1">
        <f t="array" ref="V57">_xlfn.IFS(smart_dataset[[#This Row],[Temperature]]&lt;=20,"Cold",smart_dataset[[#This Row],[Temperature]]&lt;=28,"Normal",TRUE,"Hot")</f>
        <v>Hot</v>
      </c>
      <c r="W57" t="str" cm="1">
        <f t="array" ref="W57">_xlfn.IFS(smart_dataset[[#This Row],[Asset_Utilization]]&lt;=75,"Low",smart_dataset[[#This Row],[Asset_Utilization]]&lt;=90,"Medium",TRUE,"High")</f>
        <v>Low</v>
      </c>
    </row>
    <row r="58" spans="1:23" hidden="1" x14ac:dyDescent="0.25">
      <c r="A58" s="1">
        <v>45301.045428240737</v>
      </c>
      <c r="B58" s="1">
        <f>INT(smart_dataset[[#This Row],[Timestamp]])</f>
        <v>45301</v>
      </c>
      <c r="C58" s="1">
        <f>MOD(smart_dataset[[#This Row],[Timestamp]],1)</f>
        <v>4.5428240737237502E-2</v>
      </c>
      <c r="D58" s="1">
        <f>YEAR(smart_dataset[[#This Row],[Date]])</f>
        <v>2024</v>
      </c>
      <c r="E58" s="1">
        <f>MONTH(smart_dataset[[#This Row],[Timestamp]])</f>
        <v>1</v>
      </c>
      <c r="F58" t="s">
        <v>25</v>
      </c>
      <c r="G58">
        <v>-73.821100000000001</v>
      </c>
      <c r="H58">
        <v>3.1869999999999998</v>
      </c>
      <c r="I58">
        <v>386</v>
      </c>
      <c r="J58" t="s">
        <v>26</v>
      </c>
      <c r="K58">
        <v>26.6</v>
      </c>
      <c r="L58">
        <v>78.2</v>
      </c>
      <c r="M58" t="s">
        <v>18</v>
      </c>
      <c r="N58">
        <v>19</v>
      </c>
      <c r="O58">
        <v>456</v>
      </c>
      <c r="P58">
        <v>7</v>
      </c>
      <c r="Q58" t="s">
        <v>27</v>
      </c>
      <c r="R58">
        <v>87.6</v>
      </c>
      <c r="S58">
        <v>290</v>
      </c>
      <c r="T58">
        <v>0</v>
      </c>
      <c r="U58" t="str" cm="1">
        <f t="array" ref="U58">_xlfn.IFS(smart_dataset[[#This Row],[Waiting_Time]]&lt;=20,"Low",smart_dataset[[#This Row],[Waiting_Time]]&lt;=40,"Medium",TRUE,"High")</f>
        <v>Low</v>
      </c>
      <c r="V58" t="str" cm="1">
        <f t="array" ref="V58">_xlfn.IFS(smart_dataset[[#This Row],[Temperature]]&lt;=20,"Cold",smart_dataset[[#This Row],[Temperature]]&lt;=28,"Normal",TRUE,"Hot")</f>
        <v>Normal</v>
      </c>
      <c r="W58" t="str" cm="1">
        <f t="array" ref="W58">_xlfn.IFS(smart_dataset[[#This Row],[Asset_Utilization]]&lt;=75,"Low",smart_dataset[[#This Row],[Asset_Utilization]]&lt;=90,"Medium",TRUE,"High")</f>
        <v>Medium</v>
      </c>
    </row>
    <row r="59" spans="1:23" hidden="1" x14ac:dyDescent="0.25">
      <c r="A59" s="1">
        <v>45460.332916666666</v>
      </c>
      <c r="B59" s="1">
        <f>INT(smart_dataset[[#This Row],[Timestamp]])</f>
        <v>45460</v>
      </c>
      <c r="C59" s="1">
        <f>MOD(smart_dataset[[#This Row],[Timestamp]],1)</f>
        <v>0.33291666666627862</v>
      </c>
      <c r="D59" s="1">
        <f>YEAR(smart_dataset[[#This Row],[Date]])</f>
        <v>2024</v>
      </c>
      <c r="E59" s="1">
        <f>MONTH(smart_dataset[[#This Row],[Timestamp]])</f>
        <v>6</v>
      </c>
      <c r="F59" t="s">
        <v>25</v>
      </c>
      <c r="G59">
        <v>79.117199999999997</v>
      </c>
      <c r="H59">
        <v>178.49340000000001</v>
      </c>
      <c r="I59">
        <v>422</v>
      </c>
      <c r="J59" t="s">
        <v>17</v>
      </c>
      <c r="K59">
        <v>19.600000000000001</v>
      </c>
      <c r="L59">
        <v>53.3</v>
      </c>
      <c r="M59" t="s">
        <v>22</v>
      </c>
      <c r="N59">
        <v>40</v>
      </c>
      <c r="O59">
        <v>205</v>
      </c>
      <c r="P59">
        <v>5</v>
      </c>
      <c r="Q59" t="s">
        <v>23</v>
      </c>
      <c r="R59">
        <v>86.1</v>
      </c>
      <c r="S59">
        <v>242</v>
      </c>
      <c r="T59">
        <v>1</v>
      </c>
      <c r="U59" t="str" cm="1">
        <f t="array" ref="U59">_xlfn.IFS(smart_dataset[[#This Row],[Waiting_Time]]&lt;=20,"Low",smart_dataset[[#This Row],[Waiting_Time]]&lt;=40,"Medium",TRUE,"High")</f>
        <v>Medium</v>
      </c>
      <c r="V59" t="str" cm="1">
        <f t="array" ref="V59">_xlfn.IFS(smart_dataset[[#This Row],[Temperature]]&lt;=20,"Cold",smart_dataset[[#This Row],[Temperature]]&lt;=28,"Normal",TRUE,"Hot")</f>
        <v>Cold</v>
      </c>
      <c r="W59" t="str" cm="1">
        <f t="array" ref="W59">_xlfn.IFS(smart_dataset[[#This Row],[Asset_Utilization]]&lt;=75,"Low",smart_dataset[[#This Row],[Asset_Utilization]]&lt;=90,"Medium",TRUE,"High")</f>
        <v>Medium</v>
      </c>
    </row>
    <row r="60" spans="1:23" hidden="1" x14ac:dyDescent="0.25">
      <c r="A60" s="1">
        <v>45468.078101851854</v>
      </c>
      <c r="B60" s="1">
        <f>INT(smart_dataset[[#This Row],[Timestamp]])</f>
        <v>45468</v>
      </c>
      <c r="C60" s="1">
        <f>MOD(smart_dataset[[#This Row],[Timestamp]],1)</f>
        <v>7.8101851853716653E-2</v>
      </c>
      <c r="D60" s="1">
        <f>YEAR(smart_dataset[[#This Row],[Date]])</f>
        <v>2024</v>
      </c>
      <c r="E60" s="1">
        <f>MONTH(smart_dataset[[#This Row],[Timestamp]])</f>
        <v>6</v>
      </c>
      <c r="F60" t="s">
        <v>25</v>
      </c>
      <c r="G60">
        <v>27.4253</v>
      </c>
      <c r="H60">
        <v>90.138599999999997</v>
      </c>
      <c r="I60">
        <v>433</v>
      </c>
      <c r="J60" t="s">
        <v>17</v>
      </c>
      <c r="K60">
        <v>24</v>
      </c>
      <c r="L60">
        <v>77.8</v>
      </c>
      <c r="M60" t="s">
        <v>28</v>
      </c>
      <c r="N60">
        <v>37</v>
      </c>
      <c r="O60">
        <v>173</v>
      </c>
      <c r="P60">
        <v>9</v>
      </c>
      <c r="Q60" t="s">
        <v>23</v>
      </c>
      <c r="R60">
        <v>89.6</v>
      </c>
      <c r="S60">
        <v>143</v>
      </c>
      <c r="T60">
        <v>1</v>
      </c>
      <c r="U60" t="str" cm="1">
        <f t="array" ref="U60">_xlfn.IFS(smart_dataset[[#This Row],[Waiting_Time]]&lt;=20,"Low",smart_dataset[[#This Row],[Waiting_Time]]&lt;=40,"Medium",TRUE,"High")</f>
        <v>Medium</v>
      </c>
      <c r="V60" t="str" cm="1">
        <f t="array" ref="V60">_xlfn.IFS(smart_dataset[[#This Row],[Temperature]]&lt;=20,"Cold",smart_dataset[[#This Row],[Temperature]]&lt;=28,"Normal",TRUE,"Hot")</f>
        <v>Normal</v>
      </c>
      <c r="W60" t="str" cm="1">
        <f t="array" ref="W60">_xlfn.IFS(smart_dataset[[#This Row],[Asset_Utilization]]&lt;=75,"Low",smart_dataset[[#This Row],[Asset_Utilization]]&lt;=90,"Medium",TRUE,"High")</f>
        <v>Medium</v>
      </c>
    </row>
    <row r="61" spans="1:23" x14ac:dyDescent="0.25">
      <c r="A61" s="1">
        <v>45399.842569444445</v>
      </c>
      <c r="B61" s="1">
        <f>INT(smart_dataset[[#This Row],[Timestamp]])</f>
        <v>45399</v>
      </c>
      <c r="C61" s="7">
        <f>MOD(smart_dataset[[#This Row],[Timestamp]],1)</f>
        <v>0.84256944444496185</v>
      </c>
      <c r="D61">
        <f>YEAR(smart_dataset[[#This Row],[Date]])</f>
        <v>2024</v>
      </c>
      <c r="E61">
        <f>MONTH(smart_dataset[[#This Row],[Timestamp]])</f>
        <v>4</v>
      </c>
      <c r="F61" t="s">
        <v>25</v>
      </c>
      <c r="G61">
        <v>67.908600000000007</v>
      </c>
      <c r="H61">
        <v>-140.0283</v>
      </c>
      <c r="I61">
        <v>318</v>
      </c>
      <c r="J61" t="s">
        <v>26</v>
      </c>
      <c r="K61">
        <v>26</v>
      </c>
      <c r="L61">
        <v>77.400000000000006</v>
      </c>
      <c r="M61" t="s">
        <v>28</v>
      </c>
      <c r="N61">
        <v>19</v>
      </c>
      <c r="O61">
        <v>314</v>
      </c>
      <c r="P61">
        <v>2</v>
      </c>
      <c r="Q61" t="s">
        <v>19</v>
      </c>
      <c r="R61">
        <v>70.2</v>
      </c>
      <c r="S61">
        <v>250</v>
      </c>
      <c r="T61">
        <v>0</v>
      </c>
      <c r="U61" t="str" cm="1">
        <f t="array" ref="U61">_xlfn.IFS(smart_dataset[[#This Row],[Waiting_Time]]&lt;=20,"Low",smart_dataset[[#This Row],[Waiting_Time]]&lt;=40,"Medium",TRUE,"High")</f>
        <v>Low</v>
      </c>
      <c r="V61" t="str" cm="1">
        <f t="array" ref="V61">_xlfn.IFS(smart_dataset[[#This Row],[Temperature]]&lt;=20,"Cold",smart_dataset[[#This Row],[Temperature]]&lt;=28,"Normal",TRUE,"Hot")</f>
        <v>Normal</v>
      </c>
      <c r="W61" t="str" cm="1">
        <f t="array" ref="W61">_xlfn.IFS(smart_dataset[[#This Row],[Asset_Utilization]]&lt;=75,"Low",smart_dataset[[#This Row],[Asset_Utilization]]&lt;=90,"Medium",TRUE,"High")</f>
        <v>Low</v>
      </c>
    </row>
    <row r="62" spans="1:23" hidden="1" x14ac:dyDescent="0.25">
      <c r="A62" s="1">
        <v>45574.768182870372</v>
      </c>
      <c r="B62" s="1">
        <f>INT(smart_dataset[[#This Row],[Timestamp]])</f>
        <v>45574</v>
      </c>
      <c r="C62" s="1">
        <f>MOD(smart_dataset[[#This Row],[Timestamp]],1)</f>
        <v>0.76818287037167465</v>
      </c>
      <c r="D62" s="1">
        <f>YEAR(smart_dataset[[#This Row],[Date]])</f>
        <v>2024</v>
      </c>
      <c r="E62" s="1">
        <f>MONTH(smart_dataset[[#This Row],[Timestamp]])</f>
        <v>10</v>
      </c>
      <c r="F62" t="s">
        <v>25</v>
      </c>
      <c r="G62">
        <v>-72.895799999999994</v>
      </c>
      <c r="H62">
        <v>129.8921</v>
      </c>
      <c r="I62">
        <v>176</v>
      </c>
      <c r="J62" t="s">
        <v>21</v>
      </c>
      <c r="K62">
        <v>22.6</v>
      </c>
      <c r="L62">
        <v>73.3</v>
      </c>
      <c r="M62" t="s">
        <v>22</v>
      </c>
      <c r="N62">
        <v>37</v>
      </c>
      <c r="O62">
        <v>154</v>
      </c>
      <c r="P62">
        <v>4</v>
      </c>
      <c r="Q62" t="s">
        <v>31</v>
      </c>
      <c r="R62">
        <v>91.4</v>
      </c>
      <c r="S62">
        <v>169</v>
      </c>
      <c r="T62">
        <v>1</v>
      </c>
      <c r="U62" t="str" cm="1">
        <f t="array" ref="U62">_xlfn.IFS(smart_dataset[[#This Row],[Waiting_Time]]&lt;=20,"Low",smart_dataset[[#This Row],[Waiting_Time]]&lt;=40,"Medium",TRUE,"High")</f>
        <v>Medium</v>
      </c>
      <c r="V62" t="str" cm="1">
        <f t="array" ref="V62">_xlfn.IFS(smart_dataset[[#This Row],[Temperature]]&lt;=20,"Cold",smart_dataset[[#This Row],[Temperature]]&lt;=28,"Normal",TRUE,"Hot")</f>
        <v>Normal</v>
      </c>
      <c r="W62" t="str" cm="1">
        <f t="array" ref="W62">_xlfn.IFS(smart_dataset[[#This Row],[Asset_Utilization]]&lt;=75,"Low",smart_dataset[[#This Row],[Asset_Utilization]]&lt;=90,"Medium",TRUE,"High")</f>
        <v>High</v>
      </c>
    </row>
    <row r="63" spans="1:23" hidden="1" x14ac:dyDescent="0.25">
      <c r="A63" s="1">
        <v>45623.720682870371</v>
      </c>
      <c r="B63" s="1">
        <f>INT(smart_dataset[[#This Row],[Timestamp]])</f>
        <v>45623</v>
      </c>
      <c r="C63" s="1">
        <f>MOD(smart_dataset[[#This Row],[Timestamp]],1)</f>
        <v>0.72068287037109258</v>
      </c>
      <c r="D63" s="1">
        <f>YEAR(smart_dataset[[#This Row],[Date]])</f>
        <v>2024</v>
      </c>
      <c r="E63" s="1">
        <f>MONTH(smart_dataset[[#This Row],[Timestamp]])</f>
        <v>11</v>
      </c>
      <c r="F63" t="s">
        <v>29</v>
      </c>
      <c r="G63">
        <v>-58.680199999999999</v>
      </c>
      <c r="H63">
        <v>-62.747399999999999</v>
      </c>
      <c r="I63">
        <v>125</v>
      </c>
      <c r="J63" t="s">
        <v>17</v>
      </c>
      <c r="K63">
        <v>23.4</v>
      </c>
      <c r="L63">
        <v>57.6</v>
      </c>
      <c r="M63" t="s">
        <v>22</v>
      </c>
      <c r="N63">
        <v>23</v>
      </c>
      <c r="O63">
        <v>191</v>
      </c>
      <c r="P63">
        <v>2</v>
      </c>
      <c r="Q63" t="s">
        <v>27</v>
      </c>
      <c r="R63">
        <v>72</v>
      </c>
      <c r="S63">
        <v>241</v>
      </c>
      <c r="T63">
        <v>1</v>
      </c>
      <c r="U63" t="str" cm="1">
        <f t="array" ref="U63">_xlfn.IFS(smart_dataset[[#This Row],[Waiting_Time]]&lt;=20,"Low",smart_dataset[[#This Row],[Waiting_Time]]&lt;=40,"Medium",TRUE,"High")</f>
        <v>Medium</v>
      </c>
      <c r="V63" t="str" cm="1">
        <f t="array" ref="V63">_xlfn.IFS(smart_dataset[[#This Row],[Temperature]]&lt;=20,"Cold",smart_dataset[[#This Row],[Temperature]]&lt;=28,"Normal",TRUE,"Hot")</f>
        <v>Normal</v>
      </c>
      <c r="W63" t="str" cm="1">
        <f t="array" ref="W63">_xlfn.IFS(smart_dataset[[#This Row],[Asset_Utilization]]&lt;=75,"Low",smart_dataset[[#This Row],[Asset_Utilization]]&lt;=90,"Medium",TRUE,"High")</f>
        <v>Low</v>
      </c>
    </row>
    <row r="64" spans="1:23" hidden="1" x14ac:dyDescent="0.25">
      <c r="A64" s="1">
        <v>45455.117673611108</v>
      </c>
      <c r="B64" s="1">
        <f>INT(smart_dataset[[#This Row],[Timestamp]])</f>
        <v>45455</v>
      </c>
      <c r="C64" s="1">
        <f>MOD(smart_dataset[[#This Row],[Timestamp]],1)</f>
        <v>0.11767361110833008</v>
      </c>
      <c r="D64" s="1">
        <f>YEAR(smart_dataset[[#This Row],[Date]])</f>
        <v>2024</v>
      </c>
      <c r="E64" s="1">
        <f>MONTH(smart_dataset[[#This Row],[Timestamp]])</f>
        <v>6</v>
      </c>
      <c r="F64" t="s">
        <v>20</v>
      </c>
      <c r="G64">
        <v>64.039500000000004</v>
      </c>
      <c r="H64">
        <v>-151.7045</v>
      </c>
      <c r="I64">
        <v>336</v>
      </c>
      <c r="J64" t="s">
        <v>21</v>
      </c>
      <c r="K64">
        <v>27.4</v>
      </c>
      <c r="L64">
        <v>58.9</v>
      </c>
      <c r="M64" t="s">
        <v>18</v>
      </c>
      <c r="N64">
        <v>49</v>
      </c>
      <c r="O64">
        <v>100</v>
      </c>
      <c r="P64">
        <v>10</v>
      </c>
      <c r="Q64" t="s">
        <v>23</v>
      </c>
      <c r="R64">
        <v>70.7</v>
      </c>
      <c r="S64">
        <v>236</v>
      </c>
      <c r="T64">
        <v>0</v>
      </c>
      <c r="U64" t="str" cm="1">
        <f t="array" ref="U64">_xlfn.IFS(smart_dataset[[#This Row],[Waiting_Time]]&lt;=20,"Low",smart_dataset[[#This Row],[Waiting_Time]]&lt;=40,"Medium",TRUE,"High")</f>
        <v>High</v>
      </c>
      <c r="V64" t="str" cm="1">
        <f t="array" ref="V64">_xlfn.IFS(smart_dataset[[#This Row],[Temperature]]&lt;=20,"Cold",smart_dataset[[#This Row],[Temperature]]&lt;=28,"Normal",TRUE,"Hot")</f>
        <v>Normal</v>
      </c>
      <c r="W64" t="str" cm="1">
        <f t="array" ref="W64">_xlfn.IFS(smart_dataset[[#This Row],[Asset_Utilization]]&lt;=75,"Low",smart_dataset[[#This Row],[Asset_Utilization]]&lt;=90,"Medium",TRUE,"High")</f>
        <v>Low</v>
      </c>
    </row>
    <row r="65" spans="1:23" x14ac:dyDescent="0.25">
      <c r="A65" s="1">
        <v>45598.888726851852</v>
      </c>
      <c r="B65" s="1">
        <f>INT(smart_dataset[[#This Row],[Timestamp]])</f>
        <v>45598</v>
      </c>
      <c r="C65" s="7">
        <f>MOD(smart_dataset[[#This Row],[Timestamp]],1)</f>
        <v>0.88872685185197042</v>
      </c>
      <c r="D65">
        <f>YEAR(smart_dataset[[#This Row],[Date]])</f>
        <v>2024</v>
      </c>
      <c r="E65">
        <f>MONTH(smart_dataset[[#This Row],[Timestamp]])</f>
        <v>11</v>
      </c>
      <c r="F65" t="s">
        <v>16</v>
      </c>
      <c r="G65">
        <v>-24.1402</v>
      </c>
      <c r="H65">
        <v>-168.60130000000001</v>
      </c>
      <c r="I65">
        <v>244</v>
      </c>
      <c r="J65" t="s">
        <v>26</v>
      </c>
      <c r="K65">
        <v>21.3</v>
      </c>
      <c r="L65">
        <v>73.8</v>
      </c>
      <c r="M65" t="s">
        <v>22</v>
      </c>
      <c r="N65">
        <v>39</v>
      </c>
      <c r="O65">
        <v>229</v>
      </c>
      <c r="P65">
        <v>7</v>
      </c>
      <c r="Q65" t="s">
        <v>19</v>
      </c>
      <c r="R65">
        <v>98.1</v>
      </c>
      <c r="S65">
        <v>197</v>
      </c>
      <c r="T65">
        <v>1</v>
      </c>
      <c r="U65" t="str" cm="1">
        <f t="array" ref="U65">_xlfn.IFS(smart_dataset[[#This Row],[Waiting_Time]]&lt;=20,"Low",smart_dataset[[#This Row],[Waiting_Time]]&lt;=40,"Medium",TRUE,"High")</f>
        <v>Medium</v>
      </c>
      <c r="V65" t="str" cm="1">
        <f t="array" ref="V65">_xlfn.IFS(smart_dataset[[#This Row],[Temperature]]&lt;=20,"Cold",smart_dataset[[#This Row],[Temperature]]&lt;=28,"Normal",TRUE,"Hot")</f>
        <v>Normal</v>
      </c>
      <c r="W65" t="str" cm="1">
        <f t="array" ref="W65">_xlfn.IFS(smart_dataset[[#This Row],[Asset_Utilization]]&lt;=75,"Low",smart_dataset[[#This Row],[Asset_Utilization]]&lt;=90,"Medium",TRUE,"High")</f>
        <v>High</v>
      </c>
    </row>
    <row r="66" spans="1:23" x14ac:dyDescent="0.25">
      <c r="A66" s="1">
        <v>45351.633958333332</v>
      </c>
      <c r="B66" s="1">
        <f>INT(smart_dataset[[#This Row],[Timestamp]])</f>
        <v>45351</v>
      </c>
      <c r="C66" s="7">
        <f>MOD(smart_dataset[[#This Row],[Timestamp]],1)</f>
        <v>0.63395833333197515</v>
      </c>
      <c r="D66">
        <f>YEAR(smart_dataset[[#This Row],[Date]])</f>
        <v>2024</v>
      </c>
      <c r="E66">
        <f>MONTH(smart_dataset[[#This Row],[Timestamp]])</f>
        <v>2</v>
      </c>
      <c r="F66" t="s">
        <v>29</v>
      </c>
      <c r="G66">
        <v>72.857399999999998</v>
      </c>
      <c r="H66">
        <v>179.01</v>
      </c>
      <c r="I66">
        <v>391</v>
      </c>
      <c r="J66" t="s">
        <v>21</v>
      </c>
      <c r="K66">
        <v>20.5</v>
      </c>
      <c r="L66">
        <v>71.2</v>
      </c>
      <c r="M66" t="s">
        <v>18</v>
      </c>
      <c r="N66">
        <v>12</v>
      </c>
      <c r="O66">
        <v>112</v>
      </c>
      <c r="P66">
        <v>7</v>
      </c>
      <c r="Q66" t="s">
        <v>19</v>
      </c>
      <c r="R66">
        <v>78.3</v>
      </c>
      <c r="S66">
        <v>267</v>
      </c>
      <c r="T66">
        <v>0</v>
      </c>
      <c r="U66" t="str" cm="1">
        <f t="array" ref="U66">_xlfn.IFS(smart_dataset[[#This Row],[Waiting_Time]]&lt;=20,"Low",smart_dataset[[#This Row],[Waiting_Time]]&lt;=40,"Medium",TRUE,"High")</f>
        <v>Low</v>
      </c>
      <c r="V66" t="str" cm="1">
        <f t="array" ref="V66">_xlfn.IFS(smart_dataset[[#This Row],[Temperature]]&lt;=20,"Cold",smart_dataset[[#This Row],[Temperature]]&lt;=28,"Normal",TRUE,"Hot")</f>
        <v>Normal</v>
      </c>
      <c r="W66" t="str" cm="1">
        <f t="array" ref="W66">_xlfn.IFS(smart_dataset[[#This Row],[Asset_Utilization]]&lt;=75,"Low",smart_dataset[[#This Row],[Asset_Utilization]]&lt;=90,"Medium",TRUE,"High")</f>
        <v>Medium</v>
      </c>
    </row>
    <row r="67" spans="1:23" hidden="1" x14ac:dyDescent="0.25">
      <c r="A67" s="1">
        <v>45368.99114583333</v>
      </c>
      <c r="B67" s="1">
        <f>INT(smart_dataset[[#This Row],[Timestamp]])</f>
        <v>45368</v>
      </c>
      <c r="C67" s="1">
        <f>MOD(smart_dataset[[#This Row],[Timestamp]],1)</f>
        <v>0.99114583332993789</v>
      </c>
      <c r="D67" s="1">
        <f>YEAR(smart_dataset[[#This Row],[Date]])</f>
        <v>2024</v>
      </c>
      <c r="E67" s="1">
        <f>MONTH(smart_dataset[[#This Row],[Timestamp]])</f>
        <v>3</v>
      </c>
      <c r="F67" t="s">
        <v>20</v>
      </c>
      <c r="G67">
        <v>7.3574999999999999</v>
      </c>
      <c r="H67">
        <v>86.644199999999998</v>
      </c>
      <c r="I67">
        <v>425</v>
      </c>
      <c r="J67" t="s">
        <v>26</v>
      </c>
      <c r="K67">
        <v>24.2</v>
      </c>
      <c r="L67">
        <v>54.6</v>
      </c>
      <c r="M67" t="s">
        <v>18</v>
      </c>
      <c r="N67">
        <v>32</v>
      </c>
      <c r="O67">
        <v>193</v>
      </c>
      <c r="P67">
        <v>3</v>
      </c>
      <c r="Q67" t="s">
        <v>23</v>
      </c>
      <c r="R67">
        <v>69.900000000000006</v>
      </c>
      <c r="S67">
        <v>260</v>
      </c>
      <c r="T67">
        <v>0</v>
      </c>
      <c r="U67" t="str" cm="1">
        <f t="array" ref="U67">_xlfn.IFS(smart_dataset[[#This Row],[Waiting_Time]]&lt;=20,"Low",smart_dataset[[#This Row],[Waiting_Time]]&lt;=40,"Medium",TRUE,"High")</f>
        <v>Medium</v>
      </c>
      <c r="V67" t="str" cm="1">
        <f t="array" ref="V67">_xlfn.IFS(smart_dataset[[#This Row],[Temperature]]&lt;=20,"Cold",smart_dataset[[#This Row],[Temperature]]&lt;=28,"Normal",TRUE,"Hot")</f>
        <v>Normal</v>
      </c>
      <c r="W67" t="str" cm="1">
        <f t="array" ref="W67">_xlfn.IFS(smart_dataset[[#This Row],[Asset_Utilization]]&lt;=75,"Low",smart_dataset[[#This Row],[Asset_Utilization]]&lt;=90,"Medium",TRUE,"High")</f>
        <v>Low</v>
      </c>
    </row>
    <row r="68" spans="1:23" hidden="1" x14ac:dyDescent="0.25">
      <c r="A68" s="1">
        <v>45621.443854166668</v>
      </c>
      <c r="B68" s="1">
        <f>INT(smart_dataset[[#This Row],[Timestamp]])</f>
        <v>45621</v>
      </c>
      <c r="C68" s="1">
        <f>MOD(smart_dataset[[#This Row],[Timestamp]],1)</f>
        <v>0.44385416666773381</v>
      </c>
      <c r="D68" s="1">
        <f>YEAR(smart_dataset[[#This Row],[Date]])</f>
        <v>2024</v>
      </c>
      <c r="E68" s="1">
        <f>MONTH(smart_dataset[[#This Row],[Timestamp]])</f>
        <v>11</v>
      </c>
      <c r="F68" t="s">
        <v>34</v>
      </c>
      <c r="G68">
        <v>68.959400000000002</v>
      </c>
      <c r="H68">
        <v>-123.5048</v>
      </c>
      <c r="I68">
        <v>403</v>
      </c>
      <c r="J68" t="s">
        <v>21</v>
      </c>
      <c r="K68">
        <v>26.9</v>
      </c>
      <c r="L68">
        <v>60.6</v>
      </c>
      <c r="M68" t="s">
        <v>28</v>
      </c>
      <c r="N68">
        <v>50</v>
      </c>
      <c r="O68">
        <v>418</v>
      </c>
      <c r="P68">
        <v>1</v>
      </c>
      <c r="Q68" t="s">
        <v>27</v>
      </c>
      <c r="R68">
        <v>67.8</v>
      </c>
      <c r="S68">
        <v>182</v>
      </c>
      <c r="T68">
        <v>0</v>
      </c>
      <c r="U68" t="str" cm="1">
        <f t="array" ref="U68">_xlfn.IFS(smart_dataset[[#This Row],[Waiting_Time]]&lt;=20,"Low",smart_dataset[[#This Row],[Waiting_Time]]&lt;=40,"Medium",TRUE,"High")</f>
        <v>High</v>
      </c>
      <c r="V68" t="str" cm="1">
        <f t="array" ref="V68">_xlfn.IFS(smart_dataset[[#This Row],[Temperature]]&lt;=20,"Cold",smart_dataset[[#This Row],[Temperature]]&lt;=28,"Normal",TRUE,"Hot")</f>
        <v>Normal</v>
      </c>
      <c r="W68" t="str" cm="1">
        <f t="array" ref="W68">_xlfn.IFS(smart_dataset[[#This Row],[Asset_Utilization]]&lt;=75,"Low",smart_dataset[[#This Row],[Asset_Utilization]]&lt;=90,"Medium",TRUE,"High")</f>
        <v>Low</v>
      </c>
    </row>
    <row r="69" spans="1:23" hidden="1" x14ac:dyDescent="0.25">
      <c r="A69" s="1">
        <v>45477.765648148146</v>
      </c>
      <c r="B69" s="1">
        <f>INT(smart_dataset[[#This Row],[Timestamp]])</f>
        <v>45477</v>
      </c>
      <c r="C69" s="1">
        <f>MOD(smart_dataset[[#This Row],[Timestamp]],1)</f>
        <v>0.76564814814628335</v>
      </c>
      <c r="D69" s="1">
        <f>YEAR(smart_dataset[[#This Row],[Date]])</f>
        <v>2024</v>
      </c>
      <c r="E69" s="1">
        <f>MONTH(smart_dataset[[#This Row],[Timestamp]])</f>
        <v>7</v>
      </c>
      <c r="F69" t="s">
        <v>29</v>
      </c>
      <c r="G69">
        <v>14.9079</v>
      </c>
      <c r="H69">
        <v>50.160600000000002</v>
      </c>
      <c r="I69">
        <v>438</v>
      </c>
      <c r="J69" t="s">
        <v>17</v>
      </c>
      <c r="K69">
        <v>26.5</v>
      </c>
      <c r="L69">
        <v>69.3</v>
      </c>
      <c r="M69" t="s">
        <v>22</v>
      </c>
      <c r="N69">
        <v>34</v>
      </c>
      <c r="O69">
        <v>378</v>
      </c>
      <c r="P69">
        <v>5</v>
      </c>
      <c r="Q69" t="s">
        <v>23</v>
      </c>
      <c r="R69">
        <v>88.7</v>
      </c>
      <c r="S69">
        <v>256</v>
      </c>
      <c r="T69">
        <v>1</v>
      </c>
      <c r="U69" t="str" cm="1">
        <f t="array" ref="U69">_xlfn.IFS(smart_dataset[[#This Row],[Waiting_Time]]&lt;=20,"Low",smart_dataset[[#This Row],[Waiting_Time]]&lt;=40,"Medium",TRUE,"High")</f>
        <v>Medium</v>
      </c>
      <c r="V69" t="str" cm="1">
        <f t="array" ref="V69">_xlfn.IFS(smart_dataset[[#This Row],[Temperature]]&lt;=20,"Cold",smart_dataset[[#This Row],[Temperature]]&lt;=28,"Normal",TRUE,"Hot")</f>
        <v>Normal</v>
      </c>
      <c r="W69" t="str" cm="1">
        <f t="array" ref="W69">_xlfn.IFS(smart_dataset[[#This Row],[Asset_Utilization]]&lt;=75,"Low",smart_dataset[[#This Row],[Asset_Utilization]]&lt;=90,"Medium",TRUE,"High")</f>
        <v>Medium</v>
      </c>
    </row>
    <row r="70" spans="1:23" hidden="1" x14ac:dyDescent="0.25">
      <c r="A70" s="1">
        <v>45370.224942129629</v>
      </c>
      <c r="B70" s="1">
        <f>INT(smart_dataset[[#This Row],[Timestamp]])</f>
        <v>45370</v>
      </c>
      <c r="C70" s="1">
        <f>MOD(smart_dataset[[#This Row],[Timestamp]],1)</f>
        <v>0.22494212962919846</v>
      </c>
      <c r="D70" s="1">
        <f>YEAR(smart_dataset[[#This Row],[Date]])</f>
        <v>2024</v>
      </c>
      <c r="E70" s="1">
        <f>MONTH(smart_dataset[[#This Row],[Timestamp]])</f>
        <v>3</v>
      </c>
      <c r="F70" t="s">
        <v>35</v>
      </c>
      <c r="G70">
        <v>66.235299999999995</v>
      </c>
      <c r="H70">
        <v>10.8345</v>
      </c>
      <c r="I70">
        <v>339</v>
      </c>
      <c r="J70" t="s">
        <v>21</v>
      </c>
      <c r="K70">
        <v>26.8</v>
      </c>
      <c r="L70">
        <v>64.5</v>
      </c>
      <c r="M70" t="s">
        <v>18</v>
      </c>
      <c r="N70">
        <v>24</v>
      </c>
      <c r="O70">
        <v>235</v>
      </c>
      <c r="P70">
        <v>6</v>
      </c>
      <c r="Q70" t="s">
        <v>27</v>
      </c>
      <c r="R70">
        <v>69.3</v>
      </c>
      <c r="S70">
        <v>212</v>
      </c>
      <c r="T70">
        <v>0</v>
      </c>
      <c r="U70" t="str" cm="1">
        <f t="array" ref="U70">_xlfn.IFS(smart_dataset[[#This Row],[Waiting_Time]]&lt;=20,"Low",smart_dataset[[#This Row],[Waiting_Time]]&lt;=40,"Medium",TRUE,"High")</f>
        <v>Medium</v>
      </c>
      <c r="V70" t="str" cm="1">
        <f t="array" ref="V70">_xlfn.IFS(smart_dataset[[#This Row],[Temperature]]&lt;=20,"Cold",smart_dataset[[#This Row],[Temperature]]&lt;=28,"Normal",TRUE,"Hot")</f>
        <v>Normal</v>
      </c>
      <c r="W70" t="str" cm="1">
        <f t="array" ref="W70">_xlfn.IFS(smart_dataset[[#This Row],[Asset_Utilization]]&lt;=75,"Low",smart_dataset[[#This Row],[Asset_Utilization]]&lt;=90,"Medium",TRUE,"High")</f>
        <v>Low</v>
      </c>
    </row>
    <row r="71" spans="1:23" hidden="1" x14ac:dyDescent="0.25">
      <c r="A71" s="1">
        <v>45371.059293981481</v>
      </c>
      <c r="B71" s="1">
        <f>INT(smart_dataset[[#This Row],[Timestamp]])</f>
        <v>45371</v>
      </c>
      <c r="C71" s="1">
        <f>MOD(smart_dataset[[#This Row],[Timestamp]],1)</f>
        <v>5.9293981481459923E-2</v>
      </c>
      <c r="D71" s="1">
        <f>YEAR(smart_dataset[[#This Row],[Date]])</f>
        <v>2024</v>
      </c>
      <c r="E71" s="1">
        <f>MONTH(smart_dataset[[#This Row],[Timestamp]])</f>
        <v>3</v>
      </c>
      <c r="F71" t="s">
        <v>25</v>
      </c>
      <c r="G71">
        <v>70.189899999999994</v>
      </c>
      <c r="H71">
        <v>-65.679199999999994</v>
      </c>
      <c r="I71">
        <v>203</v>
      </c>
      <c r="J71" t="s">
        <v>21</v>
      </c>
      <c r="K71">
        <v>18</v>
      </c>
      <c r="L71">
        <v>68.900000000000006</v>
      </c>
      <c r="M71" t="s">
        <v>22</v>
      </c>
      <c r="N71">
        <v>19</v>
      </c>
      <c r="O71">
        <v>370</v>
      </c>
      <c r="P71">
        <v>3</v>
      </c>
      <c r="Q71" t="s">
        <v>27</v>
      </c>
      <c r="R71">
        <v>74.400000000000006</v>
      </c>
      <c r="S71">
        <v>254</v>
      </c>
      <c r="T71">
        <v>1</v>
      </c>
      <c r="U71" t="str" cm="1">
        <f t="array" ref="U71">_xlfn.IFS(smart_dataset[[#This Row],[Waiting_Time]]&lt;=20,"Low",smart_dataset[[#This Row],[Waiting_Time]]&lt;=40,"Medium",TRUE,"High")</f>
        <v>Low</v>
      </c>
      <c r="V71" t="str" cm="1">
        <f t="array" ref="V71">_xlfn.IFS(smart_dataset[[#This Row],[Temperature]]&lt;=20,"Cold",smart_dataset[[#This Row],[Temperature]]&lt;=28,"Normal",TRUE,"Hot")</f>
        <v>Cold</v>
      </c>
      <c r="W71" t="str" cm="1">
        <f t="array" ref="W71">_xlfn.IFS(smart_dataset[[#This Row],[Asset_Utilization]]&lt;=75,"Low",smart_dataset[[#This Row],[Asset_Utilization]]&lt;=90,"Medium",TRUE,"High")</f>
        <v>Low</v>
      </c>
    </row>
    <row r="72" spans="1:23" x14ac:dyDescent="0.25">
      <c r="A72" s="1">
        <v>45491.47011574074</v>
      </c>
      <c r="B72" s="1">
        <f>INT(smart_dataset[[#This Row],[Timestamp]])</f>
        <v>45491</v>
      </c>
      <c r="C72" s="7">
        <f>MOD(smart_dataset[[#This Row],[Timestamp]],1)</f>
        <v>0.47011574073985685</v>
      </c>
      <c r="D72">
        <f>YEAR(smart_dataset[[#This Row],[Date]])</f>
        <v>2024</v>
      </c>
      <c r="E72">
        <f>MONTH(smart_dataset[[#This Row],[Timestamp]])</f>
        <v>7</v>
      </c>
      <c r="F72" t="s">
        <v>29</v>
      </c>
      <c r="G72">
        <v>51.453899999999997</v>
      </c>
      <c r="H72">
        <v>-20.825299999999999</v>
      </c>
      <c r="I72">
        <v>313</v>
      </c>
      <c r="J72" t="s">
        <v>26</v>
      </c>
      <c r="K72">
        <v>23.6</v>
      </c>
      <c r="L72">
        <v>65.2</v>
      </c>
      <c r="M72" t="s">
        <v>28</v>
      </c>
      <c r="N72">
        <v>49</v>
      </c>
      <c r="O72">
        <v>137</v>
      </c>
      <c r="P72">
        <v>6</v>
      </c>
      <c r="Q72" t="s">
        <v>19</v>
      </c>
      <c r="R72">
        <v>100</v>
      </c>
      <c r="S72">
        <v>122</v>
      </c>
      <c r="T72">
        <v>0</v>
      </c>
      <c r="U72" t="str" cm="1">
        <f t="array" ref="U72">_xlfn.IFS(smart_dataset[[#This Row],[Waiting_Time]]&lt;=20,"Low",smart_dataset[[#This Row],[Waiting_Time]]&lt;=40,"Medium",TRUE,"High")</f>
        <v>High</v>
      </c>
      <c r="V72" t="str" cm="1">
        <f t="array" ref="V72">_xlfn.IFS(smart_dataset[[#This Row],[Temperature]]&lt;=20,"Cold",smart_dataset[[#This Row],[Temperature]]&lt;=28,"Normal",TRUE,"Hot")</f>
        <v>Normal</v>
      </c>
      <c r="W72" t="str" cm="1">
        <f t="array" ref="W72">_xlfn.IFS(smart_dataset[[#This Row],[Asset_Utilization]]&lt;=75,"Low",smart_dataset[[#This Row],[Asset_Utilization]]&lt;=90,"Medium",TRUE,"High")</f>
        <v>High</v>
      </c>
    </row>
    <row r="73" spans="1:23" hidden="1" x14ac:dyDescent="0.25">
      <c r="A73" s="1">
        <v>45514.36141203704</v>
      </c>
      <c r="B73" s="1">
        <f>INT(smart_dataset[[#This Row],[Timestamp]])</f>
        <v>45514</v>
      </c>
      <c r="C73" s="1">
        <f>MOD(smart_dataset[[#This Row],[Timestamp]],1)</f>
        <v>0.36141203704028158</v>
      </c>
      <c r="D73" s="1">
        <f>YEAR(smart_dataset[[#This Row],[Date]])</f>
        <v>2024</v>
      </c>
      <c r="E73" s="1">
        <f>MONTH(smart_dataset[[#This Row],[Timestamp]])</f>
        <v>8</v>
      </c>
      <c r="F73" t="s">
        <v>30</v>
      </c>
      <c r="G73">
        <v>-39.880000000000003</v>
      </c>
      <c r="H73">
        <v>55.179200000000002</v>
      </c>
      <c r="I73">
        <v>261</v>
      </c>
      <c r="J73" t="s">
        <v>26</v>
      </c>
      <c r="K73">
        <v>27.1</v>
      </c>
      <c r="L73">
        <v>67.3</v>
      </c>
      <c r="M73" t="s">
        <v>18</v>
      </c>
      <c r="N73">
        <v>35</v>
      </c>
      <c r="O73">
        <v>496</v>
      </c>
      <c r="P73">
        <v>2</v>
      </c>
      <c r="Q73" t="s">
        <v>23</v>
      </c>
      <c r="R73">
        <v>71.3</v>
      </c>
      <c r="S73">
        <v>264</v>
      </c>
      <c r="T73">
        <v>0</v>
      </c>
      <c r="U73" t="str" cm="1">
        <f t="array" ref="U73">_xlfn.IFS(smart_dataset[[#This Row],[Waiting_Time]]&lt;=20,"Low",smart_dataset[[#This Row],[Waiting_Time]]&lt;=40,"Medium",TRUE,"High")</f>
        <v>Medium</v>
      </c>
      <c r="V73" t="str" cm="1">
        <f t="array" ref="V73">_xlfn.IFS(smart_dataset[[#This Row],[Temperature]]&lt;=20,"Cold",smart_dataset[[#This Row],[Temperature]]&lt;=28,"Normal",TRUE,"Hot")</f>
        <v>Normal</v>
      </c>
      <c r="W73" t="str" cm="1">
        <f t="array" ref="W73">_xlfn.IFS(smart_dataset[[#This Row],[Asset_Utilization]]&lt;=75,"Low",smart_dataset[[#This Row],[Asset_Utilization]]&lt;=90,"Medium",TRUE,"High")</f>
        <v>Low</v>
      </c>
    </row>
    <row r="74" spans="1:23" hidden="1" x14ac:dyDescent="0.25">
      <c r="A74" s="1">
        <v>45342.341134259259</v>
      </c>
      <c r="B74" s="1">
        <f>INT(smart_dataset[[#This Row],[Timestamp]])</f>
        <v>45342</v>
      </c>
      <c r="C74" s="1">
        <f>MOD(smart_dataset[[#This Row],[Timestamp]],1)</f>
        <v>0.341134259258979</v>
      </c>
      <c r="D74" s="1">
        <f>YEAR(smart_dataset[[#This Row],[Date]])</f>
        <v>2024</v>
      </c>
      <c r="E74" s="1">
        <f>MONTH(smart_dataset[[#This Row],[Timestamp]])</f>
        <v>2</v>
      </c>
      <c r="F74" t="s">
        <v>32</v>
      </c>
      <c r="G74">
        <v>-17.235499999999998</v>
      </c>
      <c r="H74">
        <v>-130.69149999999999</v>
      </c>
      <c r="I74">
        <v>179</v>
      </c>
      <c r="J74" t="s">
        <v>21</v>
      </c>
      <c r="K74">
        <v>28.5</v>
      </c>
      <c r="L74">
        <v>51</v>
      </c>
      <c r="M74" t="s">
        <v>18</v>
      </c>
      <c r="N74">
        <v>12</v>
      </c>
      <c r="O74">
        <v>354</v>
      </c>
      <c r="P74">
        <v>3</v>
      </c>
      <c r="Q74" t="s">
        <v>23</v>
      </c>
      <c r="R74">
        <v>92.8</v>
      </c>
      <c r="S74">
        <v>225</v>
      </c>
      <c r="T74">
        <v>0</v>
      </c>
      <c r="U74" t="str" cm="1">
        <f t="array" ref="U74">_xlfn.IFS(smart_dataset[[#This Row],[Waiting_Time]]&lt;=20,"Low",smart_dataset[[#This Row],[Waiting_Time]]&lt;=40,"Medium",TRUE,"High")</f>
        <v>Low</v>
      </c>
      <c r="V74" t="str" cm="1">
        <f t="array" ref="V74">_xlfn.IFS(smart_dataset[[#This Row],[Temperature]]&lt;=20,"Cold",smart_dataset[[#This Row],[Temperature]]&lt;=28,"Normal",TRUE,"Hot")</f>
        <v>Hot</v>
      </c>
      <c r="W74" t="str" cm="1">
        <f t="array" ref="W74">_xlfn.IFS(smart_dataset[[#This Row],[Asset_Utilization]]&lt;=75,"Low",smart_dataset[[#This Row],[Asset_Utilization]]&lt;=90,"Medium",TRUE,"High")</f>
        <v>High</v>
      </c>
    </row>
    <row r="75" spans="1:23" x14ac:dyDescent="0.25">
      <c r="A75" s="1">
        <v>45644.099594907406</v>
      </c>
      <c r="B75" s="1">
        <f>INT(smart_dataset[[#This Row],[Timestamp]])</f>
        <v>45644</v>
      </c>
      <c r="C75" s="7">
        <f>MOD(smart_dataset[[#This Row],[Timestamp]],1)</f>
        <v>9.9594907405844424E-2</v>
      </c>
      <c r="D75">
        <f>YEAR(smart_dataset[[#This Row],[Date]])</f>
        <v>2024</v>
      </c>
      <c r="E75">
        <f>MONTH(smart_dataset[[#This Row],[Timestamp]])</f>
        <v>12</v>
      </c>
      <c r="F75" t="s">
        <v>20</v>
      </c>
      <c r="G75">
        <v>-44.257599999999996</v>
      </c>
      <c r="H75">
        <v>-86.507300000000001</v>
      </c>
      <c r="I75">
        <v>442</v>
      </c>
      <c r="J75" t="s">
        <v>21</v>
      </c>
      <c r="K75">
        <v>18.3</v>
      </c>
      <c r="L75">
        <v>50.3</v>
      </c>
      <c r="M75" t="s">
        <v>28</v>
      </c>
      <c r="N75">
        <v>56</v>
      </c>
      <c r="O75">
        <v>469</v>
      </c>
      <c r="P75">
        <v>2</v>
      </c>
      <c r="Q75" t="s">
        <v>19</v>
      </c>
      <c r="R75">
        <v>96.3</v>
      </c>
      <c r="S75">
        <v>192</v>
      </c>
      <c r="T75">
        <v>0</v>
      </c>
      <c r="U75" t="str" cm="1">
        <f t="array" ref="U75">_xlfn.IFS(smart_dataset[[#This Row],[Waiting_Time]]&lt;=20,"Low",smart_dataset[[#This Row],[Waiting_Time]]&lt;=40,"Medium",TRUE,"High")</f>
        <v>High</v>
      </c>
      <c r="V75" t="str" cm="1">
        <f t="array" ref="V75">_xlfn.IFS(smart_dataset[[#This Row],[Temperature]]&lt;=20,"Cold",smart_dataset[[#This Row],[Temperature]]&lt;=28,"Normal",TRUE,"Hot")</f>
        <v>Cold</v>
      </c>
      <c r="W75" t="str" cm="1">
        <f t="array" ref="W75">_xlfn.IFS(smart_dataset[[#This Row],[Asset_Utilization]]&lt;=75,"Low",smart_dataset[[#This Row],[Asset_Utilization]]&lt;=90,"Medium",TRUE,"High")</f>
        <v>High</v>
      </c>
    </row>
    <row r="76" spans="1:23" x14ac:dyDescent="0.25">
      <c r="A76" s="1">
        <v>45524.679594907408</v>
      </c>
      <c r="B76" s="1">
        <f>INT(smart_dataset[[#This Row],[Timestamp]])</f>
        <v>45524</v>
      </c>
      <c r="C76" s="7">
        <f>MOD(smart_dataset[[#This Row],[Timestamp]],1)</f>
        <v>0.67959490740759065</v>
      </c>
      <c r="D76">
        <f>YEAR(smart_dataset[[#This Row],[Date]])</f>
        <v>2024</v>
      </c>
      <c r="E76">
        <f>MONTH(smart_dataset[[#This Row],[Timestamp]])</f>
        <v>8</v>
      </c>
      <c r="F76" t="s">
        <v>34</v>
      </c>
      <c r="G76">
        <v>19.925699999999999</v>
      </c>
      <c r="H76">
        <v>116.0526</v>
      </c>
      <c r="I76">
        <v>291</v>
      </c>
      <c r="J76" t="s">
        <v>26</v>
      </c>
      <c r="K76">
        <v>28.5</v>
      </c>
      <c r="L76">
        <v>54.6</v>
      </c>
      <c r="M76" t="s">
        <v>22</v>
      </c>
      <c r="N76">
        <v>14</v>
      </c>
      <c r="O76">
        <v>316</v>
      </c>
      <c r="P76">
        <v>7</v>
      </c>
      <c r="Q76" t="s">
        <v>19</v>
      </c>
      <c r="R76">
        <v>77.5</v>
      </c>
      <c r="S76">
        <v>288</v>
      </c>
      <c r="T76">
        <v>1</v>
      </c>
      <c r="U76" t="str" cm="1">
        <f t="array" ref="U76">_xlfn.IFS(smart_dataset[[#This Row],[Waiting_Time]]&lt;=20,"Low",smart_dataset[[#This Row],[Waiting_Time]]&lt;=40,"Medium",TRUE,"High")</f>
        <v>Low</v>
      </c>
      <c r="V76" t="str" cm="1">
        <f t="array" ref="V76">_xlfn.IFS(smart_dataset[[#This Row],[Temperature]]&lt;=20,"Cold",smart_dataset[[#This Row],[Temperature]]&lt;=28,"Normal",TRUE,"Hot")</f>
        <v>Hot</v>
      </c>
      <c r="W76" t="str" cm="1">
        <f t="array" ref="W76">_xlfn.IFS(smart_dataset[[#This Row],[Asset_Utilization]]&lt;=75,"Low",smart_dataset[[#This Row],[Asset_Utilization]]&lt;=90,"Medium",TRUE,"High")</f>
        <v>Medium</v>
      </c>
    </row>
    <row r="77" spans="1:23" hidden="1" x14ac:dyDescent="0.25">
      <c r="A77" s="1">
        <v>45602.319918981484</v>
      </c>
      <c r="B77" s="1">
        <f>INT(smart_dataset[[#This Row],[Timestamp]])</f>
        <v>45602</v>
      </c>
      <c r="C77" s="1">
        <f>MOD(smart_dataset[[#This Row],[Timestamp]],1)</f>
        <v>0.31991898148407927</v>
      </c>
      <c r="D77" s="1">
        <f>YEAR(smart_dataset[[#This Row],[Date]])</f>
        <v>2024</v>
      </c>
      <c r="E77" s="1">
        <f>MONTH(smart_dataset[[#This Row],[Timestamp]])</f>
        <v>11</v>
      </c>
      <c r="F77" t="s">
        <v>34</v>
      </c>
      <c r="G77">
        <v>-47.209400000000002</v>
      </c>
      <c r="H77">
        <v>15.632400000000001</v>
      </c>
      <c r="I77">
        <v>348</v>
      </c>
      <c r="J77" t="s">
        <v>26</v>
      </c>
      <c r="K77">
        <v>28.2</v>
      </c>
      <c r="L77">
        <v>68.3</v>
      </c>
      <c r="M77" t="s">
        <v>28</v>
      </c>
      <c r="N77">
        <v>22</v>
      </c>
      <c r="O77">
        <v>415</v>
      </c>
      <c r="P77">
        <v>4</v>
      </c>
      <c r="Q77" t="s">
        <v>27</v>
      </c>
      <c r="R77">
        <v>67.400000000000006</v>
      </c>
      <c r="S77">
        <v>204</v>
      </c>
      <c r="T77">
        <v>0</v>
      </c>
      <c r="U77" t="str" cm="1">
        <f t="array" ref="U77">_xlfn.IFS(smart_dataset[[#This Row],[Waiting_Time]]&lt;=20,"Low",smart_dataset[[#This Row],[Waiting_Time]]&lt;=40,"Medium",TRUE,"High")</f>
        <v>Medium</v>
      </c>
      <c r="V77" t="str" cm="1">
        <f t="array" ref="V77">_xlfn.IFS(smart_dataset[[#This Row],[Temperature]]&lt;=20,"Cold",smart_dataset[[#This Row],[Temperature]]&lt;=28,"Normal",TRUE,"Hot")</f>
        <v>Hot</v>
      </c>
      <c r="W77" t="str" cm="1">
        <f t="array" ref="W77">_xlfn.IFS(smart_dataset[[#This Row],[Asset_Utilization]]&lt;=75,"Low",smart_dataset[[#This Row],[Asset_Utilization]]&lt;=90,"Medium",TRUE,"High")</f>
        <v>Low</v>
      </c>
    </row>
    <row r="78" spans="1:23" hidden="1" x14ac:dyDescent="0.25">
      <c r="A78" s="1">
        <v>45640.631261574075</v>
      </c>
      <c r="B78" s="1">
        <f>INT(smart_dataset[[#This Row],[Timestamp]])</f>
        <v>45640</v>
      </c>
      <c r="C78" s="1">
        <f>MOD(smart_dataset[[#This Row],[Timestamp]],1)</f>
        <v>0.63126157407532446</v>
      </c>
      <c r="D78" s="1">
        <f>YEAR(smart_dataset[[#This Row],[Date]])</f>
        <v>2024</v>
      </c>
      <c r="E78" s="1">
        <f>MONTH(smart_dataset[[#This Row],[Timestamp]])</f>
        <v>12</v>
      </c>
      <c r="F78" t="s">
        <v>20</v>
      </c>
      <c r="G78">
        <v>-58.424900000000001</v>
      </c>
      <c r="H78">
        <v>-57.660899999999998</v>
      </c>
      <c r="I78">
        <v>454</v>
      </c>
      <c r="J78" t="s">
        <v>21</v>
      </c>
      <c r="K78">
        <v>23.7</v>
      </c>
      <c r="L78">
        <v>51.9</v>
      </c>
      <c r="M78" t="s">
        <v>28</v>
      </c>
      <c r="N78">
        <v>51</v>
      </c>
      <c r="O78">
        <v>232</v>
      </c>
      <c r="P78">
        <v>7</v>
      </c>
      <c r="Q78" t="s">
        <v>23</v>
      </c>
      <c r="R78">
        <v>78.7</v>
      </c>
      <c r="S78">
        <v>172</v>
      </c>
      <c r="T78">
        <v>0</v>
      </c>
      <c r="U78" t="str" cm="1">
        <f t="array" ref="U78">_xlfn.IFS(smart_dataset[[#This Row],[Waiting_Time]]&lt;=20,"Low",smart_dataset[[#This Row],[Waiting_Time]]&lt;=40,"Medium",TRUE,"High")</f>
        <v>High</v>
      </c>
      <c r="V78" t="str" cm="1">
        <f t="array" ref="V78">_xlfn.IFS(smart_dataset[[#This Row],[Temperature]]&lt;=20,"Cold",smart_dataset[[#This Row],[Temperature]]&lt;=28,"Normal",TRUE,"Hot")</f>
        <v>Normal</v>
      </c>
      <c r="W78" t="str" cm="1">
        <f t="array" ref="W78">_xlfn.IFS(smart_dataset[[#This Row],[Asset_Utilization]]&lt;=75,"Low",smart_dataset[[#This Row],[Asset_Utilization]]&lt;=90,"Medium",TRUE,"High")</f>
        <v>Medium</v>
      </c>
    </row>
    <row r="79" spans="1:23" x14ac:dyDescent="0.25">
      <c r="A79" s="1">
        <v>45306.500983796293</v>
      </c>
      <c r="B79" s="1">
        <f>INT(smart_dataset[[#This Row],[Timestamp]])</f>
        <v>45306</v>
      </c>
      <c r="C79" s="7">
        <f>MOD(smart_dataset[[#This Row],[Timestamp]],1)</f>
        <v>0.50098379629343981</v>
      </c>
      <c r="D79">
        <f>YEAR(smart_dataset[[#This Row],[Date]])</f>
        <v>2024</v>
      </c>
      <c r="E79">
        <f>MONTH(smart_dataset[[#This Row],[Timestamp]])</f>
        <v>1</v>
      </c>
      <c r="F79" t="s">
        <v>35</v>
      </c>
      <c r="G79">
        <v>-20.069600000000001</v>
      </c>
      <c r="H79">
        <v>-73.268900000000002</v>
      </c>
      <c r="I79">
        <v>486</v>
      </c>
      <c r="J79" t="s">
        <v>26</v>
      </c>
      <c r="K79">
        <v>29.1</v>
      </c>
      <c r="L79">
        <v>78.400000000000006</v>
      </c>
      <c r="M79" t="s">
        <v>28</v>
      </c>
      <c r="N79">
        <v>21</v>
      </c>
      <c r="O79">
        <v>158</v>
      </c>
      <c r="P79">
        <v>7</v>
      </c>
      <c r="Q79" t="s">
        <v>19</v>
      </c>
      <c r="R79">
        <v>62.6</v>
      </c>
      <c r="S79">
        <v>243</v>
      </c>
      <c r="T79">
        <v>0</v>
      </c>
      <c r="U79" t="str" cm="1">
        <f t="array" ref="U79">_xlfn.IFS(smart_dataset[[#This Row],[Waiting_Time]]&lt;=20,"Low",smart_dataset[[#This Row],[Waiting_Time]]&lt;=40,"Medium",TRUE,"High")</f>
        <v>Medium</v>
      </c>
      <c r="V79" t="str" cm="1">
        <f t="array" ref="V79">_xlfn.IFS(smart_dataset[[#This Row],[Temperature]]&lt;=20,"Cold",smart_dataset[[#This Row],[Temperature]]&lt;=28,"Normal",TRUE,"Hot")</f>
        <v>Hot</v>
      </c>
      <c r="W79" t="str" cm="1">
        <f t="array" ref="W79">_xlfn.IFS(smart_dataset[[#This Row],[Asset_Utilization]]&lt;=75,"Low",smart_dataset[[#This Row],[Asset_Utilization]]&lt;=90,"Medium",TRUE,"High")</f>
        <v>Low</v>
      </c>
    </row>
    <row r="80" spans="1:23" hidden="1" x14ac:dyDescent="0.25">
      <c r="A80" s="1">
        <v>45430.417268518519</v>
      </c>
      <c r="B80" s="1">
        <f>INT(smart_dataset[[#This Row],[Timestamp]])</f>
        <v>45430</v>
      </c>
      <c r="C80" s="1">
        <f>MOD(smart_dataset[[#This Row],[Timestamp]],1)</f>
        <v>0.41726851851854008</v>
      </c>
      <c r="D80" s="1">
        <f>YEAR(smart_dataset[[#This Row],[Date]])</f>
        <v>2024</v>
      </c>
      <c r="E80" s="1">
        <f>MONTH(smart_dataset[[#This Row],[Timestamp]])</f>
        <v>5</v>
      </c>
      <c r="F80" t="s">
        <v>24</v>
      </c>
      <c r="G80">
        <v>-36.854900000000001</v>
      </c>
      <c r="H80">
        <v>164.76179999999999</v>
      </c>
      <c r="I80">
        <v>483</v>
      </c>
      <c r="J80" t="s">
        <v>21</v>
      </c>
      <c r="K80">
        <v>29.2</v>
      </c>
      <c r="L80">
        <v>65</v>
      </c>
      <c r="M80" t="s">
        <v>22</v>
      </c>
      <c r="N80">
        <v>57</v>
      </c>
      <c r="O80">
        <v>167</v>
      </c>
      <c r="P80">
        <v>8</v>
      </c>
      <c r="Q80" t="s">
        <v>31</v>
      </c>
      <c r="R80">
        <v>96.8</v>
      </c>
      <c r="S80">
        <v>245</v>
      </c>
      <c r="T80">
        <v>1</v>
      </c>
      <c r="U80" t="str" cm="1">
        <f t="array" ref="U80">_xlfn.IFS(smart_dataset[[#This Row],[Waiting_Time]]&lt;=20,"Low",smart_dataset[[#This Row],[Waiting_Time]]&lt;=40,"Medium",TRUE,"High")</f>
        <v>High</v>
      </c>
      <c r="V80" t="str" cm="1">
        <f t="array" ref="V80">_xlfn.IFS(smart_dataset[[#This Row],[Temperature]]&lt;=20,"Cold",smart_dataset[[#This Row],[Temperature]]&lt;=28,"Normal",TRUE,"Hot")</f>
        <v>Hot</v>
      </c>
      <c r="W80" t="str" cm="1">
        <f t="array" ref="W80">_xlfn.IFS(smart_dataset[[#This Row],[Asset_Utilization]]&lt;=75,"Low",smart_dataset[[#This Row],[Asset_Utilization]]&lt;=90,"Medium",TRUE,"High")</f>
        <v>High</v>
      </c>
    </row>
    <row r="81" spans="1:23" hidden="1" x14ac:dyDescent="0.25">
      <c r="A81" s="1">
        <v>45613.085046296299</v>
      </c>
      <c r="B81" s="1">
        <f>INT(smart_dataset[[#This Row],[Timestamp]])</f>
        <v>45613</v>
      </c>
      <c r="C81" s="1">
        <f>MOD(smart_dataset[[#This Row],[Timestamp]],1)</f>
        <v>8.5046296298969537E-2</v>
      </c>
      <c r="D81" s="1">
        <f>YEAR(smart_dataset[[#This Row],[Date]])</f>
        <v>2024</v>
      </c>
      <c r="E81" s="1">
        <f>MONTH(smart_dataset[[#This Row],[Timestamp]])</f>
        <v>11</v>
      </c>
      <c r="F81" t="s">
        <v>29</v>
      </c>
      <c r="G81">
        <v>-86.660899999999998</v>
      </c>
      <c r="H81">
        <v>-128.03540000000001</v>
      </c>
      <c r="I81">
        <v>472</v>
      </c>
      <c r="J81" t="s">
        <v>26</v>
      </c>
      <c r="K81">
        <v>23.5</v>
      </c>
      <c r="L81">
        <v>72</v>
      </c>
      <c r="M81" t="s">
        <v>28</v>
      </c>
      <c r="N81">
        <v>59</v>
      </c>
      <c r="O81">
        <v>485</v>
      </c>
      <c r="P81">
        <v>3</v>
      </c>
      <c r="Q81" t="s">
        <v>23</v>
      </c>
      <c r="R81">
        <v>67.2</v>
      </c>
      <c r="S81">
        <v>248</v>
      </c>
      <c r="T81">
        <v>0</v>
      </c>
      <c r="U81" t="str" cm="1">
        <f t="array" ref="U81">_xlfn.IFS(smart_dataset[[#This Row],[Waiting_Time]]&lt;=20,"Low",smart_dataset[[#This Row],[Waiting_Time]]&lt;=40,"Medium",TRUE,"High")</f>
        <v>High</v>
      </c>
      <c r="V81" t="str" cm="1">
        <f t="array" ref="V81">_xlfn.IFS(smart_dataset[[#This Row],[Temperature]]&lt;=20,"Cold",smart_dataset[[#This Row],[Temperature]]&lt;=28,"Normal",TRUE,"Hot")</f>
        <v>Normal</v>
      </c>
      <c r="W81" t="str" cm="1">
        <f t="array" ref="W81">_xlfn.IFS(smart_dataset[[#This Row],[Asset_Utilization]]&lt;=75,"Low",smart_dataset[[#This Row],[Asset_Utilization]]&lt;=90,"Medium",TRUE,"High")</f>
        <v>Low</v>
      </c>
    </row>
    <row r="82" spans="1:23" hidden="1" x14ac:dyDescent="0.25">
      <c r="A82" s="1">
        <v>45526.841631944444</v>
      </c>
      <c r="B82" s="1">
        <f>INT(smart_dataset[[#This Row],[Timestamp]])</f>
        <v>45526</v>
      </c>
      <c r="C82" s="1">
        <f>MOD(smart_dataset[[#This Row],[Timestamp]],1)</f>
        <v>0.84163194444408873</v>
      </c>
      <c r="D82" s="1">
        <f>YEAR(smart_dataset[[#This Row],[Date]])</f>
        <v>2024</v>
      </c>
      <c r="E82" s="1">
        <f>MONTH(smart_dataset[[#This Row],[Timestamp]])</f>
        <v>8</v>
      </c>
      <c r="F82" t="s">
        <v>34</v>
      </c>
      <c r="G82">
        <v>-53.373199999999997</v>
      </c>
      <c r="H82">
        <v>-99.637</v>
      </c>
      <c r="I82">
        <v>186</v>
      </c>
      <c r="J82" t="s">
        <v>21</v>
      </c>
      <c r="K82">
        <v>18.899999999999999</v>
      </c>
      <c r="L82">
        <v>70.5</v>
      </c>
      <c r="M82" t="s">
        <v>28</v>
      </c>
      <c r="N82">
        <v>38</v>
      </c>
      <c r="O82">
        <v>344</v>
      </c>
      <c r="P82">
        <v>1</v>
      </c>
      <c r="Q82" t="s">
        <v>27</v>
      </c>
      <c r="R82">
        <v>95.6</v>
      </c>
      <c r="S82">
        <v>252</v>
      </c>
      <c r="T82">
        <v>0</v>
      </c>
      <c r="U82" t="str" cm="1">
        <f t="array" ref="U82">_xlfn.IFS(smart_dataset[[#This Row],[Waiting_Time]]&lt;=20,"Low",smart_dataset[[#This Row],[Waiting_Time]]&lt;=40,"Medium",TRUE,"High")</f>
        <v>Medium</v>
      </c>
      <c r="V82" t="str" cm="1">
        <f t="array" ref="V82">_xlfn.IFS(smart_dataset[[#This Row],[Temperature]]&lt;=20,"Cold",smart_dataset[[#This Row],[Temperature]]&lt;=28,"Normal",TRUE,"Hot")</f>
        <v>Cold</v>
      </c>
      <c r="W82" t="str" cm="1">
        <f t="array" ref="W82">_xlfn.IFS(smart_dataset[[#This Row],[Asset_Utilization]]&lt;=75,"Low",smart_dataset[[#This Row],[Asset_Utilization]]&lt;=90,"Medium",TRUE,"High")</f>
        <v>High</v>
      </c>
    </row>
    <row r="83" spans="1:23" hidden="1" x14ac:dyDescent="0.25">
      <c r="A83" s="1">
        <v>45547.333877314813</v>
      </c>
      <c r="B83" s="1">
        <f>INT(smart_dataset[[#This Row],[Timestamp]])</f>
        <v>45547</v>
      </c>
      <c r="C83" s="1">
        <f>MOD(smart_dataset[[#This Row],[Timestamp]],1)</f>
        <v>0.33387731481343508</v>
      </c>
      <c r="D83" s="1">
        <f>YEAR(smart_dataset[[#This Row],[Date]])</f>
        <v>2024</v>
      </c>
      <c r="E83" s="1">
        <f>MONTH(smart_dataset[[#This Row],[Timestamp]])</f>
        <v>9</v>
      </c>
      <c r="F83" t="s">
        <v>20</v>
      </c>
      <c r="G83">
        <v>-58.796300000000002</v>
      </c>
      <c r="H83">
        <v>-150.41220000000001</v>
      </c>
      <c r="I83">
        <v>366</v>
      </c>
      <c r="J83" t="s">
        <v>21</v>
      </c>
      <c r="K83">
        <v>22.8</v>
      </c>
      <c r="L83">
        <v>66.7</v>
      </c>
      <c r="M83" t="s">
        <v>28</v>
      </c>
      <c r="N83">
        <v>39</v>
      </c>
      <c r="O83">
        <v>219</v>
      </c>
      <c r="P83">
        <v>7</v>
      </c>
      <c r="Q83" t="s">
        <v>27</v>
      </c>
      <c r="R83">
        <v>91</v>
      </c>
      <c r="S83">
        <v>211</v>
      </c>
      <c r="T83">
        <v>0</v>
      </c>
      <c r="U83" t="str" cm="1">
        <f t="array" ref="U83">_xlfn.IFS(smart_dataset[[#This Row],[Waiting_Time]]&lt;=20,"Low",smart_dataset[[#This Row],[Waiting_Time]]&lt;=40,"Medium",TRUE,"High")</f>
        <v>Medium</v>
      </c>
      <c r="V83" t="str" cm="1">
        <f t="array" ref="V83">_xlfn.IFS(smart_dataset[[#This Row],[Temperature]]&lt;=20,"Cold",smart_dataset[[#This Row],[Temperature]]&lt;=28,"Normal",TRUE,"Hot")</f>
        <v>Normal</v>
      </c>
      <c r="W83" t="str" cm="1">
        <f t="array" ref="W83">_xlfn.IFS(smart_dataset[[#This Row],[Asset_Utilization]]&lt;=75,"Low",smart_dataset[[#This Row],[Asset_Utilization]]&lt;=90,"Medium",TRUE,"High")</f>
        <v>High</v>
      </c>
    </row>
    <row r="84" spans="1:23" hidden="1" x14ac:dyDescent="0.25">
      <c r="A84" s="1">
        <v>45513.912858796299</v>
      </c>
      <c r="B84" s="1">
        <f>INT(smart_dataset[[#This Row],[Timestamp]])</f>
        <v>45513</v>
      </c>
      <c r="C84" s="1">
        <f>MOD(smart_dataset[[#This Row],[Timestamp]],1)</f>
        <v>0.9128587962986785</v>
      </c>
      <c r="D84" s="1">
        <f>YEAR(smart_dataset[[#This Row],[Date]])</f>
        <v>2024</v>
      </c>
      <c r="E84" s="1">
        <f>MONTH(smart_dataset[[#This Row],[Timestamp]])</f>
        <v>8</v>
      </c>
      <c r="F84" t="s">
        <v>34</v>
      </c>
      <c r="G84">
        <v>-46.1616</v>
      </c>
      <c r="H84">
        <v>-46.640099999999997</v>
      </c>
      <c r="I84">
        <v>359</v>
      </c>
      <c r="J84" t="s">
        <v>26</v>
      </c>
      <c r="K84">
        <v>23</v>
      </c>
      <c r="L84">
        <v>71.7</v>
      </c>
      <c r="M84" t="s">
        <v>18</v>
      </c>
      <c r="N84">
        <v>50</v>
      </c>
      <c r="O84">
        <v>486</v>
      </c>
      <c r="P84">
        <v>10</v>
      </c>
      <c r="Q84" t="s">
        <v>27</v>
      </c>
      <c r="R84">
        <v>64</v>
      </c>
      <c r="S84">
        <v>169</v>
      </c>
      <c r="T84">
        <v>0</v>
      </c>
      <c r="U84" t="str" cm="1">
        <f t="array" ref="U84">_xlfn.IFS(smart_dataset[[#This Row],[Waiting_Time]]&lt;=20,"Low",smart_dataset[[#This Row],[Waiting_Time]]&lt;=40,"Medium",TRUE,"High")</f>
        <v>High</v>
      </c>
      <c r="V84" t="str" cm="1">
        <f t="array" ref="V84">_xlfn.IFS(smart_dataset[[#This Row],[Temperature]]&lt;=20,"Cold",smart_dataset[[#This Row],[Temperature]]&lt;=28,"Normal",TRUE,"Hot")</f>
        <v>Normal</v>
      </c>
      <c r="W84" t="str" cm="1">
        <f t="array" ref="W84">_xlfn.IFS(smart_dataset[[#This Row],[Asset_Utilization]]&lt;=75,"Low",smart_dataset[[#This Row],[Asset_Utilization]]&lt;=90,"Medium",TRUE,"High")</f>
        <v>Low</v>
      </c>
    </row>
    <row r="85" spans="1:23" x14ac:dyDescent="0.25">
      <c r="A85" s="1">
        <v>45401.118391203701</v>
      </c>
      <c r="B85" s="1">
        <f>INT(smart_dataset[[#This Row],[Timestamp]])</f>
        <v>45401</v>
      </c>
      <c r="C85" s="7">
        <f>MOD(smart_dataset[[#This Row],[Timestamp]],1)</f>
        <v>0.1183912037013215</v>
      </c>
      <c r="D85">
        <f>YEAR(smart_dataset[[#This Row],[Date]])</f>
        <v>2024</v>
      </c>
      <c r="E85">
        <f>MONTH(smart_dataset[[#This Row],[Timestamp]])</f>
        <v>4</v>
      </c>
      <c r="F85" t="s">
        <v>16</v>
      </c>
      <c r="G85">
        <v>33.871600000000001</v>
      </c>
      <c r="H85">
        <v>36.875300000000003</v>
      </c>
      <c r="I85">
        <v>422</v>
      </c>
      <c r="J85" t="s">
        <v>17</v>
      </c>
      <c r="K85">
        <v>26.5</v>
      </c>
      <c r="L85">
        <v>75</v>
      </c>
      <c r="M85" t="s">
        <v>22</v>
      </c>
      <c r="N85">
        <v>39</v>
      </c>
      <c r="O85">
        <v>100</v>
      </c>
      <c r="P85">
        <v>6</v>
      </c>
      <c r="Q85" t="s">
        <v>19</v>
      </c>
      <c r="R85">
        <v>67.2</v>
      </c>
      <c r="S85">
        <v>127</v>
      </c>
      <c r="T85">
        <v>1</v>
      </c>
      <c r="U85" t="str" cm="1">
        <f t="array" ref="U85">_xlfn.IFS(smart_dataset[[#This Row],[Waiting_Time]]&lt;=20,"Low",smart_dataset[[#This Row],[Waiting_Time]]&lt;=40,"Medium",TRUE,"High")</f>
        <v>Medium</v>
      </c>
      <c r="V85" t="str" cm="1">
        <f t="array" ref="V85">_xlfn.IFS(smart_dataset[[#This Row],[Temperature]]&lt;=20,"Cold",smart_dataset[[#This Row],[Temperature]]&lt;=28,"Normal",TRUE,"Hot")</f>
        <v>Normal</v>
      </c>
      <c r="W85" t="str" cm="1">
        <f t="array" ref="W85">_xlfn.IFS(smart_dataset[[#This Row],[Asset_Utilization]]&lt;=75,"Low",smart_dataset[[#This Row],[Asset_Utilization]]&lt;=90,"Medium",TRUE,"High")</f>
        <v>Low</v>
      </c>
    </row>
    <row r="86" spans="1:23" hidden="1" x14ac:dyDescent="0.25">
      <c r="A86" s="1">
        <v>45565.471226851849</v>
      </c>
      <c r="B86" s="1">
        <f>INT(smart_dataset[[#This Row],[Timestamp]])</f>
        <v>45565</v>
      </c>
      <c r="C86" s="1">
        <f>MOD(smart_dataset[[#This Row],[Timestamp]],1)</f>
        <v>0.471226851848769</v>
      </c>
      <c r="D86" s="1">
        <f>YEAR(smart_dataset[[#This Row],[Date]])</f>
        <v>2024</v>
      </c>
      <c r="E86" s="1">
        <f>MONTH(smart_dataset[[#This Row],[Timestamp]])</f>
        <v>9</v>
      </c>
      <c r="F86" t="s">
        <v>20</v>
      </c>
      <c r="G86">
        <v>35.7136</v>
      </c>
      <c r="H86">
        <v>-23.1356</v>
      </c>
      <c r="I86">
        <v>209</v>
      </c>
      <c r="J86" t="s">
        <v>21</v>
      </c>
      <c r="K86">
        <v>24.9</v>
      </c>
      <c r="L86">
        <v>76.8</v>
      </c>
      <c r="M86" t="s">
        <v>28</v>
      </c>
      <c r="N86">
        <v>51</v>
      </c>
      <c r="O86">
        <v>214</v>
      </c>
      <c r="P86">
        <v>2</v>
      </c>
      <c r="Q86" t="s">
        <v>31</v>
      </c>
      <c r="R86">
        <v>86.5</v>
      </c>
      <c r="S86">
        <v>156</v>
      </c>
      <c r="T86">
        <v>0</v>
      </c>
      <c r="U86" t="str" cm="1">
        <f t="array" ref="U86">_xlfn.IFS(smart_dataset[[#This Row],[Waiting_Time]]&lt;=20,"Low",smart_dataset[[#This Row],[Waiting_Time]]&lt;=40,"Medium",TRUE,"High")</f>
        <v>High</v>
      </c>
      <c r="V86" t="str" cm="1">
        <f t="array" ref="V86">_xlfn.IFS(smart_dataset[[#This Row],[Temperature]]&lt;=20,"Cold",smart_dataset[[#This Row],[Temperature]]&lt;=28,"Normal",TRUE,"Hot")</f>
        <v>Normal</v>
      </c>
      <c r="W86" t="str" cm="1">
        <f t="array" ref="W86">_xlfn.IFS(smart_dataset[[#This Row],[Asset_Utilization]]&lt;=75,"Low",smart_dataset[[#This Row],[Asset_Utilization]]&lt;=90,"Medium",TRUE,"High")</f>
        <v>Medium</v>
      </c>
    </row>
    <row r="87" spans="1:23" x14ac:dyDescent="0.25">
      <c r="A87" s="1">
        <v>45373.697013888886</v>
      </c>
      <c r="B87" s="1">
        <f>INT(smart_dataset[[#This Row],[Timestamp]])</f>
        <v>45373</v>
      </c>
      <c r="C87" s="7">
        <f>MOD(smart_dataset[[#This Row],[Timestamp]],1)</f>
        <v>0.69701388888643123</v>
      </c>
      <c r="D87">
        <f>YEAR(smart_dataset[[#This Row],[Date]])</f>
        <v>2024</v>
      </c>
      <c r="E87">
        <f>MONTH(smart_dataset[[#This Row],[Timestamp]])</f>
        <v>3</v>
      </c>
      <c r="F87" t="s">
        <v>34</v>
      </c>
      <c r="G87">
        <v>36.385800000000003</v>
      </c>
      <c r="H87">
        <v>-107.38939999999999</v>
      </c>
      <c r="I87">
        <v>324</v>
      </c>
      <c r="J87" t="s">
        <v>17</v>
      </c>
      <c r="K87">
        <v>20.7</v>
      </c>
      <c r="L87">
        <v>77.5</v>
      </c>
      <c r="M87" t="s">
        <v>22</v>
      </c>
      <c r="N87">
        <v>39</v>
      </c>
      <c r="O87">
        <v>387</v>
      </c>
      <c r="P87">
        <v>1</v>
      </c>
      <c r="Q87" t="s">
        <v>19</v>
      </c>
      <c r="R87">
        <v>69.099999999999994</v>
      </c>
      <c r="S87">
        <v>138</v>
      </c>
      <c r="T87">
        <v>1</v>
      </c>
      <c r="U87" t="str" cm="1">
        <f t="array" ref="U87">_xlfn.IFS(smart_dataset[[#This Row],[Waiting_Time]]&lt;=20,"Low",smart_dataset[[#This Row],[Waiting_Time]]&lt;=40,"Medium",TRUE,"High")</f>
        <v>Medium</v>
      </c>
      <c r="V87" t="str" cm="1">
        <f t="array" ref="V87">_xlfn.IFS(smart_dataset[[#This Row],[Temperature]]&lt;=20,"Cold",smart_dataset[[#This Row],[Temperature]]&lt;=28,"Normal",TRUE,"Hot")</f>
        <v>Normal</v>
      </c>
      <c r="W87" t="str" cm="1">
        <f t="array" ref="W87">_xlfn.IFS(smart_dataset[[#This Row],[Asset_Utilization]]&lt;=75,"Low",smart_dataset[[#This Row],[Asset_Utilization]]&lt;=90,"Medium",TRUE,"High")</f>
        <v>Low</v>
      </c>
    </row>
    <row r="88" spans="1:23" x14ac:dyDescent="0.25">
      <c r="A88" s="1">
        <v>45580.168703703705</v>
      </c>
      <c r="B88" s="1">
        <f>INT(smart_dataset[[#This Row],[Timestamp]])</f>
        <v>45580</v>
      </c>
      <c r="C88" s="7">
        <f>MOD(smart_dataset[[#This Row],[Timestamp]],1)</f>
        <v>0.16870370370452292</v>
      </c>
      <c r="D88">
        <f>YEAR(smart_dataset[[#This Row],[Date]])</f>
        <v>2024</v>
      </c>
      <c r="E88">
        <f>MONTH(smart_dataset[[#This Row],[Timestamp]])</f>
        <v>10</v>
      </c>
      <c r="F88" t="s">
        <v>16</v>
      </c>
      <c r="G88">
        <v>26.612500000000001</v>
      </c>
      <c r="H88">
        <v>25.4788</v>
      </c>
      <c r="I88">
        <v>199</v>
      </c>
      <c r="J88" t="s">
        <v>21</v>
      </c>
      <c r="K88">
        <v>27.4</v>
      </c>
      <c r="L88">
        <v>57.1</v>
      </c>
      <c r="M88" t="s">
        <v>22</v>
      </c>
      <c r="N88">
        <v>28</v>
      </c>
      <c r="O88">
        <v>383</v>
      </c>
      <c r="P88">
        <v>6</v>
      </c>
      <c r="Q88" t="s">
        <v>19</v>
      </c>
      <c r="R88">
        <v>61.9</v>
      </c>
      <c r="S88">
        <v>105</v>
      </c>
      <c r="T88">
        <v>1</v>
      </c>
      <c r="U88" t="str" cm="1">
        <f t="array" ref="U88">_xlfn.IFS(smart_dataset[[#This Row],[Waiting_Time]]&lt;=20,"Low",smart_dataset[[#This Row],[Waiting_Time]]&lt;=40,"Medium",TRUE,"High")</f>
        <v>Medium</v>
      </c>
      <c r="V88" t="str" cm="1">
        <f t="array" ref="V88">_xlfn.IFS(smart_dataset[[#This Row],[Temperature]]&lt;=20,"Cold",smart_dataset[[#This Row],[Temperature]]&lt;=28,"Normal",TRUE,"Hot")</f>
        <v>Normal</v>
      </c>
      <c r="W88" t="str" cm="1">
        <f t="array" ref="W88">_xlfn.IFS(smart_dataset[[#This Row],[Asset_Utilization]]&lt;=75,"Low",smart_dataset[[#This Row],[Asset_Utilization]]&lt;=90,"Medium",TRUE,"High")</f>
        <v>Low</v>
      </c>
    </row>
    <row r="89" spans="1:23" hidden="1" x14ac:dyDescent="0.25">
      <c r="A89" s="1">
        <v>45644.792708333334</v>
      </c>
      <c r="B89" s="1">
        <f>INT(smart_dataset[[#This Row],[Timestamp]])</f>
        <v>45644</v>
      </c>
      <c r="C89" s="1">
        <f>MOD(smart_dataset[[#This Row],[Timestamp]],1)</f>
        <v>0.79270833333430346</v>
      </c>
      <c r="D89" s="1">
        <f>YEAR(smart_dataset[[#This Row],[Date]])</f>
        <v>2024</v>
      </c>
      <c r="E89" s="1">
        <f>MONTH(smart_dataset[[#This Row],[Timestamp]])</f>
        <v>12</v>
      </c>
      <c r="F89" t="s">
        <v>34</v>
      </c>
      <c r="G89">
        <v>-84.891499999999994</v>
      </c>
      <c r="H89">
        <v>57.571399999999997</v>
      </c>
      <c r="I89">
        <v>213</v>
      </c>
      <c r="J89" t="s">
        <v>17</v>
      </c>
      <c r="K89">
        <v>27.7</v>
      </c>
      <c r="L89">
        <v>58.1</v>
      </c>
      <c r="M89" t="s">
        <v>28</v>
      </c>
      <c r="N89">
        <v>41</v>
      </c>
      <c r="O89">
        <v>267</v>
      </c>
      <c r="P89">
        <v>7</v>
      </c>
      <c r="Q89" t="s">
        <v>31</v>
      </c>
      <c r="R89">
        <v>60.9</v>
      </c>
      <c r="S89">
        <v>254</v>
      </c>
      <c r="T89">
        <v>1</v>
      </c>
      <c r="U89" t="str" cm="1">
        <f t="array" ref="U89">_xlfn.IFS(smart_dataset[[#This Row],[Waiting_Time]]&lt;=20,"Low",smart_dataset[[#This Row],[Waiting_Time]]&lt;=40,"Medium",TRUE,"High")</f>
        <v>High</v>
      </c>
      <c r="V89" t="str" cm="1">
        <f t="array" ref="V89">_xlfn.IFS(smart_dataset[[#This Row],[Temperature]]&lt;=20,"Cold",smart_dataset[[#This Row],[Temperature]]&lt;=28,"Normal",TRUE,"Hot")</f>
        <v>Normal</v>
      </c>
      <c r="W89" t="str" cm="1">
        <f t="array" ref="W89">_xlfn.IFS(smart_dataset[[#This Row],[Asset_Utilization]]&lt;=75,"Low",smart_dataset[[#This Row],[Asset_Utilization]]&lt;=90,"Medium",TRUE,"High")</f>
        <v>Low</v>
      </c>
    </row>
    <row r="90" spans="1:23" hidden="1" x14ac:dyDescent="0.25">
      <c r="A90" s="1">
        <v>45452.716805555552</v>
      </c>
      <c r="B90" s="1">
        <f>INT(smart_dataset[[#This Row],[Timestamp]])</f>
        <v>45452</v>
      </c>
      <c r="C90" s="1">
        <f>MOD(smart_dataset[[#This Row],[Timestamp]],1)</f>
        <v>0.71680555555212777</v>
      </c>
      <c r="D90" s="1">
        <f>YEAR(smart_dataset[[#This Row],[Date]])</f>
        <v>2024</v>
      </c>
      <c r="E90" s="1">
        <f>MONTH(smart_dataset[[#This Row],[Timestamp]])</f>
        <v>6</v>
      </c>
      <c r="F90" t="s">
        <v>29</v>
      </c>
      <c r="G90">
        <v>-49.684600000000003</v>
      </c>
      <c r="H90">
        <v>-63.289200000000001</v>
      </c>
      <c r="I90">
        <v>257</v>
      </c>
      <c r="J90" t="s">
        <v>17</v>
      </c>
      <c r="K90">
        <v>23.1</v>
      </c>
      <c r="L90">
        <v>59.1</v>
      </c>
      <c r="M90" t="s">
        <v>28</v>
      </c>
      <c r="N90">
        <v>56</v>
      </c>
      <c r="O90">
        <v>451</v>
      </c>
      <c r="P90">
        <v>3</v>
      </c>
      <c r="Q90" t="s">
        <v>23</v>
      </c>
      <c r="R90">
        <v>93.8</v>
      </c>
      <c r="S90">
        <v>248</v>
      </c>
      <c r="T90">
        <v>1</v>
      </c>
      <c r="U90" t="str" cm="1">
        <f t="array" ref="U90">_xlfn.IFS(smart_dataset[[#This Row],[Waiting_Time]]&lt;=20,"Low",smart_dataset[[#This Row],[Waiting_Time]]&lt;=40,"Medium",TRUE,"High")</f>
        <v>High</v>
      </c>
      <c r="V90" t="str" cm="1">
        <f t="array" ref="V90">_xlfn.IFS(smart_dataset[[#This Row],[Temperature]]&lt;=20,"Cold",smart_dataset[[#This Row],[Temperature]]&lt;=28,"Normal",TRUE,"Hot")</f>
        <v>Normal</v>
      </c>
      <c r="W90" t="str" cm="1">
        <f t="array" ref="W90">_xlfn.IFS(smart_dataset[[#This Row],[Asset_Utilization]]&lt;=75,"Low",smart_dataset[[#This Row],[Asset_Utilization]]&lt;=90,"Medium",TRUE,"High")</f>
        <v>High</v>
      </c>
    </row>
    <row r="91" spans="1:23" hidden="1" x14ac:dyDescent="0.25">
      <c r="A91" s="1">
        <v>45595.084560185183</v>
      </c>
      <c r="B91" s="1">
        <f>INT(smart_dataset[[#This Row],[Timestamp]])</f>
        <v>45595</v>
      </c>
      <c r="C91" s="1">
        <f>MOD(smart_dataset[[#This Row],[Timestamp]],1)</f>
        <v>8.4560185183363501E-2</v>
      </c>
      <c r="D91" s="1">
        <f>YEAR(smart_dataset[[#This Row],[Date]])</f>
        <v>2024</v>
      </c>
      <c r="E91" s="1">
        <f>MONTH(smart_dataset[[#This Row],[Timestamp]])</f>
        <v>10</v>
      </c>
      <c r="F91" t="s">
        <v>34</v>
      </c>
      <c r="G91">
        <v>14.747400000000001</v>
      </c>
      <c r="H91">
        <v>-2.5245000000000002</v>
      </c>
      <c r="I91">
        <v>475</v>
      </c>
      <c r="J91" t="s">
        <v>21</v>
      </c>
      <c r="K91">
        <v>22.2</v>
      </c>
      <c r="L91">
        <v>79.400000000000006</v>
      </c>
      <c r="M91" t="s">
        <v>18</v>
      </c>
      <c r="N91">
        <v>25</v>
      </c>
      <c r="O91">
        <v>268</v>
      </c>
      <c r="P91">
        <v>3</v>
      </c>
      <c r="Q91" t="s">
        <v>23</v>
      </c>
      <c r="R91">
        <v>60.3</v>
      </c>
      <c r="S91">
        <v>151</v>
      </c>
      <c r="T91">
        <v>0</v>
      </c>
      <c r="U91" t="str" cm="1">
        <f t="array" ref="U91">_xlfn.IFS(smart_dataset[[#This Row],[Waiting_Time]]&lt;=20,"Low",smart_dataset[[#This Row],[Waiting_Time]]&lt;=40,"Medium",TRUE,"High")</f>
        <v>Medium</v>
      </c>
      <c r="V91" t="str" cm="1">
        <f t="array" ref="V91">_xlfn.IFS(smart_dataset[[#This Row],[Temperature]]&lt;=20,"Cold",smart_dataset[[#This Row],[Temperature]]&lt;=28,"Normal",TRUE,"Hot")</f>
        <v>Normal</v>
      </c>
      <c r="W91" t="str" cm="1">
        <f t="array" ref="W91">_xlfn.IFS(smart_dataset[[#This Row],[Asset_Utilization]]&lt;=75,"Low",smart_dataset[[#This Row],[Asset_Utilization]]&lt;=90,"Medium",TRUE,"High")</f>
        <v>Low</v>
      </c>
    </row>
    <row r="92" spans="1:23" x14ac:dyDescent="0.25">
      <c r="A92" s="1">
        <v>45466.128680555557</v>
      </c>
      <c r="B92" s="1">
        <f>INT(smart_dataset[[#This Row],[Timestamp]])</f>
        <v>45466</v>
      </c>
      <c r="C92" s="7">
        <f>MOD(smart_dataset[[#This Row],[Timestamp]],1)</f>
        <v>0.12868055555736646</v>
      </c>
      <c r="D92">
        <f>YEAR(smart_dataset[[#This Row],[Date]])</f>
        <v>2024</v>
      </c>
      <c r="E92">
        <f>MONTH(smart_dataset[[#This Row],[Timestamp]])</f>
        <v>6</v>
      </c>
      <c r="F92" t="s">
        <v>16</v>
      </c>
      <c r="G92">
        <v>-8.6011000000000006</v>
      </c>
      <c r="H92">
        <v>-63.127400000000002</v>
      </c>
      <c r="I92">
        <v>377</v>
      </c>
      <c r="J92" t="s">
        <v>21</v>
      </c>
      <c r="K92">
        <v>22.7</v>
      </c>
      <c r="L92">
        <v>75.5</v>
      </c>
      <c r="M92" t="s">
        <v>28</v>
      </c>
      <c r="N92">
        <v>59</v>
      </c>
      <c r="O92">
        <v>445</v>
      </c>
      <c r="P92">
        <v>7</v>
      </c>
      <c r="Q92" t="s">
        <v>19</v>
      </c>
      <c r="R92">
        <v>99.1</v>
      </c>
      <c r="S92">
        <v>272</v>
      </c>
      <c r="T92">
        <v>0</v>
      </c>
      <c r="U92" t="str" cm="1">
        <f t="array" ref="U92">_xlfn.IFS(smart_dataset[[#This Row],[Waiting_Time]]&lt;=20,"Low",smart_dataset[[#This Row],[Waiting_Time]]&lt;=40,"Medium",TRUE,"High")</f>
        <v>High</v>
      </c>
      <c r="V92" t="str" cm="1">
        <f t="array" ref="V92">_xlfn.IFS(smart_dataset[[#This Row],[Temperature]]&lt;=20,"Cold",smart_dataset[[#This Row],[Temperature]]&lt;=28,"Normal",TRUE,"Hot")</f>
        <v>Normal</v>
      </c>
      <c r="W92" t="str" cm="1">
        <f t="array" ref="W92">_xlfn.IFS(smart_dataset[[#This Row],[Asset_Utilization]]&lt;=75,"Low",smart_dataset[[#This Row],[Asset_Utilization]]&lt;=90,"Medium",TRUE,"High")</f>
        <v>High</v>
      </c>
    </row>
    <row r="93" spans="1:23" hidden="1" x14ac:dyDescent="0.25">
      <c r="A93" s="1">
        <v>45523.717847222222</v>
      </c>
      <c r="B93" s="1">
        <f>INT(smart_dataset[[#This Row],[Timestamp]])</f>
        <v>45523</v>
      </c>
      <c r="C93" s="1">
        <f>MOD(smart_dataset[[#This Row],[Timestamp]],1)</f>
        <v>0.71784722222218988</v>
      </c>
      <c r="D93" s="1">
        <f>YEAR(smart_dataset[[#This Row],[Date]])</f>
        <v>2024</v>
      </c>
      <c r="E93" s="1">
        <f>MONTH(smart_dataset[[#This Row],[Timestamp]])</f>
        <v>8</v>
      </c>
      <c r="F93" t="s">
        <v>30</v>
      </c>
      <c r="G93">
        <v>67.2149</v>
      </c>
      <c r="H93">
        <v>117.9203</v>
      </c>
      <c r="I93">
        <v>456</v>
      </c>
      <c r="J93" t="s">
        <v>17</v>
      </c>
      <c r="K93">
        <v>26.4</v>
      </c>
      <c r="L93">
        <v>51.4</v>
      </c>
      <c r="M93" t="s">
        <v>22</v>
      </c>
      <c r="N93">
        <v>23</v>
      </c>
      <c r="O93">
        <v>100</v>
      </c>
      <c r="P93">
        <v>1</v>
      </c>
      <c r="Q93" t="s">
        <v>23</v>
      </c>
      <c r="R93">
        <v>94.2</v>
      </c>
      <c r="S93">
        <v>105</v>
      </c>
      <c r="T93">
        <v>1</v>
      </c>
      <c r="U93" t="str" cm="1">
        <f t="array" ref="U93">_xlfn.IFS(smart_dataset[[#This Row],[Waiting_Time]]&lt;=20,"Low",smart_dataset[[#This Row],[Waiting_Time]]&lt;=40,"Medium",TRUE,"High")</f>
        <v>Medium</v>
      </c>
      <c r="V93" t="str" cm="1">
        <f t="array" ref="V93">_xlfn.IFS(smart_dataset[[#This Row],[Temperature]]&lt;=20,"Cold",smart_dataset[[#This Row],[Temperature]]&lt;=28,"Normal",TRUE,"Hot")</f>
        <v>Normal</v>
      </c>
      <c r="W93" t="str" cm="1">
        <f t="array" ref="W93">_xlfn.IFS(smart_dataset[[#This Row],[Asset_Utilization]]&lt;=75,"Low",smart_dataset[[#This Row],[Asset_Utilization]]&lt;=90,"Medium",TRUE,"High")</f>
        <v>High</v>
      </c>
    </row>
    <row r="94" spans="1:23" hidden="1" x14ac:dyDescent="0.25">
      <c r="A94" s="1">
        <v>45412.527650462966</v>
      </c>
      <c r="B94" s="1">
        <f>INT(smart_dataset[[#This Row],[Timestamp]])</f>
        <v>45412</v>
      </c>
      <c r="C94" s="1">
        <f>MOD(smart_dataset[[#This Row],[Timestamp]],1)</f>
        <v>0.52765046296553919</v>
      </c>
      <c r="D94" s="1">
        <f>YEAR(smart_dataset[[#This Row],[Date]])</f>
        <v>2024</v>
      </c>
      <c r="E94" s="1">
        <f>MONTH(smart_dataset[[#This Row],[Timestamp]])</f>
        <v>4</v>
      </c>
      <c r="F94" t="s">
        <v>35</v>
      </c>
      <c r="G94">
        <v>-11.3392</v>
      </c>
      <c r="H94">
        <v>-69.339500000000001</v>
      </c>
      <c r="I94">
        <v>106</v>
      </c>
      <c r="J94" t="s">
        <v>17</v>
      </c>
      <c r="K94">
        <v>18.3</v>
      </c>
      <c r="L94">
        <v>65.900000000000006</v>
      </c>
      <c r="M94" t="s">
        <v>22</v>
      </c>
      <c r="N94">
        <v>53</v>
      </c>
      <c r="O94">
        <v>244</v>
      </c>
      <c r="P94">
        <v>2</v>
      </c>
      <c r="Q94" t="s">
        <v>27</v>
      </c>
      <c r="R94">
        <v>99.5</v>
      </c>
      <c r="S94">
        <v>125</v>
      </c>
      <c r="T94">
        <v>1</v>
      </c>
      <c r="U94" t="str" cm="1">
        <f t="array" ref="U94">_xlfn.IFS(smart_dataset[[#This Row],[Waiting_Time]]&lt;=20,"Low",smart_dataset[[#This Row],[Waiting_Time]]&lt;=40,"Medium",TRUE,"High")</f>
        <v>High</v>
      </c>
      <c r="V94" t="str" cm="1">
        <f t="array" ref="V94">_xlfn.IFS(smart_dataset[[#This Row],[Temperature]]&lt;=20,"Cold",smart_dataset[[#This Row],[Temperature]]&lt;=28,"Normal",TRUE,"Hot")</f>
        <v>Cold</v>
      </c>
      <c r="W94" t="str" cm="1">
        <f t="array" ref="W94">_xlfn.IFS(smart_dataset[[#This Row],[Asset_Utilization]]&lt;=75,"Low",smart_dataset[[#This Row],[Asset_Utilization]]&lt;=90,"Medium",TRUE,"High")</f>
        <v>High</v>
      </c>
    </row>
    <row r="95" spans="1:23" hidden="1" x14ac:dyDescent="0.25">
      <c r="A95" s="1">
        <v>45641.162222222221</v>
      </c>
      <c r="B95" s="1">
        <f>INT(smart_dataset[[#This Row],[Timestamp]])</f>
        <v>45641</v>
      </c>
      <c r="C95" s="1">
        <f>MOD(smart_dataset[[#This Row],[Timestamp]],1)</f>
        <v>0.16222222222131677</v>
      </c>
      <c r="D95" s="1">
        <f>YEAR(smart_dataset[[#This Row],[Date]])</f>
        <v>2024</v>
      </c>
      <c r="E95" s="1">
        <f>MONTH(smart_dataset[[#This Row],[Timestamp]])</f>
        <v>12</v>
      </c>
      <c r="F95" t="s">
        <v>24</v>
      </c>
      <c r="G95">
        <v>26.376300000000001</v>
      </c>
      <c r="H95">
        <v>157.09049999999999</v>
      </c>
      <c r="I95">
        <v>234</v>
      </c>
      <c r="J95" t="s">
        <v>17</v>
      </c>
      <c r="K95">
        <v>29.1</v>
      </c>
      <c r="L95">
        <v>65.3</v>
      </c>
      <c r="M95" t="s">
        <v>28</v>
      </c>
      <c r="N95">
        <v>19</v>
      </c>
      <c r="O95">
        <v>432</v>
      </c>
      <c r="P95">
        <v>3</v>
      </c>
      <c r="Q95" t="s">
        <v>23</v>
      </c>
      <c r="R95">
        <v>92.7</v>
      </c>
      <c r="S95">
        <v>214</v>
      </c>
      <c r="T95">
        <v>1</v>
      </c>
      <c r="U95" t="str" cm="1">
        <f t="array" ref="U95">_xlfn.IFS(smart_dataset[[#This Row],[Waiting_Time]]&lt;=20,"Low",smart_dataset[[#This Row],[Waiting_Time]]&lt;=40,"Medium",TRUE,"High")</f>
        <v>Low</v>
      </c>
      <c r="V95" t="str" cm="1">
        <f t="array" ref="V95">_xlfn.IFS(smart_dataset[[#This Row],[Temperature]]&lt;=20,"Cold",smart_dataset[[#This Row],[Temperature]]&lt;=28,"Normal",TRUE,"Hot")</f>
        <v>Hot</v>
      </c>
      <c r="W95" t="str" cm="1">
        <f t="array" ref="W95">_xlfn.IFS(smart_dataset[[#This Row],[Asset_Utilization]]&lt;=75,"Low",smart_dataset[[#This Row],[Asset_Utilization]]&lt;=90,"Medium",TRUE,"High")</f>
        <v>High</v>
      </c>
    </row>
    <row r="96" spans="1:23" hidden="1" x14ac:dyDescent="0.25">
      <c r="A96" s="1">
        <v>45372.622708333336</v>
      </c>
      <c r="B96" s="1">
        <f>INT(smart_dataset[[#This Row],[Timestamp]])</f>
        <v>45372</v>
      </c>
      <c r="C96" s="1">
        <f>MOD(smart_dataset[[#This Row],[Timestamp]],1)</f>
        <v>0.62270833333604969</v>
      </c>
      <c r="D96" s="1">
        <f>YEAR(smart_dataset[[#This Row],[Date]])</f>
        <v>2024</v>
      </c>
      <c r="E96" s="1">
        <f>MONTH(smart_dataset[[#This Row],[Timestamp]])</f>
        <v>3</v>
      </c>
      <c r="F96" t="s">
        <v>32</v>
      </c>
      <c r="G96">
        <v>-13.468999999999999</v>
      </c>
      <c r="H96">
        <v>75.340800000000002</v>
      </c>
      <c r="I96">
        <v>390</v>
      </c>
      <c r="J96" t="s">
        <v>17</v>
      </c>
      <c r="K96">
        <v>19.5</v>
      </c>
      <c r="L96">
        <v>79.2</v>
      </c>
      <c r="M96" t="s">
        <v>22</v>
      </c>
      <c r="N96">
        <v>26</v>
      </c>
      <c r="O96">
        <v>366</v>
      </c>
      <c r="P96">
        <v>4</v>
      </c>
      <c r="Q96" t="s">
        <v>31</v>
      </c>
      <c r="R96">
        <v>69.400000000000006</v>
      </c>
      <c r="S96">
        <v>217</v>
      </c>
      <c r="T96">
        <v>1</v>
      </c>
      <c r="U96" t="str" cm="1">
        <f t="array" ref="U96">_xlfn.IFS(smart_dataset[[#This Row],[Waiting_Time]]&lt;=20,"Low",smart_dataset[[#This Row],[Waiting_Time]]&lt;=40,"Medium",TRUE,"High")</f>
        <v>Medium</v>
      </c>
      <c r="V96" t="str" cm="1">
        <f t="array" ref="V96">_xlfn.IFS(smart_dataset[[#This Row],[Temperature]]&lt;=20,"Cold",smart_dataset[[#This Row],[Temperature]]&lt;=28,"Normal",TRUE,"Hot")</f>
        <v>Cold</v>
      </c>
      <c r="W96" t="str" cm="1">
        <f t="array" ref="W96">_xlfn.IFS(smart_dataset[[#This Row],[Asset_Utilization]]&lt;=75,"Low",smart_dataset[[#This Row],[Asset_Utilization]]&lt;=90,"Medium",TRUE,"High")</f>
        <v>Low</v>
      </c>
    </row>
    <row r="97" spans="1:23" x14ac:dyDescent="0.25">
      <c r="A97" s="1">
        <v>45562.755740740744</v>
      </c>
      <c r="B97" s="1">
        <f>INT(smart_dataset[[#This Row],[Timestamp]])</f>
        <v>45562</v>
      </c>
      <c r="C97" s="7">
        <f>MOD(smart_dataset[[#This Row],[Timestamp]],1)</f>
        <v>0.75574074074393138</v>
      </c>
      <c r="D97">
        <f>YEAR(smart_dataset[[#This Row],[Date]])</f>
        <v>2024</v>
      </c>
      <c r="E97">
        <f>MONTH(smart_dataset[[#This Row],[Timestamp]])</f>
        <v>9</v>
      </c>
      <c r="F97" t="s">
        <v>29</v>
      </c>
      <c r="G97">
        <v>-11.2424</v>
      </c>
      <c r="H97">
        <v>-4.5637999999999996</v>
      </c>
      <c r="I97">
        <v>203</v>
      </c>
      <c r="J97" t="s">
        <v>26</v>
      </c>
      <c r="K97">
        <v>20.399999999999999</v>
      </c>
      <c r="L97">
        <v>78.3</v>
      </c>
      <c r="M97" t="s">
        <v>18</v>
      </c>
      <c r="N97">
        <v>21</v>
      </c>
      <c r="O97">
        <v>187</v>
      </c>
      <c r="P97">
        <v>5</v>
      </c>
      <c r="Q97" t="s">
        <v>19</v>
      </c>
      <c r="R97">
        <v>87.9</v>
      </c>
      <c r="S97">
        <v>262</v>
      </c>
      <c r="T97">
        <v>0</v>
      </c>
      <c r="U97" t="str" cm="1">
        <f t="array" ref="U97">_xlfn.IFS(smart_dataset[[#This Row],[Waiting_Time]]&lt;=20,"Low",smart_dataset[[#This Row],[Waiting_Time]]&lt;=40,"Medium",TRUE,"High")</f>
        <v>Medium</v>
      </c>
      <c r="V97" t="str" cm="1">
        <f t="array" ref="V97">_xlfn.IFS(smart_dataset[[#This Row],[Temperature]]&lt;=20,"Cold",smart_dataset[[#This Row],[Temperature]]&lt;=28,"Normal",TRUE,"Hot")</f>
        <v>Normal</v>
      </c>
      <c r="W97" t="str" cm="1">
        <f t="array" ref="W97">_xlfn.IFS(smart_dataset[[#This Row],[Asset_Utilization]]&lt;=75,"Low",smart_dataset[[#This Row],[Asset_Utilization]]&lt;=90,"Medium",TRUE,"High")</f>
        <v>Medium</v>
      </c>
    </row>
    <row r="98" spans="1:23" hidden="1" x14ac:dyDescent="0.25">
      <c r="A98" s="1">
        <v>45613.357662037037</v>
      </c>
      <c r="B98" s="1">
        <f>INT(smart_dataset[[#This Row],[Timestamp]])</f>
        <v>45613</v>
      </c>
      <c r="C98" s="1">
        <f>MOD(smart_dataset[[#This Row],[Timestamp]],1)</f>
        <v>0.35766203703678912</v>
      </c>
      <c r="D98" s="1">
        <f>YEAR(smart_dataset[[#This Row],[Date]])</f>
        <v>2024</v>
      </c>
      <c r="E98" s="1">
        <f>MONTH(smart_dataset[[#This Row],[Timestamp]])</f>
        <v>11</v>
      </c>
      <c r="F98" t="s">
        <v>20</v>
      </c>
      <c r="G98">
        <v>62.655900000000003</v>
      </c>
      <c r="H98">
        <v>18.8474</v>
      </c>
      <c r="I98">
        <v>297</v>
      </c>
      <c r="J98" t="s">
        <v>17</v>
      </c>
      <c r="K98">
        <v>23.1</v>
      </c>
      <c r="L98">
        <v>59.4</v>
      </c>
      <c r="M98" t="s">
        <v>18</v>
      </c>
      <c r="N98">
        <v>29</v>
      </c>
      <c r="O98">
        <v>268</v>
      </c>
      <c r="P98">
        <v>10</v>
      </c>
      <c r="Q98" t="s">
        <v>27</v>
      </c>
      <c r="R98">
        <v>71.2</v>
      </c>
      <c r="S98">
        <v>151</v>
      </c>
      <c r="T98">
        <v>1</v>
      </c>
      <c r="U98" t="str" cm="1">
        <f t="array" ref="U98">_xlfn.IFS(smart_dataset[[#This Row],[Waiting_Time]]&lt;=20,"Low",smart_dataset[[#This Row],[Waiting_Time]]&lt;=40,"Medium",TRUE,"High")</f>
        <v>Medium</v>
      </c>
      <c r="V98" t="str" cm="1">
        <f t="array" ref="V98">_xlfn.IFS(smart_dataset[[#This Row],[Temperature]]&lt;=20,"Cold",smart_dataset[[#This Row],[Temperature]]&lt;=28,"Normal",TRUE,"Hot")</f>
        <v>Normal</v>
      </c>
      <c r="W98" t="str" cm="1">
        <f t="array" ref="W98">_xlfn.IFS(smart_dataset[[#This Row],[Asset_Utilization]]&lt;=75,"Low",smart_dataset[[#This Row],[Asset_Utilization]]&lt;=90,"Medium",TRUE,"High")</f>
        <v>Low</v>
      </c>
    </row>
    <row r="99" spans="1:23" hidden="1" x14ac:dyDescent="0.25">
      <c r="A99" s="1">
        <v>45415.148935185185</v>
      </c>
      <c r="B99" s="1">
        <f>INT(smart_dataset[[#This Row],[Timestamp]])</f>
        <v>45415</v>
      </c>
      <c r="C99" s="1">
        <f>MOD(smart_dataset[[#This Row],[Timestamp]],1)</f>
        <v>0.14893518518510973</v>
      </c>
      <c r="D99" s="1">
        <f>YEAR(smart_dataset[[#This Row],[Date]])</f>
        <v>2024</v>
      </c>
      <c r="E99" s="1">
        <f>MONTH(smart_dataset[[#This Row],[Timestamp]])</f>
        <v>5</v>
      </c>
      <c r="F99" t="s">
        <v>25</v>
      </c>
      <c r="G99">
        <v>60.803199999999997</v>
      </c>
      <c r="H99">
        <v>-179.59059999999999</v>
      </c>
      <c r="I99">
        <v>238</v>
      </c>
      <c r="J99" t="s">
        <v>21</v>
      </c>
      <c r="K99">
        <v>25</v>
      </c>
      <c r="L99">
        <v>75.8</v>
      </c>
      <c r="M99" t="s">
        <v>22</v>
      </c>
      <c r="N99">
        <v>26</v>
      </c>
      <c r="O99">
        <v>330</v>
      </c>
      <c r="P99">
        <v>9</v>
      </c>
      <c r="Q99" t="s">
        <v>23</v>
      </c>
      <c r="R99">
        <v>99.2</v>
      </c>
      <c r="S99">
        <v>165</v>
      </c>
      <c r="T99">
        <v>1</v>
      </c>
      <c r="U99" t="str" cm="1">
        <f t="array" ref="U99">_xlfn.IFS(smart_dataset[[#This Row],[Waiting_Time]]&lt;=20,"Low",smart_dataset[[#This Row],[Waiting_Time]]&lt;=40,"Medium",TRUE,"High")</f>
        <v>Medium</v>
      </c>
      <c r="V99" t="str" cm="1">
        <f t="array" ref="V99">_xlfn.IFS(smart_dataset[[#This Row],[Temperature]]&lt;=20,"Cold",smart_dataset[[#This Row],[Temperature]]&lt;=28,"Normal",TRUE,"Hot")</f>
        <v>Normal</v>
      </c>
      <c r="W99" t="str" cm="1">
        <f t="array" ref="W99">_xlfn.IFS(smart_dataset[[#This Row],[Asset_Utilization]]&lt;=75,"Low",smart_dataset[[#This Row],[Asset_Utilization]]&lt;=90,"Medium",TRUE,"High")</f>
        <v>High</v>
      </c>
    </row>
    <row r="100" spans="1:23" hidden="1" x14ac:dyDescent="0.25">
      <c r="A100" s="1">
        <v>45356.038043981483</v>
      </c>
      <c r="B100" s="1">
        <f>INT(smart_dataset[[#This Row],[Timestamp]])</f>
        <v>45356</v>
      </c>
      <c r="C100" s="1">
        <f>MOD(smart_dataset[[#This Row],[Timestamp]],1)</f>
        <v>3.8043981483497191E-2</v>
      </c>
      <c r="D100" s="1">
        <f>YEAR(smart_dataset[[#This Row],[Date]])</f>
        <v>2024</v>
      </c>
      <c r="E100" s="1">
        <f>MONTH(smart_dataset[[#This Row],[Timestamp]])</f>
        <v>3</v>
      </c>
      <c r="F100" t="s">
        <v>29</v>
      </c>
      <c r="G100">
        <v>-10.0451</v>
      </c>
      <c r="H100">
        <v>79.895600000000002</v>
      </c>
      <c r="I100">
        <v>126</v>
      </c>
      <c r="J100" t="s">
        <v>26</v>
      </c>
      <c r="K100">
        <v>28.2</v>
      </c>
      <c r="L100">
        <v>54.5</v>
      </c>
      <c r="M100" t="s">
        <v>18</v>
      </c>
      <c r="N100">
        <v>35</v>
      </c>
      <c r="O100">
        <v>320</v>
      </c>
      <c r="P100">
        <v>4</v>
      </c>
      <c r="Q100" t="s">
        <v>31</v>
      </c>
      <c r="R100">
        <v>93.7</v>
      </c>
      <c r="S100">
        <v>136</v>
      </c>
      <c r="T100">
        <v>0</v>
      </c>
      <c r="U100" t="str" cm="1">
        <f t="array" ref="U100">_xlfn.IFS(smart_dataset[[#This Row],[Waiting_Time]]&lt;=20,"Low",smart_dataset[[#This Row],[Waiting_Time]]&lt;=40,"Medium",TRUE,"High")</f>
        <v>Medium</v>
      </c>
      <c r="V100" t="str" cm="1">
        <f t="array" ref="V100">_xlfn.IFS(smart_dataset[[#This Row],[Temperature]]&lt;=20,"Cold",smart_dataset[[#This Row],[Temperature]]&lt;=28,"Normal",TRUE,"Hot")</f>
        <v>Hot</v>
      </c>
      <c r="W100" t="str" cm="1">
        <f t="array" ref="W100">_xlfn.IFS(smart_dataset[[#This Row],[Asset_Utilization]]&lt;=75,"Low",smart_dataset[[#This Row],[Asset_Utilization]]&lt;=90,"Medium",TRUE,"High")</f>
        <v>High</v>
      </c>
    </row>
    <row r="101" spans="1:23" hidden="1" x14ac:dyDescent="0.25">
      <c r="A101" s="1">
        <v>45305.390740740739</v>
      </c>
      <c r="B101" s="1">
        <f>INT(smart_dataset[[#This Row],[Timestamp]])</f>
        <v>45305</v>
      </c>
      <c r="C101" s="1">
        <f>MOD(smart_dataset[[#This Row],[Timestamp]],1)</f>
        <v>0.39074074073869269</v>
      </c>
      <c r="D101" s="1">
        <f>YEAR(smart_dataset[[#This Row],[Date]])</f>
        <v>2024</v>
      </c>
      <c r="E101" s="1">
        <f>MONTH(smart_dataset[[#This Row],[Timestamp]])</f>
        <v>1</v>
      </c>
      <c r="F101" t="s">
        <v>30</v>
      </c>
      <c r="G101">
        <v>17.648299999999999</v>
      </c>
      <c r="H101">
        <v>114.2638</v>
      </c>
      <c r="I101">
        <v>455</v>
      </c>
      <c r="J101" t="s">
        <v>26</v>
      </c>
      <c r="K101">
        <v>22.9</v>
      </c>
      <c r="L101">
        <v>79.599999999999994</v>
      </c>
      <c r="M101" t="s">
        <v>18</v>
      </c>
      <c r="N101">
        <v>51</v>
      </c>
      <c r="O101">
        <v>410</v>
      </c>
      <c r="P101">
        <v>9</v>
      </c>
      <c r="Q101" t="s">
        <v>23</v>
      </c>
      <c r="R101">
        <v>84.9</v>
      </c>
      <c r="S101">
        <v>233</v>
      </c>
      <c r="T101">
        <v>0</v>
      </c>
      <c r="U101" t="str" cm="1">
        <f t="array" ref="U101">_xlfn.IFS(smart_dataset[[#This Row],[Waiting_Time]]&lt;=20,"Low",smart_dataset[[#This Row],[Waiting_Time]]&lt;=40,"Medium",TRUE,"High")</f>
        <v>High</v>
      </c>
      <c r="V101" t="str" cm="1">
        <f t="array" ref="V101">_xlfn.IFS(smart_dataset[[#This Row],[Temperature]]&lt;=20,"Cold",smart_dataset[[#This Row],[Temperature]]&lt;=28,"Normal",TRUE,"Hot")</f>
        <v>Normal</v>
      </c>
      <c r="W101" t="str" cm="1">
        <f t="array" ref="W101">_xlfn.IFS(smart_dataset[[#This Row],[Asset_Utilization]]&lt;=75,"Low",smart_dataset[[#This Row],[Asset_Utilization]]&lt;=90,"Medium",TRUE,"High")</f>
        <v>Medium</v>
      </c>
    </row>
    <row r="102" spans="1:23" hidden="1" x14ac:dyDescent="0.25">
      <c r="A102" s="1">
        <v>45339.879224537035</v>
      </c>
      <c r="B102" s="1">
        <f>INT(smart_dataset[[#This Row],[Timestamp]])</f>
        <v>45339</v>
      </c>
      <c r="C102" s="1">
        <f>MOD(smart_dataset[[#This Row],[Timestamp]],1)</f>
        <v>0.87922453703504289</v>
      </c>
      <c r="D102" s="1">
        <f>YEAR(smart_dataset[[#This Row],[Date]])</f>
        <v>2024</v>
      </c>
      <c r="E102" s="1">
        <f>MONTH(smart_dataset[[#This Row],[Timestamp]])</f>
        <v>2</v>
      </c>
      <c r="F102" t="s">
        <v>29</v>
      </c>
      <c r="G102">
        <v>-51.923299999999998</v>
      </c>
      <c r="H102">
        <v>-57.585799999999999</v>
      </c>
      <c r="I102">
        <v>220</v>
      </c>
      <c r="J102" t="s">
        <v>17</v>
      </c>
      <c r="K102">
        <v>29.4</v>
      </c>
      <c r="L102">
        <v>52.4</v>
      </c>
      <c r="M102" t="s">
        <v>28</v>
      </c>
      <c r="N102">
        <v>18</v>
      </c>
      <c r="O102">
        <v>468</v>
      </c>
      <c r="P102">
        <v>9</v>
      </c>
      <c r="Q102" t="s">
        <v>31</v>
      </c>
      <c r="R102">
        <v>63.1</v>
      </c>
      <c r="S102">
        <v>137</v>
      </c>
      <c r="T102">
        <v>1</v>
      </c>
      <c r="U102" t="str" cm="1">
        <f t="array" ref="U102">_xlfn.IFS(smart_dataset[[#This Row],[Waiting_Time]]&lt;=20,"Low",smart_dataset[[#This Row],[Waiting_Time]]&lt;=40,"Medium",TRUE,"High")</f>
        <v>Low</v>
      </c>
      <c r="V102" t="str" cm="1">
        <f t="array" ref="V102">_xlfn.IFS(smart_dataset[[#This Row],[Temperature]]&lt;=20,"Cold",smart_dataset[[#This Row],[Temperature]]&lt;=28,"Normal",TRUE,"Hot")</f>
        <v>Hot</v>
      </c>
      <c r="W102" t="str" cm="1">
        <f t="array" ref="W102">_xlfn.IFS(smart_dataset[[#This Row],[Asset_Utilization]]&lt;=75,"Low",smart_dataset[[#This Row],[Asset_Utilization]]&lt;=90,"Medium",TRUE,"High")</f>
        <v>Low</v>
      </c>
    </row>
    <row r="103" spans="1:23" hidden="1" x14ac:dyDescent="0.25">
      <c r="A103" s="1">
        <v>45479.470462962963</v>
      </c>
      <c r="B103" s="1">
        <f>INT(smart_dataset[[#This Row],[Timestamp]])</f>
        <v>45479</v>
      </c>
      <c r="C103" s="1">
        <f>MOD(smart_dataset[[#This Row],[Timestamp]],1)</f>
        <v>0.47046296296321088</v>
      </c>
      <c r="D103" s="1">
        <f>YEAR(smart_dataset[[#This Row],[Date]])</f>
        <v>2024</v>
      </c>
      <c r="E103" s="1">
        <f>MONTH(smart_dataset[[#This Row],[Timestamp]])</f>
        <v>7</v>
      </c>
      <c r="F103" t="s">
        <v>34</v>
      </c>
      <c r="G103">
        <v>22.389800000000001</v>
      </c>
      <c r="H103">
        <v>3.8948</v>
      </c>
      <c r="I103">
        <v>403</v>
      </c>
      <c r="J103" t="s">
        <v>21</v>
      </c>
      <c r="K103">
        <v>22.5</v>
      </c>
      <c r="L103">
        <v>62.5</v>
      </c>
      <c r="M103" t="s">
        <v>28</v>
      </c>
      <c r="N103">
        <v>38</v>
      </c>
      <c r="O103">
        <v>225</v>
      </c>
      <c r="P103">
        <v>3</v>
      </c>
      <c r="Q103" t="s">
        <v>23</v>
      </c>
      <c r="R103">
        <v>81.400000000000006</v>
      </c>
      <c r="S103">
        <v>169</v>
      </c>
      <c r="T103">
        <v>0</v>
      </c>
      <c r="U103" t="str" cm="1">
        <f t="array" ref="U103">_xlfn.IFS(smart_dataset[[#This Row],[Waiting_Time]]&lt;=20,"Low",smart_dataset[[#This Row],[Waiting_Time]]&lt;=40,"Medium",TRUE,"High")</f>
        <v>Medium</v>
      </c>
      <c r="V103" t="str" cm="1">
        <f t="array" ref="V103">_xlfn.IFS(smart_dataset[[#This Row],[Temperature]]&lt;=20,"Cold",smart_dataset[[#This Row],[Temperature]]&lt;=28,"Normal",TRUE,"Hot")</f>
        <v>Normal</v>
      </c>
      <c r="W103" t="str" cm="1">
        <f t="array" ref="W103">_xlfn.IFS(smart_dataset[[#This Row],[Asset_Utilization]]&lt;=75,"Low",smart_dataset[[#This Row],[Asset_Utilization]]&lt;=90,"Medium",TRUE,"High")</f>
        <v>Medium</v>
      </c>
    </row>
    <row r="104" spans="1:23" hidden="1" x14ac:dyDescent="0.25">
      <c r="A104" s="1">
        <v>45422.926608796297</v>
      </c>
      <c r="B104" s="1">
        <f>INT(smart_dataset[[#This Row],[Timestamp]])</f>
        <v>45422</v>
      </c>
      <c r="C104" s="1">
        <f>MOD(smart_dataset[[#This Row],[Timestamp]],1)</f>
        <v>0.92660879629693227</v>
      </c>
      <c r="D104" s="1">
        <f>YEAR(smart_dataset[[#This Row],[Date]])</f>
        <v>2024</v>
      </c>
      <c r="E104" s="1">
        <f>MONTH(smart_dataset[[#This Row],[Timestamp]])</f>
        <v>5</v>
      </c>
      <c r="F104" t="s">
        <v>24</v>
      </c>
      <c r="G104">
        <v>86.336799999999997</v>
      </c>
      <c r="H104">
        <v>29.447800000000001</v>
      </c>
      <c r="I104">
        <v>448</v>
      </c>
      <c r="J104" t="s">
        <v>17</v>
      </c>
      <c r="K104">
        <v>23.4</v>
      </c>
      <c r="L104">
        <v>59.9</v>
      </c>
      <c r="M104" t="s">
        <v>18</v>
      </c>
      <c r="N104">
        <v>41</v>
      </c>
      <c r="O104">
        <v>120</v>
      </c>
      <c r="P104">
        <v>10</v>
      </c>
      <c r="Q104" t="s">
        <v>23</v>
      </c>
      <c r="R104">
        <v>70.8</v>
      </c>
      <c r="S104">
        <v>150</v>
      </c>
      <c r="T104">
        <v>1</v>
      </c>
      <c r="U104" t="str" cm="1">
        <f t="array" ref="U104">_xlfn.IFS(smart_dataset[[#This Row],[Waiting_Time]]&lt;=20,"Low",smart_dataset[[#This Row],[Waiting_Time]]&lt;=40,"Medium",TRUE,"High")</f>
        <v>High</v>
      </c>
      <c r="V104" t="str" cm="1">
        <f t="array" ref="V104">_xlfn.IFS(smart_dataset[[#This Row],[Temperature]]&lt;=20,"Cold",smart_dataset[[#This Row],[Temperature]]&lt;=28,"Normal",TRUE,"Hot")</f>
        <v>Normal</v>
      </c>
      <c r="W104" t="str" cm="1">
        <f t="array" ref="W104">_xlfn.IFS(smart_dataset[[#This Row],[Asset_Utilization]]&lt;=75,"Low",smart_dataset[[#This Row],[Asset_Utilization]]&lt;=90,"Medium",TRUE,"High")</f>
        <v>Low</v>
      </c>
    </row>
    <row r="105" spans="1:23" hidden="1" x14ac:dyDescent="0.25">
      <c r="A105" s="1">
        <v>45649.7890162037</v>
      </c>
      <c r="B105" s="1">
        <f>INT(smart_dataset[[#This Row],[Timestamp]])</f>
        <v>45649</v>
      </c>
      <c r="C105" s="1">
        <f>MOD(smart_dataset[[#This Row],[Timestamp]],1)</f>
        <v>0.78901620370015735</v>
      </c>
      <c r="D105" s="1">
        <f>YEAR(smart_dataset[[#This Row],[Date]])</f>
        <v>2024</v>
      </c>
      <c r="E105" s="1">
        <f>MONTH(smart_dataset[[#This Row],[Timestamp]])</f>
        <v>12</v>
      </c>
      <c r="F105" t="s">
        <v>34</v>
      </c>
      <c r="G105">
        <v>-14.6662</v>
      </c>
      <c r="H105">
        <v>-88.367400000000004</v>
      </c>
      <c r="I105">
        <v>168</v>
      </c>
      <c r="J105" t="s">
        <v>21</v>
      </c>
      <c r="K105">
        <v>22.4</v>
      </c>
      <c r="L105">
        <v>57.9</v>
      </c>
      <c r="M105" t="s">
        <v>22</v>
      </c>
      <c r="N105">
        <v>43</v>
      </c>
      <c r="O105">
        <v>377</v>
      </c>
      <c r="P105">
        <v>4</v>
      </c>
      <c r="Q105" t="s">
        <v>31</v>
      </c>
      <c r="R105">
        <v>71.099999999999994</v>
      </c>
      <c r="S105">
        <v>140</v>
      </c>
      <c r="T105">
        <v>1</v>
      </c>
      <c r="U105" t="str" cm="1">
        <f t="array" ref="U105">_xlfn.IFS(smart_dataset[[#This Row],[Waiting_Time]]&lt;=20,"Low",smart_dataset[[#This Row],[Waiting_Time]]&lt;=40,"Medium",TRUE,"High")</f>
        <v>High</v>
      </c>
      <c r="V105" t="str" cm="1">
        <f t="array" ref="V105">_xlfn.IFS(smart_dataset[[#This Row],[Temperature]]&lt;=20,"Cold",smart_dataset[[#This Row],[Temperature]]&lt;=28,"Normal",TRUE,"Hot")</f>
        <v>Normal</v>
      </c>
      <c r="W105" t="str" cm="1">
        <f t="array" ref="W105">_xlfn.IFS(smart_dataset[[#This Row],[Asset_Utilization]]&lt;=75,"Low",smart_dataset[[#This Row],[Asset_Utilization]]&lt;=90,"Medium",TRUE,"High")</f>
        <v>Low</v>
      </c>
    </row>
    <row r="106" spans="1:23" x14ac:dyDescent="0.25">
      <c r="A106" s="1">
        <v>45328.352800925924</v>
      </c>
      <c r="B106" s="1">
        <f>INT(smart_dataset[[#This Row],[Timestamp]])</f>
        <v>45328</v>
      </c>
      <c r="C106" s="7">
        <f>MOD(smart_dataset[[#This Row],[Timestamp]],1)</f>
        <v>0.3528009259243845</v>
      </c>
      <c r="D106">
        <f>YEAR(smart_dataset[[#This Row],[Date]])</f>
        <v>2024</v>
      </c>
      <c r="E106">
        <f>MONTH(smart_dataset[[#This Row],[Timestamp]])</f>
        <v>2</v>
      </c>
      <c r="F106" t="s">
        <v>16</v>
      </c>
      <c r="G106">
        <v>-71.905699999999996</v>
      </c>
      <c r="H106">
        <v>-41.431399999999996</v>
      </c>
      <c r="I106">
        <v>409</v>
      </c>
      <c r="J106" t="s">
        <v>26</v>
      </c>
      <c r="K106">
        <v>18</v>
      </c>
      <c r="L106">
        <v>53.5</v>
      </c>
      <c r="M106" t="s">
        <v>22</v>
      </c>
      <c r="N106">
        <v>47</v>
      </c>
      <c r="O106">
        <v>153</v>
      </c>
      <c r="P106">
        <v>9</v>
      </c>
      <c r="Q106" t="s">
        <v>19</v>
      </c>
      <c r="R106">
        <v>74.099999999999994</v>
      </c>
      <c r="S106">
        <v>117</v>
      </c>
      <c r="T106">
        <v>1</v>
      </c>
      <c r="U106" t="str" cm="1">
        <f t="array" ref="U106">_xlfn.IFS(smart_dataset[[#This Row],[Waiting_Time]]&lt;=20,"Low",smart_dataset[[#This Row],[Waiting_Time]]&lt;=40,"Medium",TRUE,"High")</f>
        <v>High</v>
      </c>
      <c r="V106" t="str" cm="1">
        <f t="array" ref="V106">_xlfn.IFS(smart_dataset[[#This Row],[Temperature]]&lt;=20,"Cold",smart_dataset[[#This Row],[Temperature]]&lt;=28,"Normal",TRUE,"Hot")</f>
        <v>Cold</v>
      </c>
      <c r="W106" t="str" cm="1">
        <f t="array" ref="W106">_xlfn.IFS(smart_dataset[[#This Row],[Asset_Utilization]]&lt;=75,"Low",smart_dataset[[#This Row],[Asset_Utilization]]&lt;=90,"Medium",TRUE,"High")</f>
        <v>Low</v>
      </c>
    </row>
    <row r="107" spans="1:23" hidden="1" x14ac:dyDescent="0.25">
      <c r="A107" s="1">
        <v>45551.422824074078</v>
      </c>
      <c r="B107" s="1">
        <f>INT(smart_dataset[[#This Row],[Timestamp]])</f>
        <v>45551</v>
      </c>
      <c r="C107" s="1">
        <f>MOD(smart_dataset[[#This Row],[Timestamp]],1)</f>
        <v>0.42282407407765277</v>
      </c>
      <c r="D107" s="1">
        <f>YEAR(smart_dataset[[#This Row],[Date]])</f>
        <v>2024</v>
      </c>
      <c r="E107" s="1">
        <f>MONTH(smart_dataset[[#This Row],[Timestamp]])</f>
        <v>9</v>
      </c>
      <c r="F107" t="s">
        <v>30</v>
      </c>
      <c r="G107">
        <v>54.888800000000003</v>
      </c>
      <c r="H107">
        <v>7.4287000000000001</v>
      </c>
      <c r="I107">
        <v>469</v>
      </c>
      <c r="J107" t="s">
        <v>21</v>
      </c>
      <c r="K107">
        <v>20.7</v>
      </c>
      <c r="L107">
        <v>70.400000000000006</v>
      </c>
      <c r="M107" t="s">
        <v>28</v>
      </c>
      <c r="N107">
        <v>31</v>
      </c>
      <c r="O107">
        <v>335</v>
      </c>
      <c r="P107">
        <v>7</v>
      </c>
      <c r="Q107" t="s">
        <v>27</v>
      </c>
      <c r="R107">
        <v>86.1</v>
      </c>
      <c r="S107">
        <v>298</v>
      </c>
      <c r="T107">
        <v>0</v>
      </c>
      <c r="U107" t="str" cm="1">
        <f t="array" ref="U107">_xlfn.IFS(smart_dataset[[#This Row],[Waiting_Time]]&lt;=20,"Low",smart_dataset[[#This Row],[Waiting_Time]]&lt;=40,"Medium",TRUE,"High")</f>
        <v>Medium</v>
      </c>
      <c r="V107" t="str" cm="1">
        <f t="array" ref="V107">_xlfn.IFS(smart_dataset[[#This Row],[Temperature]]&lt;=20,"Cold",smart_dataset[[#This Row],[Temperature]]&lt;=28,"Normal",TRUE,"Hot")</f>
        <v>Normal</v>
      </c>
      <c r="W107" t="str" cm="1">
        <f t="array" ref="W107">_xlfn.IFS(smart_dataset[[#This Row],[Asset_Utilization]]&lt;=75,"Low",smart_dataset[[#This Row],[Asset_Utilization]]&lt;=90,"Medium",TRUE,"High")</f>
        <v>Medium</v>
      </c>
    </row>
    <row r="108" spans="1:23" hidden="1" x14ac:dyDescent="0.25">
      <c r="A108" s="1">
        <v>45317.539236111108</v>
      </c>
      <c r="B108" s="1">
        <f>INT(smart_dataset[[#This Row],[Timestamp]])</f>
        <v>45317</v>
      </c>
      <c r="C108" s="1">
        <f>MOD(smart_dataset[[#This Row],[Timestamp]],1)</f>
        <v>0.53923611110803904</v>
      </c>
      <c r="D108" s="1">
        <f>YEAR(smart_dataset[[#This Row],[Date]])</f>
        <v>2024</v>
      </c>
      <c r="E108" s="1">
        <f>MONTH(smart_dataset[[#This Row],[Timestamp]])</f>
        <v>1</v>
      </c>
      <c r="F108" t="s">
        <v>34</v>
      </c>
      <c r="G108">
        <v>-89.791499999999999</v>
      </c>
      <c r="H108">
        <v>85.803600000000003</v>
      </c>
      <c r="I108">
        <v>305</v>
      </c>
      <c r="J108" t="s">
        <v>21</v>
      </c>
      <c r="K108">
        <v>20.5</v>
      </c>
      <c r="L108">
        <v>71.2</v>
      </c>
      <c r="M108" t="s">
        <v>18</v>
      </c>
      <c r="N108">
        <v>44</v>
      </c>
      <c r="O108">
        <v>302</v>
      </c>
      <c r="P108">
        <v>10</v>
      </c>
      <c r="Q108" t="s">
        <v>23</v>
      </c>
      <c r="R108">
        <v>71.900000000000006</v>
      </c>
      <c r="S108">
        <v>141</v>
      </c>
      <c r="T108">
        <v>0</v>
      </c>
      <c r="U108" t="str" cm="1">
        <f t="array" ref="U108">_xlfn.IFS(smart_dataset[[#This Row],[Waiting_Time]]&lt;=20,"Low",smart_dataset[[#This Row],[Waiting_Time]]&lt;=40,"Medium",TRUE,"High")</f>
        <v>High</v>
      </c>
      <c r="V108" t="str" cm="1">
        <f t="array" ref="V108">_xlfn.IFS(smart_dataset[[#This Row],[Temperature]]&lt;=20,"Cold",smart_dataset[[#This Row],[Temperature]]&lt;=28,"Normal",TRUE,"Hot")</f>
        <v>Normal</v>
      </c>
      <c r="W108" t="str" cm="1">
        <f t="array" ref="W108">_xlfn.IFS(smart_dataset[[#This Row],[Asset_Utilization]]&lt;=75,"Low",smart_dataset[[#This Row],[Asset_Utilization]]&lt;=90,"Medium",TRUE,"High")</f>
        <v>Low</v>
      </c>
    </row>
    <row r="109" spans="1:23" x14ac:dyDescent="0.25">
      <c r="A109" s="1">
        <v>45625.273981481485</v>
      </c>
      <c r="B109" s="1">
        <f>INT(smart_dataset[[#This Row],[Timestamp]])</f>
        <v>45625</v>
      </c>
      <c r="C109" s="7">
        <f>MOD(smart_dataset[[#This Row],[Timestamp]],1)</f>
        <v>0.27398148148495238</v>
      </c>
      <c r="D109">
        <f>YEAR(smart_dataset[[#This Row],[Date]])</f>
        <v>2024</v>
      </c>
      <c r="E109">
        <f>MONTH(smart_dataset[[#This Row],[Timestamp]])</f>
        <v>11</v>
      </c>
      <c r="F109" t="s">
        <v>34</v>
      </c>
      <c r="G109">
        <v>39.908799999999999</v>
      </c>
      <c r="H109">
        <v>71.959500000000006</v>
      </c>
      <c r="I109">
        <v>219</v>
      </c>
      <c r="J109" t="s">
        <v>17</v>
      </c>
      <c r="K109">
        <v>26.6</v>
      </c>
      <c r="L109">
        <v>79.8</v>
      </c>
      <c r="M109" t="s">
        <v>22</v>
      </c>
      <c r="N109">
        <v>46</v>
      </c>
      <c r="O109">
        <v>245</v>
      </c>
      <c r="P109">
        <v>1</v>
      </c>
      <c r="Q109" t="s">
        <v>19</v>
      </c>
      <c r="R109">
        <v>70.5</v>
      </c>
      <c r="S109">
        <v>202</v>
      </c>
      <c r="T109">
        <v>1</v>
      </c>
      <c r="U109" t="str" cm="1">
        <f t="array" ref="U109">_xlfn.IFS(smart_dataset[[#This Row],[Waiting_Time]]&lt;=20,"Low",smart_dataset[[#This Row],[Waiting_Time]]&lt;=40,"Medium",TRUE,"High")</f>
        <v>High</v>
      </c>
      <c r="V109" t="str" cm="1">
        <f t="array" ref="V109">_xlfn.IFS(smart_dataset[[#This Row],[Temperature]]&lt;=20,"Cold",smart_dataset[[#This Row],[Temperature]]&lt;=28,"Normal",TRUE,"Hot")</f>
        <v>Normal</v>
      </c>
      <c r="W109" t="str" cm="1">
        <f t="array" ref="W109">_xlfn.IFS(smart_dataset[[#This Row],[Asset_Utilization]]&lt;=75,"Low",smart_dataset[[#This Row],[Asset_Utilization]]&lt;=90,"Medium",TRUE,"High")</f>
        <v>Low</v>
      </c>
    </row>
    <row r="110" spans="1:23" hidden="1" x14ac:dyDescent="0.25">
      <c r="A110" s="1">
        <v>45445.803344907406</v>
      </c>
      <c r="B110" s="1">
        <f>INT(smart_dataset[[#This Row],[Timestamp]])</f>
        <v>45445</v>
      </c>
      <c r="C110" s="1">
        <f>MOD(smart_dataset[[#This Row],[Timestamp]],1)</f>
        <v>0.8033449074064265</v>
      </c>
      <c r="D110" s="1">
        <f>YEAR(smart_dataset[[#This Row],[Date]])</f>
        <v>2024</v>
      </c>
      <c r="E110" s="1">
        <f>MONTH(smart_dataset[[#This Row],[Timestamp]])</f>
        <v>6</v>
      </c>
      <c r="F110" t="s">
        <v>32</v>
      </c>
      <c r="G110">
        <v>30.7119</v>
      </c>
      <c r="H110">
        <v>111.5767</v>
      </c>
      <c r="I110">
        <v>167</v>
      </c>
      <c r="J110" t="s">
        <v>17</v>
      </c>
      <c r="K110">
        <v>23.8</v>
      </c>
      <c r="L110">
        <v>71.599999999999994</v>
      </c>
      <c r="M110" t="s">
        <v>28</v>
      </c>
      <c r="N110">
        <v>55</v>
      </c>
      <c r="O110">
        <v>416</v>
      </c>
      <c r="P110">
        <v>8</v>
      </c>
      <c r="Q110" t="s">
        <v>27</v>
      </c>
      <c r="R110">
        <v>60.7</v>
      </c>
      <c r="S110">
        <v>263</v>
      </c>
      <c r="T110">
        <v>1</v>
      </c>
      <c r="U110" t="str" cm="1">
        <f t="array" ref="U110">_xlfn.IFS(smart_dataset[[#This Row],[Waiting_Time]]&lt;=20,"Low",smart_dataset[[#This Row],[Waiting_Time]]&lt;=40,"Medium",TRUE,"High")</f>
        <v>High</v>
      </c>
      <c r="V110" t="str" cm="1">
        <f t="array" ref="V110">_xlfn.IFS(smart_dataset[[#This Row],[Temperature]]&lt;=20,"Cold",smart_dataset[[#This Row],[Temperature]]&lt;=28,"Normal",TRUE,"Hot")</f>
        <v>Normal</v>
      </c>
      <c r="W110" t="str" cm="1">
        <f t="array" ref="W110">_xlfn.IFS(smart_dataset[[#This Row],[Asset_Utilization]]&lt;=75,"Low",smart_dataset[[#This Row],[Asset_Utilization]]&lt;=90,"Medium",TRUE,"High")</f>
        <v>Low</v>
      </c>
    </row>
    <row r="111" spans="1:23" x14ac:dyDescent="0.25">
      <c r="A111" s="1">
        <v>45330.421805555554</v>
      </c>
      <c r="B111" s="1">
        <f>INT(smart_dataset[[#This Row],[Timestamp]])</f>
        <v>45330</v>
      </c>
      <c r="C111" s="7">
        <f>MOD(smart_dataset[[#This Row],[Timestamp]],1)</f>
        <v>0.421805555553874</v>
      </c>
      <c r="D111">
        <f>YEAR(smart_dataset[[#This Row],[Date]])</f>
        <v>2024</v>
      </c>
      <c r="E111">
        <f>MONTH(smart_dataset[[#This Row],[Timestamp]])</f>
        <v>2</v>
      </c>
      <c r="F111" t="s">
        <v>29</v>
      </c>
      <c r="G111">
        <v>5.7076000000000002</v>
      </c>
      <c r="H111">
        <v>-79.925600000000003</v>
      </c>
      <c r="I111">
        <v>100</v>
      </c>
      <c r="J111" t="s">
        <v>17</v>
      </c>
      <c r="K111">
        <v>24.1</v>
      </c>
      <c r="L111">
        <v>50.9</v>
      </c>
      <c r="M111" t="s">
        <v>18</v>
      </c>
      <c r="N111">
        <v>39</v>
      </c>
      <c r="O111">
        <v>340</v>
      </c>
      <c r="P111">
        <v>4</v>
      </c>
      <c r="Q111" t="s">
        <v>19</v>
      </c>
      <c r="R111">
        <v>96.9</v>
      </c>
      <c r="S111">
        <v>274</v>
      </c>
      <c r="T111">
        <v>1</v>
      </c>
      <c r="U111" t="str" cm="1">
        <f t="array" ref="U111">_xlfn.IFS(smart_dataset[[#This Row],[Waiting_Time]]&lt;=20,"Low",smart_dataset[[#This Row],[Waiting_Time]]&lt;=40,"Medium",TRUE,"High")</f>
        <v>Medium</v>
      </c>
      <c r="V111" t="str" cm="1">
        <f t="array" ref="V111">_xlfn.IFS(smart_dataset[[#This Row],[Temperature]]&lt;=20,"Cold",smart_dataset[[#This Row],[Temperature]]&lt;=28,"Normal",TRUE,"Hot")</f>
        <v>Normal</v>
      </c>
      <c r="W111" t="str" cm="1">
        <f t="array" ref="W111">_xlfn.IFS(smart_dataset[[#This Row],[Asset_Utilization]]&lt;=75,"Low",smart_dataset[[#This Row],[Asset_Utilization]]&lt;=90,"Medium",TRUE,"High")</f>
        <v>High</v>
      </c>
    </row>
    <row r="112" spans="1:23" hidden="1" x14ac:dyDescent="0.25">
      <c r="A112" s="1">
        <v>45521.295312499999</v>
      </c>
      <c r="B112" s="1">
        <f>INT(smart_dataset[[#This Row],[Timestamp]])</f>
        <v>45521</v>
      </c>
      <c r="C112" s="1">
        <f>MOD(smart_dataset[[#This Row],[Timestamp]],1)</f>
        <v>0.29531249999854481</v>
      </c>
      <c r="D112" s="1">
        <f>YEAR(smart_dataset[[#This Row],[Date]])</f>
        <v>2024</v>
      </c>
      <c r="E112" s="1">
        <f>MONTH(smart_dataset[[#This Row],[Timestamp]])</f>
        <v>8</v>
      </c>
      <c r="F112" t="s">
        <v>25</v>
      </c>
      <c r="G112">
        <v>69.050899999999999</v>
      </c>
      <c r="H112">
        <v>91.847999999999999</v>
      </c>
      <c r="I112">
        <v>321</v>
      </c>
      <c r="J112" t="s">
        <v>21</v>
      </c>
      <c r="K112">
        <v>25.4</v>
      </c>
      <c r="L112">
        <v>53.8</v>
      </c>
      <c r="M112" t="s">
        <v>28</v>
      </c>
      <c r="N112">
        <v>24</v>
      </c>
      <c r="O112">
        <v>340</v>
      </c>
      <c r="P112">
        <v>5</v>
      </c>
      <c r="Q112" t="s">
        <v>27</v>
      </c>
      <c r="R112">
        <v>84.6</v>
      </c>
      <c r="S112">
        <v>223</v>
      </c>
      <c r="T112">
        <v>0</v>
      </c>
      <c r="U112" t="str" cm="1">
        <f t="array" ref="U112">_xlfn.IFS(smart_dataset[[#This Row],[Waiting_Time]]&lt;=20,"Low",smart_dataset[[#This Row],[Waiting_Time]]&lt;=40,"Medium",TRUE,"High")</f>
        <v>Medium</v>
      </c>
      <c r="V112" t="str" cm="1">
        <f t="array" ref="V112">_xlfn.IFS(smart_dataset[[#This Row],[Temperature]]&lt;=20,"Cold",smart_dataset[[#This Row],[Temperature]]&lt;=28,"Normal",TRUE,"Hot")</f>
        <v>Normal</v>
      </c>
      <c r="W112" t="str" cm="1">
        <f t="array" ref="W112">_xlfn.IFS(smart_dataset[[#This Row],[Asset_Utilization]]&lt;=75,"Low",smart_dataset[[#This Row],[Asset_Utilization]]&lt;=90,"Medium",TRUE,"High")</f>
        <v>Medium</v>
      </c>
    </row>
    <row r="113" spans="1:23" hidden="1" x14ac:dyDescent="0.25">
      <c r="A113" s="1">
        <v>45318.173043981478</v>
      </c>
      <c r="B113" s="1">
        <f>INT(smart_dataset[[#This Row],[Timestamp]])</f>
        <v>45318</v>
      </c>
      <c r="C113" s="1">
        <f>MOD(smart_dataset[[#This Row],[Timestamp]],1)</f>
        <v>0.1730439814782585</v>
      </c>
      <c r="D113" s="1">
        <f>YEAR(smart_dataset[[#This Row],[Date]])</f>
        <v>2024</v>
      </c>
      <c r="E113" s="1">
        <f>MONTH(smart_dataset[[#This Row],[Timestamp]])</f>
        <v>1</v>
      </c>
      <c r="F113" t="s">
        <v>16</v>
      </c>
      <c r="G113">
        <v>52.782800000000002</v>
      </c>
      <c r="H113">
        <v>176.06710000000001</v>
      </c>
      <c r="I113">
        <v>244</v>
      </c>
      <c r="J113" t="s">
        <v>26</v>
      </c>
      <c r="K113">
        <v>23.6</v>
      </c>
      <c r="L113">
        <v>64.900000000000006</v>
      </c>
      <c r="M113" t="s">
        <v>28</v>
      </c>
      <c r="N113">
        <v>24</v>
      </c>
      <c r="O113">
        <v>145</v>
      </c>
      <c r="P113">
        <v>4</v>
      </c>
      <c r="Q113" t="s">
        <v>31</v>
      </c>
      <c r="R113">
        <v>67.599999999999994</v>
      </c>
      <c r="S113">
        <v>285</v>
      </c>
      <c r="T113">
        <v>0</v>
      </c>
      <c r="U113" t="str" cm="1">
        <f t="array" ref="U113">_xlfn.IFS(smart_dataset[[#This Row],[Waiting_Time]]&lt;=20,"Low",smart_dataset[[#This Row],[Waiting_Time]]&lt;=40,"Medium",TRUE,"High")</f>
        <v>Medium</v>
      </c>
      <c r="V113" t="str" cm="1">
        <f t="array" ref="V113">_xlfn.IFS(smart_dataset[[#This Row],[Temperature]]&lt;=20,"Cold",smart_dataset[[#This Row],[Temperature]]&lt;=28,"Normal",TRUE,"Hot")</f>
        <v>Normal</v>
      </c>
      <c r="W113" t="str" cm="1">
        <f t="array" ref="W113">_xlfn.IFS(smart_dataset[[#This Row],[Asset_Utilization]]&lt;=75,"Low",smart_dataset[[#This Row],[Asset_Utilization]]&lt;=90,"Medium",TRUE,"High")</f>
        <v>Low</v>
      </c>
    </row>
    <row r="114" spans="1:23" x14ac:dyDescent="0.25">
      <c r="A114" s="1">
        <v>45639.038321759261</v>
      </c>
      <c r="B114" s="1">
        <f>INT(smart_dataset[[#This Row],[Timestamp]])</f>
        <v>45639</v>
      </c>
      <c r="C114" s="7">
        <f>MOD(smart_dataset[[#This Row],[Timestamp]],1)</f>
        <v>3.832175926072523E-2</v>
      </c>
      <c r="D114">
        <f>YEAR(smart_dataset[[#This Row],[Date]])</f>
        <v>2024</v>
      </c>
      <c r="E114">
        <f>MONTH(smart_dataset[[#This Row],[Timestamp]])</f>
        <v>12</v>
      </c>
      <c r="F114" t="s">
        <v>25</v>
      </c>
      <c r="G114">
        <v>42.966999999999999</v>
      </c>
      <c r="H114">
        <v>146.13579999999999</v>
      </c>
      <c r="I114">
        <v>281</v>
      </c>
      <c r="J114" t="s">
        <v>26</v>
      </c>
      <c r="K114">
        <v>18.399999999999999</v>
      </c>
      <c r="L114">
        <v>74.599999999999994</v>
      </c>
      <c r="M114" t="s">
        <v>18</v>
      </c>
      <c r="N114">
        <v>41</v>
      </c>
      <c r="O114">
        <v>419</v>
      </c>
      <c r="P114">
        <v>6</v>
      </c>
      <c r="Q114" t="s">
        <v>19</v>
      </c>
      <c r="R114">
        <v>69.099999999999994</v>
      </c>
      <c r="S114">
        <v>242</v>
      </c>
      <c r="T114">
        <v>0</v>
      </c>
      <c r="U114" t="str" cm="1">
        <f t="array" ref="U114">_xlfn.IFS(smart_dataset[[#This Row],[Waiting_Time]]&lt;=20,"Low",smart_dataset[[#This Row],[Waiting_Time]]&lt;=40,"Medium",TRUE,"High")</f>
        <v>High</v>
      </c>
      <c r="V114" t="str" cm="1">
        <f t="array" ref="V114">_xlfn.IFS(smart_dataset[[#This Row],[Temperature]]&lt;=20,"Cold",smart_dataset[[#This Row],[Temperature]]&lt;=28,"Normal",TRUE,"Hot")</f>
        <v>Cold</v>
      </c>
      <c r="W114" t="str" cm="1">
        <f t="array" ref="W114">_xlfn.IFS(smart_dataset[[#This Row],[Asset_Utilization]]&lt;=75,"Low",smart_dataset[[#This Row],[Asset_Utilization]]&lt;=90,"Medium",TRUE,"High")</f>
        <v>Low</v>
      </c>
    </row>
    <row r="115" spans="1:23" hidden="1" x14ac:dyDescent="0.25">
      <c r="A115" s="1">
        <v>45591.913437499999</v>
      </c>
      <c r="B115" s="1">
        <f>INT(smart_dataset[[#This Row],[Timestamp]])</f>
        <v>45591</v>
      </c>
      <c r="C115" s="1">
        <f>MOD(smart_dataset[[#This Row],[Timestamp]],1)</f>
        <v>0.91343749999941792</v>
      </c>
      <c r="D115" s="1">
        <f>YEAR(smart_dataset[[#This Row],[Date]])</f>
        <v>2024</v>
      </c>
      <c r="E115" s="1">
        <f>MONTH(smart_dataset[[#This Row],[Timestamp]])</f>
        <v>10</v>
      </c>
      <c r="F115" t="s">
        <v>16</v>
      </c>
      <c r="G115">
        <v>-11.994300000000001</v>
      </c>
      <c r="H115">
        <v>-126.87430000000001</v>
      </c>
      <c r="I115">
        <v>301</v>
      </c>
      <c r="J115" t="s">
        <v>26</v>
      </c>
      <c r="K115">
        <v>18.3</v>
      </c>
      <c r="L115">
        <v>60</v>
      </c>
      <c r="M115" t="s">
        <v>18</v>
      </c>
      <c r="N115">
        <v>42</v>
      </c>
      <c r="O115">
        <v>243</v>
      </c>
      <c r="P115">
        <v>3</v>
      </c>
      <c r="Q115" t="s">
        <v>31</v>
      </c>
      <c r="R115">
        <v>99</v>
      </c>
      <c r="S115">
        <v>273</v>
      </c>
      <c r="T115">
        <v>0</v>
      </c>
      <c r="U115" t="str" cm="1">
        <f t="array" ref="U115">_xlfn.IFS(smart_dataset[[#This Row],[Waiting_Time]]&lt;=20,"Low",smart_dataset[[#This Row],[Waiting_Time]]&lt;=40,"Medium",TRUE,"High")</f>
        <v>High</v>
      </c>
      <c r="V115" t="str" cm="1">
        <f t="array" ref="V115">_xlfn.IFS(smart_dataset[[#This Row],[Temperature]]&lt;=20,"Cold",smart_dataset[[#This Row],[Temperature]]&lt;=28,"Normal",TRUE,"Hot")</f>
        <v>Cold</v>
      </c>
      <c r="W115" t="str" cm="1">
        <f t="array" ref="W115">_xlfn.IFS(smart_dataset[[#This Row],[Asset_Utilization]]&lt;=75,"Low",smart_dataset[[#This Row],[Asset_Utilization]]&lt;=90,"Medium",TRUE,"High")</f>
        <v>High</v>
      </c>
    </row>
    <row r="116" spans="1:23" x14ac:dyDescent="0.25">
      <c r="A116" s="1">
        <v>45370.238078703704</v>
      </c>
      <c r="B116" s="1">
        <f>INT(smart_dataset[[#This Row],[Timestamp]])</f>
        <v>45370</v>
      </c>
      <c r="C116" s="7">
        <f>MOD(smart_dataset[[#This Row],[Timestamp]],1)</f>
        <v>0.23807870370364981</v>
      </c>
      <c r="D116">
        <f>YEAR(smart_dataset[[#This Row],[Date]])</f>
        <v>2024</v>
      </c>
      <c r="E116">
        <f>MONTH(smart_dataset[[#This Row],[Timestamp]])</f>
        <v>3</v>
      </c>
      <c r="F116" t="s">
        <v>32</v>
      </c>
      <c r="G116">
        <v>60.590299999999999</v>
      </c>
      <c r="H116">
        <v>-90.041499999999999</v>
      </c>
      <c r="I116">
        <v>437</v>
      </c>
      <c r="J116" t="s">
        <v>21</v>
      </c>
      <c r="K116">
        <v>25.5</v>
      </c>
      <c r="L116">
        <v>73.2</v>
      </c>
      <c r="M116" t="s">
        <v>28</v>
      </c>
      <c r="N116">
        <v>59</v>
      </c>
      <c r="O116">
        <v>310</v>
      </c>
      <c r="P116">
        <v>2</v>
      </c>
      <c r="Q116" t="s">
        <v>19</v>
      </c>
      <c r="R116">
        <v>83.9</v>
      </c>
      <c r="S116">
        <v>228</v>
      </c>
      <c r="T116">
        <v>0</v>
      </c>
      <c r="U116" t="str" cm="1">
        <f t="array" ref="U116">_xlfn.IFS(smart_dataset[[#This Row],[Waiting_Time]]&lt;=20,"Low",smart_dataset[[#This Row],[Waiting_Time]]&lt;=40,"Medium",TRUE,"High")</f>
        <v>High</v>
      </c>
      <c r="V116" t="str" cm="1">
        <f t="array" ref="V116">_xlfn.IFS(smart_dataset[[#This Row],[Temperature]]&lt;=20,"Cold",smart_dataset[[#This Row],[Temperature]]&lt;=28,"Normal",TRUE,"Hot")</f>
        <v>Normal</v>
      </c>
      <c r="W116" t="str" cm="1">
        <f t="array" ref="W116">_xlfn.IFS(smart_dataset[[#This Row],[Asset_Utilization]]&lt;=75,"Low",smart_dataset[[#This Row],[Asset_Utilization]]&lt;=90,"Medium",TRUE,"High")</f>
        <v>Medium</v>
      </c>
    </row>
    <row r="117" spans="1:23" hidden="1" x14ac:dyDescent="0.25">
      <c r="A117" s="1">
        <v>45588.594039351854</v>
      </c>
      <c r="B117" s="1">
        <f>INT(smart_dataset[[#This Row],[Timestamp]])</f>
        <v>45588</v>
      </c>
      <c r="C117" s="1">
        <f>MOD(smart_dataset[[#This Row],[Timestamp]],1)</f>
        <v>0.59403935185400769</v>
      </c>
      <c r="D117" s="1">
        <f>YEAR(smart_dataset[[#This Row],[Date]])</f>
        <v>2024</v>
      </c>
      <c r="E117" s="1">
        <f>MONTH(smart_dataset[[#This Row],[Timestamp]])</f>
        <v>10</v>
      </c>
      <c r="F117" t="s">
        <v>16</v>
      </c>
      <c r="G117">
        <v>-23.298200000000001</v>
      </c>
      <c r="H117">
        <v>143.86340000000001</v>
      </c>
      <c r="I117">
        <v>253</v>
      </c>
      <c r="J117" t="s">
        <v>21</v>
      </c>
      <c r="K117">
        <v>22.8</v>
      </c>
      <c r="L117">
        <v>78.7</v>
      </c>
      <c r="M117" t="s">
        <v>28</v>
      </c>
      <c r="N117">
        <v>49</v>
      </c>
      <c r="O117">
        <v>180</v>
      </c>
      <c r="P117">
        <v>3</v>
      </c>
      <c r="Q117" t="s">
        <v>23</v>
      </c>
      <c r="R117">
        <v>74</v>
      </c>
      <c r="S117">
        <v>296</v>
      </c>
      <c r="T117">
        <v>0</v>
      </c>
      <c r="U117" t="str" cm="1">
        <f t="array" ref="U117">_xlfn.IFS(smart_dataset[[#This Row],[Waiting_Time]]&lt;=20,"Low",smart_dataset[[#This Row],[Waiting_Time]]&lt;=40,"Medium",TRUE,"High")</f>
        <v>High</v>
      </c>
      <c r="V117" t="str" cm="1">
        <f t="array" ref="V117">_xlfn.IFS(smart_dataset[[#This Row],[Temperature]]&lt;=20,"Cold",smart_dataset[[#This Row],[Temperature]]&lt;=28,"Normal",TRUE,"Hot")</f>
        <v>Normal</v>
      </c>
      <c r="W117" t="str" cm="1">
        <f t="array" ref="W117">_xlfn.IFS(smart_dataset[[#This Row],[Asset_Utilization]]&lt;=75,"Low",smart_dataset[[#This Row],[Asset_Utilization]]&lt;=90,"Medium",TRUE,"High")</f>
        <v>Low</v>
      </c>
    </row>
    <row r="118" spans="1:23" hidden="1" x14ac:dyDescent="0.25">
      <c r="A118" s="1">
        <v>45309.357233796298</v>
      </c>
      <c r="B118" s="1">
        <f>INT(smart_dataset[[#This Row],[Timestamp]])</f>
        <v>45309</v>
      </c>
      <c r="C118" s="1">
        <f>MOD(smart_dataset[[#This Row],[Timestamp]],1)</f>
        <v>0.35723379629780538</v>
      </c>
      <c r="D118" s="1">
        <f>YEAR(smart_dataset[[#This Row],[Date]])</f>
        <v>2024</v>
      </c>
      <c r="E118" s="1">
        <f>MONTH(smart_dataset[[#This Row],[Timestamp]])</f>
        <v>1</v>
      </c>
      <c r="F118" t="s">
        <v>30</v>
      </c>
      <c r="G118">
        <v>-34.218899999999998</v>
      </c>
      <c r="H118">
        <v>-36.628799999999998</v>
      </c>
      <c r="I118">
        <v>491</v>
      </c>
      <c r="J118" t="s">
        <v>26</v>
      </c>
      <c r="K118">
        <v>25.5</v>
      </c>
      <c r="L118">
        <v>50.3</v>
      </c>
      <c r="M118" t="s">
        <v>22</v>
      </c>
      <c r="N118">
        <v>18</v>
      </c>
      <c r="O118">
        <v>111</v>
      </c>
      <c r="P118">
        <v>1</v>
      </c>
      <c r="Q118" t="s">
        <v>23</v>
      </c>
      <c r="R118">
        <v>97.1</v>
      </c>
      <c r="S118">
        <v>100</v>
      </c>
      <c r="T118">
        <v>1</v>
      </c>
      <c r="U118" t="str" cm="1">
        <f t="array" ref="U118">_xlfn.IFS(smart_dataset[[#This Row],[Waiting_Time]]&lt;=20,"Low",smart_dataset[[#This Row],[Waiting_Time]]&lt;=40,"Medium",TRUE,"High")</f>
        <v>Low</v>
      </c>
      <c r="V118" t="str" cm="1">
        <f t="array" ref="V118">_xlfn.IFS(smart_dataset[[#This Row],[Temperature]]&lt;=20,"Cold",smart_dataset[[#This Row],[Temperature]]&lt;=28,"Normal",TRUE,"Hot")</f>
        <v>Normal</v>
      </c>
      <c r="W118" t="str" cm="1">
        <f t="array" ref="W118">_xlfn.IFS(smart_dataset[[#This Row],[Asset_Utilization]]&lt;=75,"Low",smart_dataset[[#This Row],[Asset_Utilization]]&lt;=90,"Medium",TRUE,"High")</f>
        <v>High</v>
      </c>
    </row>
    <row r="119" spans="1:23" hidden="1" x14ac:dyDescent="0.25">
      <c r="A119" s="1">
        <v>45611.487951388888</v>
      </c>
      <c r="B119" s="1">
        <f>INT(smart_dataset[[#This Row],[Timestamp]])</f>
        <v>45611</v>
      </c>
      <c r="C119" s="1">
        <f>MOD(smart_dataset[[#This Row],[Timestamp]],1)</f>
        <v>0.48795138888817746</v>
      </c>
      <c r="D119" s="1">
        <f>YEAR(smart_dataset[[#This Row],[Date]])</f>
        <v>2024</v>
      </c>
      <c r="E119" s="1">
        <f>MONTH(smart_dataset[[#This Row],[Timestamp]])</f>
        <v>11</v>
      </c>
      <c r="F119" t="s">
        <v>33</v>
      </c>
      <c r="G119">
        <v>19.545000000000002</v>
      </c>
      <c r="H119">
        <v>73.096800000000002</v>
      </c>
      <c r="I119">
        <v>172</v>
      </c>
      <c r="J119" t="s">
        <v>17</v>
      </c>
      <c r="K119">
        <v>22.8</v>
      </c>
      <c r="L119">
        <v>60.4</v>
      </c>
      <c r="M119" t="s">
        <v>18</v>
      </c>
      <c r="N119">
        <v>38</v>
      </c>
      <c r="O119">
        <v>187</v>
      </c>
      <c r="P119">
        <v>9</v>
      </c>
      <c r="Q119" t="s">
        <v>23</v>
      </c>
      <c r="R119">
        <v>83.3</v>
      </c>
      <c r="S119">
        <v>106</v>
      </c>
      <c r="T119">
        <v>1</v>
      </c>
      <c r="U119" t="str" cm="1">
        <f t="array" ref="U119">_xlfn.IFS(smart_dataset[[#This Row],[Waiting_Time]]&lt;=20,"Low",smart_dataset[[#This Row],[Waiting_Time]]&lt;=40,"Medium",TRUE,"High")</f>
        <v>Medium</v>
      </c>
      <c r="V119" t="str" cm="1">
        <f t="array" ref="V119">_xlfn.IFS(smart_dataset[[#This Row],[Temperature]]&lt;=20,"Cold",smart_dataset[[#This Row],[Temperature]]&lt;=28,"Normal",TRUE,"Hot")</f>
        <v>Normal</v>
      </c>
      <c r="W119" t="str" cm="1">
        <f t="array" ref="W119">_xlfn.IFS(smart_dataset[[#This Row],[Asset_Utilization]]&lt;=75,"Low",smart_dataset[[#This Row],[Asset_Utilization]]&lt;=90,"Medium",TRUE,"High")</f>
        <v>Medium</v>
      </c>
    </row>
    <row r="120" spans="1:23" hidden="1" x14ac:dyDescent="0.25">
      <c r="A120" s="1">
        <v>45474.692974537036</v>
      </c>
      <c r="B120" s="1">
        <f>INT(smart_dataset[[#This Row],[Timestamp]])</f>
        <v>45474</v>
      </c>
      <c r="C120" s="1">
        <f>MOD(smart_dataset[[#This Row],[Timestamp]],1)</f>
        <v>0.69297453703620704</v>
      </c>
      <c r="D120" s="1">
        <f>YEAR(smart_dataset[[#This Row],[Date]])</f>
        <v>2024</v>
      </c>
      <c r="E120" s="1">
        <f>MONTH(smart_dataset[[#This Row],[Timestamp]])</f>
        <v>7</v>
      </c>
      <c r="F120" t="s">
        <v>16</v>
      </c>
      <c r="G120">
        <v>33.335099999999997</v>
      </c>
      <c r="H120">
        <v>-103.926</v>
      </c>
      <c r="I120">
        <v>252</v>
      </c>
      <c r="J120" t="s">
        <v>17</v>
      </c>
      <c r="K120">
        <v>24.4</v>
      </c>
      <c r="L120">
        <v>72.3</v>
      </c>
      <c r="M120" t="s">
        <v>18</v>
      </c>
      <c r="N120">
        <v>54</v>
      </c>
      <c r="O120">
        <v>156</v>
      </c>
      <c r="P120">
        <v>6</v>
      </c>
      <c r="Q120" t="s">
        <v>31</v>
      </c>
      <c r="R120">
        <v>86.8</v>
      </c>
      <c r="S120">
        <v>225</v>
      </c>
      <c r="T120">
        <v>1</v>
      </c>
      <c r="U120" t="str" cm="1">
        <f t="array" ref="U120">_xlfn.IFS(smart_dataset[[#This Row],[Waiting_Time]]&lt;=20,"Low",smart_dataset[[#This Row],[Waiting_Time]]&lt;=40,"Medium",TRUE,"High")</f>
        <v>High</v>
      </c>
      <c r="V120" t="str" cm="1">
        <f t="array" ref="V120">_xlfn.IFS(smart_dataset[[#This Row],[Temperature]]&lt;=20,"Cold",smart_dataset[[#This Row],[Temperature]]&lt;=28,"Normal",TRUE,"Hot")</f>
        <v>Normal</v>
      </c>
      <c r="W120" t="str" cm="1">
        <f t="array" ref="W120">_xlfn.IFS(smart_dataset[[#This Row],[Asset_Utilization]]&lt;=75,"Low",smart_dataset[[#This Row],[Asset_Utilization]]&lt;=90,"Medium",TRUE,"High")</f>
        <v>Medium</v>
      </c>
    </row>
    <row r="121" spans="1:23" hidden="1" x14ac:dyDescent="0.25">
      <c r="A121" s="1">
        <v>45454.336215277777</v>
      </c>
      <c r="B121" s="1">
        <f>INT(smart_dataset[[#This Row],[Timestamp]])</f>
        <v>45454</v>
      </c>
      <c r="C121" s="1">
        <f>MOD(smart_dataset[[#This Row],[Timestamp]],1)</f>
        <v>0.33621527777722804</v>
      </c>
      <c r="D121" s="1">
        <f>YEAR(smart_dataset[[#This Row],[Date]])</f>
        <v>2024</v>
      </c>
      <c r="E121" s="1">
        <f>MONTH(smart_dataset[[#This Row],[Timestamp]])</f>
        <v>6</v>
      </c>
      <c r="F121" t="s">
        <v>29</v>
      </c>
      <c r="G121">
        <v>-63.206400000000002</v>
      </c>
      <c r="H121">
        <v>30.081800000000001</v>
      </c>
      <c r="I121">
        <v>118</v>
      </c>
      <c r="J121" t="s">
        <v>17</v>
      </c>
      <c r="K121">
        <v>21.8</v>
      </c>
      <c r="L121">
        <v>52.1</v>
      </c>
      <c r="M121" t="s">
        <v>28</v>
      </c>
      <c r="N121">
        <v>19</v>
      </c>
      <c r="O121">
        <v>421</v>
      </c>
      <c r="P121">
        <v>8</v>
      </c>
      <c r="Q121" t="s">
        <v>31</v>
      </c>
      <c r="R121">
        <v>99.1</v>
      </c>
      <c r="S121">
        <v>284</v>
      </c>
      <c r="T121">
        <v>1</v>
      </c>
      <c r="U121" t="str" cm="1">
        <f t="array" ref="U121">_xlfn.IFS(smart_dataset[[#This Row],[Waiting_Time]]&lt;=20,"Low",smart_dataset[[#This Row],[Waiting_Time]]&lt;=40,"Medium",TRUE,"High")</f>
        <v>Low</v>
      </c>
      <c r="V121" t="str" cm="1">
        <f t="array" ref="V121">_xlfn.IFS(smart_dataset[[#This Row],[Temperature]]&lt;=20,"Cold",smart_dataset[[#This Row],[Temperature]]&lt;=28,"Normal",TRUE,"Hot")</f>
        <v>Normal</v>
      </c>
      <c r="W121" t="str" cm="1">
        <f t="array" ref="W121">_xlfn.IFS(smart_dataset[[#This Row],[Asset_Utilization]]&lt;=75,"Low",smart_dataset[[#This Row],[Asset_Utilization]]&lt;=90,"Medium",TRUE,"High")</f>
        <v>High</v>
      </c>
    </row>
    <row r="122" spans="1:23" hidden="1" x14ac:dyDescent="0.25">
      <c r="A122" s="1">
        <v>45476.631064814814</v>
      </c>
      <c r="B122" s="1">
        <f>INT(smart_dataset[[#This Row],[Timestamp]])</f>
        <v>45476</v>
      </c>
      <c r="C122" s="1">
        <f>MOD(smart_dataset[[#This Row],[Timestamp]],1)</f>
        <v>0.63106481481372612</v>
      </c>
      <c r="D122" s="1">
        <f>YEAR(smart_dataset[[#This Row],[Date]])</f>
        <v>2024</v>
      </c>
      <c r="E122" s="1">
        <f>MONTH(smart_dataset[[#This Row],[Timestamp]])</f>
        <v>7</v>
      </c>
      <c r="F122" t="s">
        <v>29</v>
      </c>
      <c r="G122">
        <v>83.285799999999995</v>
      </c>
      <c r="H122">
        <v>-66.106899999999996</v>
      </c>
      <c r="I122">
        <v>179</v>
      </c>
      <c r="J122" t="s">
        <v>17</v>
      </c>
      <c r="K122">
        <v>25</v>
      </c>
      <c r="L122">
        <v>71.099999999999994</v>
      </c>
      <c r="M122" t="s">
        <v>18</v>
      </c>
      <c r="N122">
        <v>60</v>
      </c>
      <c r="O122">
        <v>325</v>
      </c>
      <c r="P122">
        <v>1</v>
      </c>
      <c r="Q122" t="s">
        <v>23</v>
      </c>
      <c r="R122">
        <v>66.8</v>
      </c>
      <c r="S122">
        <v>226</v>
      </c>
      <c r="T122">
        <v>1</v>
      </c>
      <c r="U122" t="str" cm="1">
        <f t="array" ref="U122">_xlfn.IFS(smart_dataset[[#This Row],[Waiting_Time]]&lt;=20,"Low",smart_dataset[[#This Row],[Waiting_Time]]&lt;=40,"Medium",TRUE,"High")</f>
        <v>High</v>
      </c>
      <c r="V122" t="str" cm="1">
        <f t="array" ref="V122">_xlfn.IFS(smart_dataset[[#This Row],[Temperature]]&lt;=20,"Cold",smart_dataset[[#This Row],[Temperature]]&lt;=28,"Normal",TRUE,"Hot")</f>
        <v>Normal</v>
      </c>
      <c r="W122" t="str" cm="1">
        <f t="array" ref="W122">_xlfn.IFS(smart_dataset[[#This Row],[Asset_Utilization]]&lt;=75,"Low",smart_dataset[[#This Row],[Asset_Utilization]]&lt;=90,"Medium",TRUE,"High")</f>
        <v>Low</v>
      </c>
    </row>
    <row r="123" spans="1:23" hidden="1" x14ac:dyDescent="0.25">
      <c r="A123" s="1">
        <v>45327.028819444444</v>
      </c>
      <c r="B123" s="1">
        <f>INT(smart_dataset[[#This Row],[Timestamp]])</f>
        <v>45327</v>
      </c>
      <c r="C123" s="1">
        <f>MOD(smart_dataset[[#This Row],[Timestamp]],1)</f>
        <v>2.8819444443797693E-2</v>
      </c>
      <c r="D123" s="1">
        <f>YEAR(smart_dataset[[#This Row],[Date]])</f>
        <v>2024</v>
      </c>
      <c r="E123" s="1">
        <f>MONTH(smart_dataset[[#This Row],[Timestamp]])</f>
        <v>2</v>
      </c>
      <c r="F123" t="s">
        <v>20</v>
      </c>
      <c r="G123">
        <v>-23.2424</v>
      </c>
      <c r="H123">
        <v>18.6206</v>
      </c>
      <c r="I123">
        <v>119</v>
      </c>
      <c r="J123" t="s">
        <v>26</v>
      </c>
      <c r="K123">
        <v>25.9</v>
      </c>
      <c r="L123">
        <v>77.7</v>
      </c>
      <c r="M123" t="s">
        <v>28</v>
      </c>
      <c r="N123">
        <v>38</v>
      </c>
      <c r="O123">
        <v>189</v>
      </c>
      <c r="P123">
        <v>7</v>
      </c>
      <c r="Q123" t="s">
        <v>23</v>
      </c>
      <c r="R123">
        <v>79.3</v>
      </c>
      <c r="S123">
        <v>149</v>
      </c>
      <c r="T123">
        <v>0</v>
      </c>
      <c r="U123" t="str" cm="1">
        <f t="array" ref="U123">_xlfn.IFS(smart_dataset[[#This Row],[Waiting_Time]]&lt;=20,"Low",smart_dataset[[#This Row],[Waiting_Time]]&lt;=40,"Medium",TRUE,"High")</f>
        <v>Medium</v>
      </c>
      <c r="V123" t="str" cm="1">
        <f t="array" ref="V123">_xlfn.IFS(smart_dataset[[#This Row],[Temperature]]&lt;=20,"Cold",smart_dataset[[#This Row],[Temperature]]&lt;=28,"Normal",TRUE,"Hot")</f>
        <v>Normal</v>
      </c>
      <c r="W123" t="str" cm="1">
        <f t="array" ref="W123">_xlfn.IFS(smart_dataset[[#This Row],[Asset_Utilization]]&lt;=75,"Low",smart_dataset[[#This Row],[Asset_Utilization]]&lt;=90,"Medium",TRUE,"High")</f>
        <v>Medium</v>
      </c>
    </row>
    <row r="124" spans="1:23" x14ac:dyDescent="0.25">
      <c r="A124" s="1">
        <v>45363.162569444445</v>
      </c>
      <c r="B124" s="1">
        <f>INT(smart_dataset[[#This Row],[Timestamp]])</f>
        <v>45363</v>
      </c>
      <c r="C124" s="7">
        <f>MOD(smart_dataset[[#This Row],[Timestamp]],1)</f>
        <v>0.16256944444467081</v>
      </c>
      <c r="D124">
        <f>YEAR(smart_dataset[[#This Row],[Date]])</f>
        <v>2024</v>
      </c>
      <c r="E124">
        <f>MONTH(smart_dataset[[#This Row],[Timestamp]])</f>
        <v>3</v>
      </c>
      <c r="F124" t="s">
        <v>34</v>
      </c>
      <c r="G124">
        <v>-89.079300000000003</v>
      </c>
      <c r="H124">
        <v>130.33619999999999</v>
      </c>
      <c r="I124">
        <v>221</v>
      </c>
      <c r="J124" t="s">
        <v>17</v>
      </c>
      <c r="K124">
        <v>22.8</v>
      </c>
      <c r="L124">
        <v>76.099999999999994</v>
      </c>
      <c r="M124" t="s">
        <v>18</v>
      </c>
      <c r="N124">
        <v>35</v>
      </c>
      <c r="O124">
        <v>233</v>
      </c>
      <c r="P124">
        <v>4</v>
      </c>
      <c r="Q124" t="s">
        <v>19</v>
      </c>
      <c r="R124">
        <v>61.5</v>
      </c>
      <c r="S124">
        <v>281</v>
      </c>
      <c r="T124">
        <v>1</v>
      </c>
      <c r="U124" t="str" cm="1">
        <f t="array" ref="U124">_xlfn.IFS(smart_dataset[[#This Row],[Waiting_Time]]&lt;=20,"Low",smart_dataset[[#This Row],[Waiting_Time]]&lt;=40,"Medium",TRUE,"High")</f>
        <v>Medium</v>
      </c>
      <c r="V124" t="str" cm="1">
        <f t="array" ref="V124">_xlfn.IFS(smart_dataset[[#This Row],[Temperature]]&lt;=20,"Cold",smart_dataset[[#This Row],[Temperature]]&lt;=28,"Normal",TRUE,"Hot")</f>
        <v>Normal</v>
      </c>
      <c r="W124" t="str" cm="1">
        <f t="array" ref="W124">_xlfn.IFS(smart_dataset[[#This Row],[Asset_Utilization]]&lt;=75,"Low",smart_dataset[[#This Row],[Asset_Utilization]]&lt;=90,"Medium",TRUE,"High")</f>
        <v>Low</v>
      </c>
    </row>
    <row r="125" spans="1:23" hidden="1" x14ac:dyDescent="0.25">
      <c r="A125" s="1">
        <v>45613.276689814818</v>
      </c>
      <c r="B125" s="1">
        <f>INT(smart_dataset[[#This Row],[Timestamp]])</f>
        <v>45613</v>
      </c>
      <c r="C125" s="1">
        <f>MOD(smart_dataset[[#This Row],[Timestamp]],1)</f>
        <v>0.27668981481838273</v>
      </c>
      <c r="D125" s="1">
        <f>YEAR(smart_dataset[[#This Row],[Date]])</f>
        <v>2024</v>
      </c>
      <c r="E125" s="1">
        <f>MONTH(smart_dataset[[#This Row],[Timestamp]])</f>
        <v>11</v>
      </c>
      <c r="F125" t="s">
        <v>16</v>
      </c>
      <c r="G125">
        <v>-11.290800000000001</v>
      </c>
      <c r="H125">
        <v>-105.25149999999999</v>
      </c>
      <c r="I125">
        <v>261</v>
      </c>
      <c r="J125" t="s">
        <v>17</v>
      </c>
      <c r="K125">
        <v>24.5</v>
      </c>
      <c r="L125">
        <v>74.2</v>
      </c>
      <c r="M125" t="s">
        <v>18</v>
      </c>
      <c r="N125">
        <v>36</v>
      </c>
      <c r="O125">
        <v>201</v>
      </c>
      <c r="P125">
        <v>10</v>
      </c>
      <c r="Q125" t="s">
        <v>31</v>
      </c>
      <c r="R125">
        <v>67</v>
      </c>
      <c r="S125">
        <v>226</v>
      </c>
      <c r="T125">
        <v>1</v>
      </c>
      <c r="U125" t="str" cm="1">
        <f t="array" ref="U125">_xlfn.IFS(smart_dataset[[#This Row],[Waiting_Time]]&lt;=20,"Low",smart_dataset[[#This Row],[Waiting_Time]]&lt;=40,"Medium",TRUE,"High")</f>
        <v>Medium</v>
      </c>
      <c r="V125" t="str" cm="1">
        <f t="array" ref="V125">_xlfn.IFS(smart_dataset[[#This Row],[Temperature]]&lt;=20,"Cold",smart_dataset[[#This Row],[Temperature]]&lt;=28,"Normal",TRUE,"Hot")</f>
        <v>Normal</v>
      </c>
      <c r="W125" t="str" cm="1">
        <f t="array" ref="W125">_xlfn.IFS(smart_dataset[[#This Row],[Asset_Utilization]]&lt;=75,"Low",smart_dataset[[#This Row],[Asset_Utilization]]&lt;=90,"Medium",TRUE,"High")</f>
        <v>Low</v>
      </c>
    </row>
    <row r="126" spans="1:23" hidden="1" x14ac:dyDescent="0.25">
      <c r="A126" s="1">
        <v>45503.432673611111</v>
      </c>
      <c r="B126" s="1">
        <f>INT(smart_dataset[[#This Row],[Timestamp]])</f>
        <v>45503</v>
      </c>
      <c r="C126" s="1">
        <f>MOD(smart_dataset[[#This Row],[Timestamp]],1)</f>
        <v>0.43267361111065838</v>
      </c>
      <c r="D126" s="1">
        <f>YEAR(smart_dataset[[#This Row],[Date]])</f>
        <v>2024</v>
      </c>
      <c r="E126" s="1">
        <f>MONTH(smart_dataset[[#This Row],[Timestamp]])</f>
        <v>7</v>
      </c>
      <c r="F126" t="s">
        <v>34</v>
      </c>
      <c r="G126">
        <v>0.37730000000000002</v>
      </c>
      <c r="H126">
        <v>-13.6838</v>
      </c>
      <c r="I126">
        <v>226</v>
      </c>
      <c r="J126" t="s">
        <v>26</v>
      </c>
      <c r="K126">
        <v>25.4</v>
      </c>
      <c r="L126">
        <v>73.7</v>
      </c>
      <c r="M126" t="s">
        <v>18</v>
      </c>
      <c r="N126">
        <v>46</v>
      </c>
      <c r="O126">
        <v>138</v>
      </c>
      <c r="P126">
        <v>8</v>
      </c>
      <c r="Q126" t="s">
        <v>27</v>
      </c>
      <c r="R126">
        <v>75.5</v>
      </c>
      <c r="S126">
        <v>298</v>
      </c>
      <c r="T126">
        <v>0</v>
      </c>
      <c r="U126" t="str" cm="1">
        <f t="array" ref="U126">_xlfn.IFS(smart_dataset[[#This Row],[Waiting_Time]]&lt;=20,"Low",smart_dataset[[#This Row],[Waiting_Time]]&lt;=40,"Medium",TRUE,"High")</f>
        <v>High</v>
      </c>
      <c r="V126" t="str" cm="1">
        <f t="array" ref="V126">_xlfn.IFS(smart_dataset[[#This Row],[Temperature]]&lt;=20,"Cold",smart_dataset[[#This Row],[Temperature]]&lt;=28,"Normal",TRUE,"Hot")</f>
        <v>Normal</v>
      </c>
      <c r="W126" t="str" cm="1">
        <f t="array" ref="W126">_xlfn.IFS(smart_dataset[[#This Row],[Asset_Utilization]]&lt;=75,"Low",smart_dataset[[#This Row],[Asset_Utilization]]&lt;=90,"Medium",TRUE,"High")</f>
        <v>Medium</v>
      </c>
    </row>
    <row r="127" spans="1:23" x14ac:dyDescent="0.25">
      <c r="A127" s="1">
        <v>45633.674305555556</v>
      </c>
      <c r="B127" s="1">
        <f>INT(smart_dataset[[#This Row],[Timestamp]])</f>
        <v>45633</v>
      </c>
      <c r="C127" s="7">
        <f>MOD(smart_dataset[[#This Row],[Timestamp]],1)</f>
        <v>0.67430555555620231</v>
      </c>
      <c r="D127">
        <f>YEAR(smart_dataset[[#This Row],[Date]])</f>
        <v>2024</v>
      </c>
      <c r="E127">
        <f>MONTH(smart_dataset[[#This Row],[Timestamp]])</f>
        <v>12</v>
      </c>
      <c r="F127" t="s">
        <v>24</v>
      </c>
      <c r="G127">
        <v>-7.77</v>
      </c>
      <c r="H127">
        <v>163.5958</v>
      </c>
      <c r="I127">
        <v>226</v>
      </c>
      <c r="J127" t="s">
        <v>21</v>
      </c>
      <c r="K127">
        <v>21.1</v>
      </c>
      <c r="L127">
        <v>56.1</v>
      </c>
      <c r="M127" t="s">
        <v>22</v>
      </c>
      <c r="N127">
        <v>50</v>
      </c>
      <c r="O127">
        <v>160</v>
      </c>
      <c r="P127">
        <v>5</v>
      </c>
      <c r="Q127" t="s">
        <v>19</v>
      </c>
      <c r="R127">
        <v>77.3</v>
      </c>
      <c r="S127">
        <v>174</v>
      </c>
      <c r="T127">
        <v>1</v>
      </c>
      <c r="U127" t="str" cm="1">
        <f t="array" ref="U127">_xlfn.IFS(smart_dataset[[#This Row],[Waiting_Time]]&lt;=20,"Low",smart_dataset[[#This Row],[Waiting_Time]]&lt;=40,"Medium",TRUE,"High")</f>
        <v>High</v>
      </c>
      <c r="V127" t="str" cm="1">
        <f t="array" ref="V127">_xlfn.IFS(smart_dataset[[#This Row],[Temperature]]&lt;=20,"Cold",smart_dataset[[#This Row],[Temperature]]&lt;=28,"Normal",TRUE,"Hot")</f>
        <v>Normal</v>
      </c>
      <c r="W127" t="str" cm="1">
        <f t="array" ref="W127">_xlfn.IFS(smart_dataset[[#This Row],[Asset_Utilization]]&lt;=75,"Low",smart_dataset[[#This Row],[Asset_Utilization]]&lt;=90,"Medium",TRUE,"High")</f>
        <v>Medium</v>
      </c>
    </row>
    <row r="128" spans="1:23" hidden="1" x14ac:dyDescent="0.25">
      <c r="A128" s="1">
        <v>45366.745925925927</v>
      </c>
      <c r="B128" s="1">
        <f>INT(smart_dataset[[#This Row],[Timestamp]])</f>
        <v>45366</v>
      </c>
      <c r="C128" s="1">
        <f>MOD(smart_dataset[[#This Row],[Timestamp]],1)</f>
        <v>0.74592592592671281</v>
      </c>
      <c r="D128" s="1">
        <f>YEAR(smart_dataset[[#This Row],[Date]])</f>
        <v>2024</v>
      </c>
      <c r="E128" s="1">
        <f>MONTH(smart_dataset[[#This Row],[Timestamp]])</f>
        <v>3</v>
      </c>
      <c r="F128" t="s">
        <v>16</v>
      </c>
      <c r="G128">
        <v>-80.122200000000007</v>
      </c>
      <c r="H128">
        <v>-56.149700000000003</v>
      </c>
      <c r="I128">
        <v>415</v>
      </c>
      <c r="J128" t="s">
        <v>21</v>
      </c>
      <c r="K128">
        <v>25.3</v>
      </c>
      <c r="L128">
        <v>54.4</v>
      </c>
      <c r="M128" t="s">
        <v>22</v>
      </c>
      <c r="N128">
        <v>53</v>
      </c>
      <c r="O128">
        <v>345</v>
      </c>
      <c r="P128">
        <v>2</v>
      </c>
      <c r="Q128" t="s">
        <v>31</v>
      </c>
      <c r="R128">
        <v>87.4</v>
      </c>
      <c r="S128">
        <v>181</v>
      </c>
      <c r="T128">
        <v>1</v>
      </c>
      <c r="U128" t="str" cm="1">
        <f t="array" ref="U128">_xlfn.IFS(smart_dataset[[#This Row],[Waiting_Time]]&lt;=20,"Low",smart_dataset[[#This Row],[Waiting_Time]]&lt;=40,"Medium",TRUE,"High")</f>
        <v>High</v>
      </c>
      <c r="V128" t="str" cm="1">
        <f t="array" ref="V128">_xlfn.IFS(smart_dataset[[#This Row],[Temperature]]&lt;=20,"Cold",smart_dataset[[#This Row],[Temperature]]&lt;=28,"Normal",TRUE,"Hot")</f>
        <v>Normal</v>
      </c>
      <c r="W128" t="str" cm="1">
        <f t="array" ref="W128">_xlfn.IFS(smart_dataset[[#This Row],[Asset_Utilization]]&lt;=75,"Low",smart_dataset[[#This Row],[Asset_Utilization]]&lt;=90,"Medium",TRUE,"High")</f>
        <v>Medium</v>
      </c>
    </row>
    <row r="129" spans="1:23" hidden="1" x14ac:dyDescent="0.25">
      <c r="A129" s="1">
        <v>45580.284398148149</v>
      </c>
      <c r="B129" s="1">
        <f>INT(smart_dataset[[#This Row],[Timestamp]])</f>
        <v>45580</v>
      </c>
      <c r="C129" s="1">
        <f>MOD(smart_dataset[[#This Row],[Timestamp]],1)</f>
        <v>0.28439814814919373</v>
      </c>
      <c r="D129" s="1">
        <f>YEAR(smart_dataset[[#This Row],[Date]])</f>
        <v>2024</v>
      </c>
      <c r="E129" s="1">
        <f>MONTH(smart_dataset[[#This Row],[Timestamp]])</f>
        <v>10</v>
      </c>
      <c r="F129" t="s">
        <v>33</v>
      </c>
      <c r="G129">
        <v>-84.804100000000005</v>
      </c>
      <c r="H129">
        <v>57.167999999999999</v>
      </c>
      <c r="I129">
        <v>422</v>
      </c>
      <c r="J129" t="s">
        <v>26</v>
      </c>
      <c r="K129">
        <v>29.7</v>
      </c>
      <c r="L129">
        <v>68.3</v>
      </c>
      <c r="M129" t="s">
        <v>22</v>
      </c>
      <c r="N129">
        <v>45</v>
      </c>
      <c r="O129">
        <v>246</v>
      </c>
      <c r="P129">
        <v>1</v>
      </c>
      <c r="Q129" t="s">
        <v>23</v>
      </c>
      <c r="R129">
        <v>85.6</v>
      </c>
      <c r="S129">
        <v>136</v>
      </c>
      <c r="T129">
        <v>1</v>
      </c>
      <c r="U129" t="str" cm="1">
        <f t="array" ref="U129">_xlfn.IFS(smart_dataset[[#This Row],[Waiting_Time]]&lt;=20,"Low",smart_dataset[[#This Row],[Waiting_Time]]&lt;=40,"Medium",TRUE,"High")</f>
        <v>High</v>
      </c>
      <c r="V129" t="str" cm="1">
        <f t="array" ref="V129">_xlfn.IFS(smart_dataset[[#This Row],[Temperature]]&lt;=20,"Cold",smart_dataset[[#This Row],[Temperature]]&lt;=28,"Normal",TRUE,"Hot")</f>
        <v>Hot</v>
      </c>
      <c r="W129" t="str" cm="1">
        <f t="array" ref="W129">_xlfn.IFS(smart_dataset[[#This Row],[Asset_Utilization]]&lt;=75,"Low",smart_dataset[[#This Row],[Asset_Utilization]]&lt;=90,"Medium",TRUE,"High")</f>
        <v>Medium</v>
      </c>
    </row>
    <row r="130" spans="1:23" hidden="1" x14ac:dyDescent="0.25">
      <c r="A130" s="1">
        <v>45531.286516203705</v>
      </c>
      <c r="B130" s="1">
        <f>INT(smart_dataset[[#This Row],[Timestamp]])</f>
        <v>45531</v>
      </c>
      <c r="C130" s="1">
        <f>MOD(smart_dataset[[#This Row],[Timestamp]],1)</f>
        <v>0.286516203705105</v>
      </c>
      <c r="D130" s="1">
        <f>YEAR(smart_dataset[[#This Row],[Date]])</f>
        <v>2024</v>
      </c>
      <c r="E130" s="1">
        <f>MONTH(smart_dataset[[#This Row],[Timestamp]])</f>
        <v>8</v>
      </c>
      <c r="F130" t="s">
        <v>32</v>
      </c>
      <c r="G130">
        <v>-13.147500000000001</v>
      </c>
      <c r="H130">
        <v>-1.0702</v>
      </c>
      <c r="I130">
        <v>413</v>
      </c>
      <c r="J130" t="s">
        <v>17</v>
      </c>
      <c r="K130">
        <v>23.4</v>
      </c>
      <c r="L130">
        <v>67.099999999999994</v>
      </c>
      <c r="M130" t="s">
        <v>22</v>
      </c>
      <c r="N130">
        <v>32</v>
      </c>
      <c r="O130">
        <v>325</v>
      </c>
      <c r="P130">
        <v>3</v>
      </c>
      <c r="Q130" t="s">
        <v>31</v>
      </c>
      <c r="R130">
        <v>93.3</v>
      </c>
      <c r="S130">
        <v>109</v>
      </c>
      <c r="T130">
        <v>1</v>
      </c>
      <c r="U130" t="str" cm="1">
        <f t="array" ref="U130">_xlfn.IFS(smart_dataset[[#This Row],[Waiting_Time]]&lt;=20,"Low",smart_dataset[[#This Row],[Waiting_Time]]&lt;=40,"Medium",TRUE,"High")</f>
        <v>Medium</v>
      </c>
      <c r="V130" t="str" cm="1">
        <f t="array" ref="V130">_xlfn.IFS(smart_dataset[[#This Row],[Temperature]]&lt;=20,"Cold",smart_dataset[[#This Row],[Temperature]]&lt;=28,"Normal",TRUE,"Hot")</f>
        <v>Normal</v>
      </c>
      <c r="W130" t="str" cm="1">
        <f t="array" ref="W130">_xlfn.IFS(smart_dataset[[#This Row],[Asset_Utilization]]&lt;=75,"Low",smart_dataset[[#This Row],[Asset_Utilization]]&lt;=90,"Medium",TRUE,"High")</f>
        <v>High</v>
      </c>
    </row>
    <row r="131" spans="1:23" hidden="1" x14ac:dyDescent="0.25">
      <c r="A131" s="1">
        <v>45506.084317129629</v>
      </c>
      <c r="B131" s="1">
        <f>INT(smart_dataset[[#This Row],[Timestamp]])</f>
        <v>45506</v>
      </c>
      <c r="C131" s="1">
        <f>MOD(smart_dataset[[#This Row],[Timestamp]],1)</f>
        <v>8.4317129629198462E-2</v>
      </c>
      <c r="D131" s="1">
        <f>YEAR(smart_dataset[[#This Row],[Date]])</f>
        <v>2024</v>
      </c>
      <c r="E131" s="1">
        <f>MONTH(smart_dataset[[#This Row],[Timestamp]])</f>
        <v>8</v>
      </c>
      <c r="F131" t="s">
        <v>35</v>
      </c>
      <c r="G131">
        <v>-87.554699999999997</v>
      </c>
      <c r="H131">
        <v>113.4629</v>
      </c>
      <c r="I131">
        <v>269</v>
      </c>
      <c r="J131" t="s">
        <v>21</v>
      </c>
      <c r="K131">
        <v>25.2</v>
      </c>
      <c r="L131">
        <v>57.7</v>
      </c>
      <c r="M131" t="s">
        <v>18</v>
      </c>
      <c r="N131">
        <v>20</v>
      </c>
      <c r="O131">
        <v>247</v>
      </c>
      <c r="P131">
        <v>2</v>
      </c>
      <c r="Q131" t="s">
        <v>23</v>
      </c>
      <c r="R131">
        <v>60.9</v>
      </c>
      <c r="S131">
        <v>177</v>
      </c>
      <c r="T131">
        <v>0</v>
      </c>
      <c r="U131" t="str" cm="1">
        <f t="array" ref="U131">_xlfn.IFS(smart_dataset[[#This Row],[Waiting_Time]]&lt;=20,"Low",smart_dataset[[#This Row],[Waiting_Time]]&lt;=40,"Medium",TRUE,"High")</f>
        <v>Low</v>
      </c>
      <c r="V131" t="str" cm="1">
        <f t="array" ref="V131">_xlfn.IFS(smart_dataset[[#This Row],[Temperature]]&lt;=20,"Cold",smart_dataset[[#This Row],[Temperature]]&lt;=28,"Normal",TRUE,"Hot")</f>
        <v>Normal</v>
      </c>
      <c r="W131" t="str" cm="1">
        <f t="array" ref="W131">_xlfn.IFS(smart_dataset[[#This Row],[Asset_Utilization]]&lt;=75,"Low",smart_dataset[[#This Row],[Asset_Utilization]]&lt;=90,"Medium",TRUE,"High")</f>
        <v>Low</v>
      </c>
    </row>
    <row r="132" spans="1:23" hidden="1" x14ac:dyDescent="0.25">
      <c r="A132" s="1">
        <v>45623.783958333333</v>
      </c>
      <c r="B132" s="1">
        <f>INT(smart_dataset[[#This Row],[Timestamp]])</f>
        <v>45623</v>
      </c>
      <c r="C132" s="1">
        <f>MOD(smart_dataset[[#This Row],[Timestamp]],1)</f>
        <v>0.78395833333343035</v>
      </c>
      <c r="D132" s="1">
        <f>YEAR(smart_dataset[[#This Row],[Date]])</f>
        <v>2024</v>
      </c>
      <c r="E132" s="1">
        <f>MONTH(smart_dataset[[#This Row],[Timestamp]])</f>
        <v>11</v>
      </c>
      <c r="F132" t="s">
        <v>29</v>
      </c>
      <c r="G132">
        <v>72.906599999999997</v>
      </c>
      <c r="H132">
        <v>36.1965</v>
      </c>
      <c r="I132">
        <v>489</v>
      </c>
      <c r="J132" t="s">
        <v>26</v>
      </c>
      <c r="K132">
        <v>25.7</v>
      </c>
      <c r="L132">
        <v>50.1</v>
      </c>
      <c r="M132" t="s">
        <v>22</v>
      </c>
      <c r="N132">
        <v>51</v>
      </c>
      <c r="O132">
        <v>204</v>
      </c>
      <c r="P132">
        <v>1</v>
      </c>
      <c r="Q132" t="s">
        <v>23</v>
      </c>
      <c r="R132">
        <v>65.099999999999994</v>
      </c>
      <c r="S132">
        <v>184</v>
      </c>
      <c r="T132">
        <v>1</v>
      </c>
      <c r="U132" t="str" cm="1">
        <f t="array" ref="U132">_xlfn.IFS(smart_dataset[[#This Row],[Waiting_Time]]&lt;=20,"Low",smart_dataset[[#This Row],[Waiting_Time]]&lt;=40,"Medium",TRUE,"High")</f>
        <v>High</v>
      </c>
      <c r="V132" t="str" cm="1">
        <f t="array" ref="V132">_xlfn.IFS(smart_dataset[[#This Row],[Temperature]]&lt;=20,"Cold",smart_dataset[[#This Row],[Temperature]]&lt;=28,"Normal",TRUE,"Hot")</f>
        <v>Normal</v>
      </c>
      <c r="W132" t="str" cm="1">
        <f t="array" ref="W132">_xlfn.IFS(smart_dataset[[#This Row],[Asset_Utilization]]&lt;=75,"Low",smart_dataset[[#This Row],[Asset_Utilization]]&lt;=90,"Medium",TRUE,"High")</f>
        <v>Low</v>
      </c>
    </row>
    <row r="133" spans="1:23" hidden="1" x14ac:dyDescent="0.25">
      <c r="A133" s="1">
        <v>45629.226666666669</v>
      </c>
      <c r="B133" s="1">
        <f>INT(smart_dataset[[#This Row],[Timestamp]])</f>
        <v>45629</v>
      </c>
      <c r="C133" s="1">
        <f>MOD(smart_dataset[[#This Row],[Timestamp]],1)</f>
        <v>0.226666666669189</v>
      </c>
      <c r="D133" s="1">
        <f>YEAR(smart_dataset[[#This Row],[Date]])</f>
        <v>2024</v>
      </c>
      <c r="E133" s="1">
        <f>MONTH(smart_dataset[[#This Row],[Timestamp]])</f>
        <v>12</v>
      </c>
      <c r="F133" t="s">
        <v>20</v>
      </c>
      <c r="G133">
        <v>16.1951</v>
      </c>
      <c r="H133">
        <v>-119.4492</v>
      </c>
      <c r="I133">
        <v>426</v>
      </c>
      <c r="J133" t="s">
        <v>21</v>
      </c>
      <c r="K133">
        <v>28.8</v>
      </c>
      <c r="L133">
        <v>56.2</v>
      </c>
      <c r="M133" t="s">
        <v>28</v>
      </c>
      <c r="N133">
        <v>30</v>
      </c>
      <c r="O133">
        <v>145</v>
      </c>
      <c r="P133">
        <v>3</v>
      </c>
      <c r="Q133" t="s">
        <v>27</v>
      </c>
      <c r="R133">
        <v>81.2</v>
      </c>
      <c r="S133">
        <v>220</v>
      </c>
      <c r="T133">
        <v>0</v>
      </c>
      <c r="U133" t="str" cm="1">
        <f t="array" ref="U133">_xlfn.IFS(smart_dataset[[#This Row],[Waiting_Time]]&lt;=20,"Low",smart_dataset[[#This Row],[Waiting_Time]]&lt;=40,"Medium",TRUE,"High")</f>
        <v>Medium</v>
      </c>
      <c r="V133" t="str" cm="1">
        <f t="array" ref="V133">_xlfn.IFS(smart_dataset[[#This Row],[Temperature]]&lt;=20,"Cold",smart_dataset[[#This Row],[Temperature]]&lt;=28,"Normal",TRUE,"Hot")</f>
        <v>Hot</v>
      </c>
      <c r="W133" t="str" cm="1">
        <f t="array" ref="W133">_xlfn.IFS(smart_dataset[[#This Row],[Asset_Utilization]]&lt;=75,"Low",smart_dataset[[#This Row],[Asset_Utilization]]&lt;=90,"Medium",TRUE,"High")</f>
        <v>Medium</v>
      </c>
    </row>
    <row r="134" spans="1:23" hidden="1" x14ac:dyDescent="0.25">
      <c r="A134" s="1">
        <v>45327.138692129629</v>
      </c>
      <c r="B134" s="1">
        <f>INT(smart_dataset[[#This Row],[Timestamp]])</f>
        <v>45327</v>
      </c>
      <c r="C134" s="1">
        <f>MOD(smart_dataset[[#This Row],[Timestamp]],1)</f>
        <v>0.13869212962890742</v>
      </c>
      <c r="D134" s="1">
        <f>YEAR(smart_dataset[[#This Row],[Date]])</f>
        <v>2024</v>
      </c>
      <c r="E134" s="1">
        <f>MONTH(smart_dataset[[#This Row],[Timestamp]])</f>
        <v>2</v>
      </c>
      <c r="F134" t="s">
        <v>34</v>
      </c>
      <c r="G134">
        <v>28.3461</v>
      </c>
      <c r="H134">
        <v>-1.5547</v>
      </c>
      <c r="I134">
        <v>457</v>
      </c>
      <c r="J134" t="s">
        <v>26</v>
      </c>
      <c r="K134">
        <v>27.9</v>
      </c>
      <c r="L134">
        <v>78.599999999999994</v>
      </c>
      <c r="M134" t="s">
        <v>22</v>
      </c>
      <c r="N134">
        <v>18</v>
      </c>
      <c r="O134">
        <v>461</v>
      </c>
      <c r="P134">
        <v>6</v>
      </c>
      <c r="Q134" t="s">
        <v>23</v>
      </c>
      <c r="R134">
        <v>69.099999999999994</v>
      </c>
      <c r="S134">
        <v>137</v>
      </c>
      <c r="T134">
        <v>1</v>
      </c>
      <c r="U134" t="str" cm="1">
        <f t="array" ref="U134">_xlfn.IFS(smart_dataset[[#This Row],[Waiting_Time]]&lt;=20,"Low",smart_dataset[[#This Row],[Waiting_Time]]&lt;=40,"Medium",TRUE,"High")</f>
        <v>Low</v>
      </c>
      <c r="V134" t="str" cm="1">
        <f t="array" ref="V134">_xlfn.IFS(smart_dataset[[#This Row],[Temperature]]&lt;=20,"Cold",smart_dataset[[#This Row],[Temperature]]&lt;=28,"Normal",TRUE,"Hot")</f>
        <v>Normal</v>
      </c>
      <c r="W134" t="str" cm="1">
        <f t="array" ref="W134">_xlfn.IFS(smart_dataset[[#This Row],[Asset_Utilization]]&lt;=75,"Low",smart_dataset[[#This Row],[Asset_Utilization]]&lt;=90,"Medium",TRUE,"High")</f>
        <v>Low</v>
      </c>
    </row>
    <row r="135" spans="1:23" hidden="1" x14ac:dyDescent="0.25">
      <c r="A135" s="1">
        <v>45645.957048611112</v>
      </c>
      <c r="B135" s="1">
        <f>INT(smart_dataset[[#This Row],[Timestamp]])</f>
        <v>45645</v>
      </c>
      <c r="C135" s="1">
        <f>MOD(smart_dataset[[#This Row],[Timestamp]],1)</f>
        <v>0.9570486111115315</v>
      </c>
      <c r="D135" s="1">
        <f>YEAR(smart_dataset[[#This Row],[Date]])</f>
        <v>2024</v>
      </c>
      <c r="E135" s="1">
        <f>MONTH(smart_dataset[[#This Row],[Timestamp]])</f>
        <v>12</v>
      </c>
      <c r="F135" t="s">
        <v>35</v>
      </c>
      <c r="G135">
        <v>-35.566299999999998</v>
      </c>
      <c r="H135">
        <v>47.402799999999999</v>
      </c>
      <c r="I135">
        <v>270</v>
      </c>
      <c r="J135" t="s">
        <v>26</v>
      </c>
      <c r="K135">
        <v>21.7</v>
      </c>
      <c r="L135">
        <v>53.6</v>
      </c>
      <c r="M135" t="s">
        <v>28</v>
      </c>
      <c r="N135">
        <v>15</v>
      </c>
      <c r="O135">
        <v>499</v>
      </c>
      <c r="P135">
        <v>8</v>
      </c>
      <c r="Q135" t="s">
        <v>31</v>
      </c>
      <c r="R135">
        <v>94.9</v>
      </c>
      <c r="S135">
        <v>111</v>
      </c>
      <c r="T135">
        <v>0</v>
      </c>
      <c r="U135" t="str" cm="1">
        <f t="array" ref="U135">_xlfn.IFS(smart_dataset[[#This Row],[Waiting_Time]]&lt;=20,"Low",smart_dataset[[#This Row],[Waiting_Time]]&lt;=40,"Medium",TRUE,"High")</f>
        <v>Low</v>
      </c>
      <c r="V135" t="str" cm="1">
        <f t="array" ref="V135">_xlfn.IFS(smart_dataset[[#This Row],[Temperature]]&lt;=20,"Cold",smart_dataset[[#This Row],[Temperature]]&lt;=28,"Normal",TRUE,"Hot")</f>
        <v>Normal</v>
      </c>
      <c r="W135" t="str" cm="1">
        <f t="array" ref="W135">_xlfn.IFS(smart_dataset[[#This Row],[Asset_Utilization]]&lt;=75,"Low",smart_dataset[[#This Row],[Asset_Utilization]]&lt;=90,"Medium",TRUE,"High")</f>
        <v>High</v>
      </c>
    </row>
    <row r="136" spans="1:23" x14ac:dyDescent="0.25">
      <c r="A136" s="1">
        <v>45619.364016203705</v>
      </c>
      <c r="B136" s="1">
        <f>INT(smart_dataset[[#This Row],[Timestamp]])</f>
        <v>45619</v>
      </c>
      <c r="C136" s="7">
        <f>MOD(smart_dataset[[#This Row],[Timestamp]],1)</f>
        <v>0.36401620370452292</v>
      </c>
      <c r="D136">
        <f>YEAR(smart_dataset[[#This Row],[Date]])</f>
        <v>2024</v>
      </c>
      <c r="E136">
        <f>MONTH(smart_dataset[[#This Row],[Timestamp]])</f>
        <v>11</v>
      </c>
      <c r="F136" t="s">
        <v>16</v>
      </c>
      <c r="G136">
        <v>-33.246000000000002</v>
      </c>
      <c r="H136">
        <v>106.3248</v>
      </c>
      <c r="I136">
        <v>267</v>
      </c>
      <c r="J136" t="s">
        <v>21</v>
      </c>
      <c r="K136">
        <v>29.8</v>
      </c>
      <c r="L136">
        <v>79.8</v>
      </c>
      <c r="M136" t="s">
        <v>22</v>
      </c>
      <c r="N136">
        <v>55</v>
      </c>
      <c r="O136">
        <v>282</v>
      </c>
      <c r="P136">
        <v>5</v>
      </c>
      <c r="Q136" t="s">
        <v>19</v>
      </c>
      <c r="R136">
        <v>90.5</v>
      </c>
      <c r="S136">
        <v>173</v>
      </c>
      <c r="T136">
        <v>1</v>
      </c>
      <c r="U136" t="str" cm="1">
        <f t="array" ref="U136">_xlfn.IFS(smart_dataset[[#This Row],[Waiting_Time]]&lt;=20,"Low",smart_dataset[[#This Row],[Waiting_Time]]&lt;=40,"Medium",TRUE,"High")</f>
        <v>High</v>
      </c>
      <c r="V136" t="str" cm="1">
        <f t="array" ref="V136">_xlfn.IFS(smart_dataset[[#This Row],[Temperature]]&lt;=20,"Cold",smart_dataset[[#This Row],[Temperature]]&lt;=28,"Normal",TRUE,"Hot")</f>
        <v>Hot</v>
      </c>
      <c r="W136" t="str" cm="1">
        <f t="array" ref="W136">_xlfn.IFS(smart_dataset[[#This Row],[Asset_Utilization]]&lt;=75,"Low",smart_dataset[[#This Row],[Asset_Utilization]]&lt;=90,"Medium",TRUE,"High")</f>
        <v>High</v>
      </c>
    </row>
    <row r="137" spans="1:23" x14ac:dyDescent="0.25">
      <c r="A137" s="1">
        <v>45412.617569444446</v>
      </c>
      <c r="B137" s="1">
        <f>INT(smart_dataset[[#This Row],[Timestamp]])</f>
        <v>45412</v>
      </c>
      <c r="C137" s="7">
        <f>MOD(smart_dataset[[#This Row],[Timestamp]],1)</f>
        <v>0.61756944444641704</v>
      </c>
      <c r="D137">
        <f>YEAR(smart_dataset[[#This Row],[Date]])</f>
        <v>2024</v>
      </c>
      <c r="E137">
        <f>MONTH(smart_dataset[[#This Row],[Timestamp]])</f>
        <v>4</v>
      </c>
      <c r="F137" t="s">
        <v>34</v>
      </c>
      <c r="G137">
        <v>10.2059</v>
      </c>
      <c r="H137">
        <v>98.617999999999995</v>
      </c>
      <c r="I137">
        <v>381</v>
      </c>
      <c r="J137" t="s">
        <v>26</v>
      </c>
      <c r="K137">
        <v>24.4</v>
      </c>
      <c r="L137">
        <v>50.1</v>
      </c>
      <c r="M137" t="s">
        <v>22</v>
      </c>
      <c r="N137">
        <v>54</v>
      </c>
      <c r="O137">
        <v>243</v>
      </c>
      <c r="P137">
        <v>6</v>
      </c>
      <c r="Q137" t="s">
        <v>19</v>
      </c>
      <c r="R137">
        <v>61.5</v>
      </c>
      <c r="S137">
        <v>278</v>
      </c>
      <c r="T137">
        <v>1</v>
      </c>
      <c r="U137" t="str" cm="1">
        <f t="array" ref="U137">_xlfn.IFS(smart_dataset[[#This Row],[Waiting_Time]]&lt;=20,"Low",smart_dataset[[#This Row],[Waiting_Time]]&lt;=40,"Medium",TRUE,"High")</f>
        <v>High</v>
      </c>
      <c r="V137" t="str" cm="1">
        <f t="array" ref="V137">_xlfn.IFS(smart_dataset[[#This Row],[Temperature]]&lt;=20,"Cold",smart_dataset[[#This Row],[Temperature]]&lt;=28,"Normal",TRUE,"Hot")</f>
        <v>Normal</v>
      </c>
      <c r="W137" t="str" cm="1">
        <f t="array" ref="W137">_xlfn.IFS(smart_dataset[[#This Row],[Asset_Utilization]]&lt;=75,"Low",smart_dataset[[#This Row],[Asset_Utilization]]&lt;=90,"Medium",TRUE,"High")</f>
        <v>Low</v>
      </c>
    </row>
    <row r="138" spans="1:23" hidden="1" x14ac:dyDescent="0.25">
      <c r="A138" s="1">
        <v>45450.28193287037</v>
      </c>
      <c r="B138" s="1">
        <f>INT(smart_dataset[[#This Row],[Timestamp]])</f>
        <v>45450</v>
      </c>
      <c r="C138" s="1">
        <f>MOD(smart_dataset[[#This Row],[Timestamp]],1)</f>
        <v>0.28193287036992842</v>
      </c>
      <c r="D138" s="1">
        <f>YEAR(smart_dataset[[#This Row],[Date]])</f>
        <v>2024</v>
      </c>
      <c r="E138" s="1">
        <f>MONTH(smart_dataset[[#This Row],[Timestamp]])</f>
        <v>6</v>
      </c>
      <c r="F138" t="s">
        <v>33</v>
      </c>
      <c r="G138">
        <v>-6.2310999999999996</v>
      </c>
      <c r="H138">
        <v>173.62639999999999</v>
      </c>
      <c r="I138">
        <v>402</v>
      </c>
      <c r="J138" t="s">
        <v>26</v>
      </c>
      <c r="K138">
        <v>27</v>
      </c>
      <c r="L138">
        <v>74.2</v>
      </c>
      <c r="M138" t="s">
        <v>22</v>
      </c>
      <c r="N138">
        <v>17</v>
      </c>
      <c r="O138">
        <v>155</v>
      </c>
      <c r="P138">
        <v>10</v>
      </c>
      <c r="Q138" t="s">
        <v>27</v>
      </c>
      <c r="R138">
        <v>73.400000000000006</v>
      </c>
      <c r="S138">
        <v>281</v>
      </c>
      <c r="T138">
        <v>1</v>
      </c>
      <c r="U138" t="str" cm="1">
        <f t="array" ref="U138">_xlfn.IFS(smart_dataset[[#This Row],[Waiting_Time]]&lt;=20,"Low",smart_dataset[[#This Row],[Waiting_Time]]&lt;=40,"Medium",TRUE,"High")</f>
        <v>Low</v>
      </c>
      <c r="V138" t="str" cm="1">
        <f t="array" ref="V138">_xlfn.IFS(smart_dataset[[#This Row],[Temperature]]&lt;=20,"Cold",smart_dataset[[#This Row],[Temperature]]&lt;=28,"Normal",TRUE,"Hot")</f>
        <v>Normal</v>
      </c>
      <c r="W138" t="str" cm="1">
        <f t="array" ref="W138">_xlfn.IFS(smart_dataset[[#This Row],[Asset_Utilization]]&lt;=75,"Low",smart_dataset[[#This Row],[Asset_Utilization]]&lt;=90,"Medium",TRUE,"High")</f>
        <v>Low</v>
      </c>
    </row>
    <row r="139" spans="1:23" hidden="1" x14ac:dyDescent="0.25">
      <c r="A139" s="1">
        <v>45620.201053240744</v>
      </c>
      <c r="B139" s="1">
        <f>INT(smart_dataset[[#This Row],[Timestamp]])</f>
        <v>45620</v>
      </c>
      <c r="C139" s="1">
        <f>MOD(smart_dataset[[#This Row],[Timestamp]],1)</f>
        <v>0.20105324074393138</v>
      </c>
      <c r="D139" s="1">
        <f>YEAR(smart_dataset[[#This Row],[Date]])</f>
        <v>2024</v>
      </c>
      <c r="E139" s="1">
        <f>MONTH(smart_dataset[[#This Row],[Timestamp]])</f>
        <v>11</v>
      </c>
      <c r="F139" t="s">
        <v>29</v>
      </c>
      <c r="G139">
        <v>-78.109399999999994</v>
      </c>
      <c r="H139">
        <v>-52.543500000000002</v>
      </c>
      <c r="I139">
        <v>331</v>
      </c>
      <c r="J139" t="s">
        <v>26</v>
      </c>
      <c r="K139">
        <v>20.399999999999999</v>
      </c>
      <c r="L139">
        <v>66.099999999999994</v>
      </c>
      <c r="M139" t="s">
        <v>22</v>
      </c>
      <c r="N139">
        <v>25</v>
      </c>
      <c r="O139">
        <v>261</v>
      </c>
      <c r="P139">
        <v>6</v>
      </c>
      <c r="Q139" t="s">
        <v>31</v>
      </c>
      <c r="R139">
        <v>77.7</v>
      </c>
      <c r="S139">
        <v>264</v>
      </c>
      <c r="T139">
        <v>1</v>
      </c>
      <c r="U139" t="str" cm="1">
        <f t="array" ref="U139">_xlfn.IFS(smart_dataset[[#This Row],[Waiting_Time]]&lt;=20,"Low",smart_dataset[[#This Row],[Waiting_Time]]&lt;=40,"Medium",TRUE,"High")</f>
        <v>Medium</v>
      </c>
      <c r="V139" t="str" cm="1">
        <f t="array" ref="V139">_xlfn.IFS(smart_dataset[[#This Row],[Temperature]]&lt;=20,"Cold",smart_dataset[[#This Row],[Temperature]]&lt;=28,"Normal",TRUE,"Hot")</f>
        <v>Normal</v>
      </c>
      <c r="W139" t="str" cm="1">
        <f t="array" ref="W139">_xlfn.IFS(smart_dataset[[#This Row],[Asset_Utilization]]&lt;=75,"Low",smart_dataset[[#This Row],[Asset_Utilization]]&lt;=90,"Medium",TRUE,"High")</f>
        <v>Medium</v>
      </c>
    </row>
    <row r="140" spans="1:23" hidden="1" x14ac:dyDescent="0.25">
      <c r="A140" s="1">
        <v>45502.039004629631</v>
      </c>
      <c r="B140" s="1">
        <f>INT(smart_dataset[[#This Row],[Timestamp]])</f>
        <v>45502</v>
      </c>
      <c r="C140" s="1">
        <f>MOD(smart_dataset[[#This Row],[Timestamp]],1)</f>
        <v>3.9004629630653653E-2</v>
      </c>
      <c r="D140" s="1">
        <f>YEAR(smart_dataset[[#This Row],[Date]])</f>
        <v>2024</v>
      </c>
      <c r="E140" s="1">
        <f>MONTH(smart_dataset[[#This Row],[Timestamp]])</f>
        <v>7</v>
      </c>
      <c r="F140" t="s">
        <v>34</v>
      </c>
      <c r="G140">
        <v>-70.364500000000007</v>
      </c>
      <c r="H140">
        <v>-128.8622</v>
      </c>
      <c r="I140">
        <v>167</v>
      </c>
      <c r="J140" t="s">
        <v>26</v>
      </c>
      <c r="K140">
        <v>25.6</v>
      </c>
      <c r="L140">
        <v>62.5</v>
      </c>
      <c r="M140" t="s">
        <v>18</v>
      </c>
      <c r="N140">
        <v>40</v>
      </c>
      <c r="O140">
        <v>246</v>
      </c>
      <c r="P140">
        <v>9</v>
      </c>
      <c r="Q140" t="s">
        <v>27</v>
      </c>
      <c r="R140">
        <v>63.8</v>
      </c>
      <c r="S140">
        <v>126</v>
      </c>
      <c r="T140">
        <v>0</v>
      </c>
      <c r="U140" t="str" cm="1">
        <f t="array" ref="U140">_xlfn.IFS(smart_dataset[[#This Row],[Waiting_Time]]&lt;=20,"Low",smart_dataset[[#This Row],[Waiting_Time]]&lt;=40,"Medium",TRUE,"High")</f>
        <v>Medium</v>
      </c>
      <c r="V140" t="str" cm="1">
        <f t="array" ref="V140">_xlfn.IFS(smart_dataset[[#This Row],[Temperature]]&lt;=20,"Cold",smart_dataset[[#This Row],[Temperature]]&lt;=28,"Normal",TRUE,"Hot")</f>
        <v>Normal</v>
      </c>
      <c r="W140" t="str" cm="1">
        <f t="array" ref="W140">_xlfn.IFS(smart_dataset[[#This Row],[Asset_Utilization]]&lt;=75,"Low",smart_dataset[[#This Row],[Asset_Utilization]]&lt;=90,"Medium",TRUE,"High")</f>
        <v>Low</v>
      </c>
    </row>
    <row r="141" spans="1:23" hidden="1" x14ac:dyDescent="0.25">
      <c r="A141" s="1">
        <v>45444.833518518521</v>
      </c>
      <c r="B141" s="1">
        <f>INT(smart_dataset[[#This Row],[Timestamp]])</f>
        <v>45444</v>
      </c>
      <c r="C141" s="1">
        <f>MOD(smart_dataset[[#This Row],[Timestamp]],1)</f>
        <v>0.83351851852057735</v>
      </c>
      <c r="D141" s="1">
        <f>YEAR(smart_dataset[[#This Row],[Date]])</f>
        <v>2024</v>
      </c>
      <c r="E141" s="1">
        <f>MONTH(smart_dataset[[#This Row],[Timestamp]])</f>
        <v>6</v>
      </c>
      <c r="F141" t="s">
        <v>29</v>
      </c>
      <c r="G141">
        <v>18.118300000000001</v>
      </c>
      <c r="H141">
        <v>116.4939</v>
      </c>
      <c r="I141">
        <v>187</v>
      </c>
      <c r="J141" t="s">
        <v>17</v>
      </c>
      <c r="K141">
        <v>23.3</v>
      </c>
      <c r="L141">
        <v>71.7</v>
      </c>
      <c r="M141" t="s">
        <v>22</v>
      </c>
      <c r="N141">
        <v>10</v>
      </c>
      <c r="O141">
        <v>209</v>
      </c>
      <c r="P141">
        <v>10</v>
      </c>
      <c r="Q141" t="s">
        <v>27</v>
      </c>
      <c r="R141">
        <v>97.2</v>
      </c>
      <c r="S141">
        <v>151</v>
      </c>
      <c r="T141">
        <v>1</v>
      </c>
      <c r="U141" t="str" cm="1">
        <f t="array" ref="U141">_xlfn.IFS(smart_dataset[[#This Row],[Waiting_Time]]&lt;=20,"Low",smart_dataset[[#This Row],[Waiting_Time]]&lt;=40,"Medium",TRUE,"High")</f>
        <v>Low</v>
      </c>
      <c r="V141" t="str" cm="1">
        <f t="array" ref="V141">_xlfn.IFS(smart_dataset[[#This Row],[Temperature]]&lt;=20,"Cold",smart_dataset[[#This Row],[Temperature]]&lt;=28,"Normal",TRUE,"Hot")</f>
        <v>Normal</v>
      </c>
      <c r="W141" t="str" cm="1">
        <f t="array" ref="W141">_xlfn.IFS(smart_dataset[[#This Row],[Asset_Utilization]]&lt;=75,"Low",smart_dataset[[#This Row],[Asset_Utilization]]&lt;=90,"Medium",TRUE,"High")</f>
        <v>High</v>
      </c>
    </row>
    <row r="142" spans="1:23" x14ac:dyDescent="0.25">
      <c r="A142" s="1">
        <v>45491.513425925928</v>
      </c>
      <c r="B142" s="1">
        <f>INT(smart_dataset[[#This Row],[Timestamp]])</f>
        <v>45491</v>
      </c>
      <c r="C142" s="7">
        <f>MOD(smart_dataset[[#This Row],[Timestamp]],1)</f>
        <v>0.51342592592845904</v>
      </c>
      <c r="D142">
        <f>YEAR(smart_dataset[[#This Row],[Date]])</f>
        <v>2024</v>
      </c>
      <c r="E142">
        <f>MONTH(smart_dataset[[#This Row],[Timestamp]])</f>
        <v>7</v>
      </c>
      <c r="F142" t="s">
        <v>24</v>
      </c>
      <c r="G142">
        <v>20.296900000000001</v>
      </c>
      <c r="H142">
        <v>124.1885</v>
      </c>
      <c r="I142">
        <v>298</v>
      </c>
      <c r="J142" t="s">
        <v>21</v>
      </c>
      <c r="K142">
        <v>18.600000000000001</v>
      </c>
      <c r="L142">
        <v>74.400000000000006</v>
      </c>
      <c r="M142" t="s">
        <v>18</v>
      </c>
      <c r="N142">
        <v>41</v>
      </c>
      <c r="O142">
        <v>248</v>
      </c>
      <c r="P142">
        <v>1</v>
      </c>
      <c r="Q142" t="s">
        <v>19</v>
      </c>
      <c r="R142">
        <v>86.3</v>
      </c>
      <c r="S142">
        <v>283</v>
      </c>
      <c r="T142">
        <v>0</v>
      </c>
      <c r="U142" t="str" cm="1">
        <f t="array" ref="U142">_xlfn.IFS(smart_dataset[[#This Row],[Waiting_Time]]&lt;=20,"Low",smart_dataset[[#This Row],[Waiting_Time]]&lt;=40,"Medium",TRUE,"High")</f>
        <v>High</v>
      </c>
      <c r="V142" t="str" cm="1">
        <f t="array" ref="V142">_xlfn.IFS(smart_dataset[[#This Row],[Temperature]]&lt;=20,"Cold",smart_dataset[[#This Row],[Temperature]]&lt;=28,"Normal",TRUE,"Hot")</f>
        <v>Cold</v>
      </c>
      <c r="W142" t="str" cm="1">
        <f t="array" ref="W142">_xlfn.IFS(smart_dataset[[#This Row],[Asset_Utilization]]&lt;=75,"Low",smart_dataset[[#This Row],[Asset_Utilization]]&lt;=90,"Medium",TRUE,"High")</f>
        <v>Medium</v>
      </c>
    </row>
    <row r="143" spans="1:23" hidden="1" x14ac:dyDescent="0.25">
      <c r="A143" s="1">
        <v>45642.492060185185</v>
      </c>
      <c r="B143" s="1">
        <f>INT(smart_dataset[[#This Row],[Timestamp]])</f>
        <v>45642</v>
      </c>
      <c r="C143" s="1">
        <f>MOD(smart_dataset[[#This Row],[Timestamp]],1)</f>
        <v>0.49206018518452765</v>
      </c>
      <c r="D143" s="1">
        <f>YEAR(smart_dataset[[#This Row],[Date]])</f>
        <v>2024</v>
      </c>
      <c r="E143" s="1">
        <f>MONTH(smart_dataset[[#This Row],[Timestamp]])</f>
        <v>12</v>
      </c>
      <c r="F143" t="s">
        <v>20</v>
      </c>
      <c r="G143">
        <v>-27.738700000000001</v>
      </c>
      <c r="H143">
        <v>19.6189</v>
      </c>
      <c r="I143">
        <v>331</v>
      </c>
      <c r="J143" t="s">
        <v>17</v>
      </c>
      <c r="K143">
        <v>21.4</v>
      </c>
      <c r="L143">
        <v>62.9</v>
      </c>
      <c r="M143" t="s">
        <v>18</v>
      </c>
      <c r="N143">
        <v>46</v>
      </c>
      <c r="O143">
        <v>235</v>
      </c>
      <c r="P143">
        <v>8</v>
      </c>
      <c r="Q143" t="s">
        <v>31</v>
      </c>
      <c r="R143">
        <v>62.6</v>
      </c>
      <c r="S143">
        <v>298</v>
      </c>
      <c r="T143">
        <v>1</v>
      </c>
      <c r="U143" t="str" cm="1">
        <f t="array" ref="U143">_xlfn.IFS(smart_dataset[[#This Row],[Waiting_Time]]&lt;=20,"Low",smart_dataset[[#This Row],[Waiting_Time]]&lt;=40,"Medium",TRUE,"High")</f>
        <v>High</v>
      </c>
      <c r="V143" t="str" cm="1">
        <f t="array" ref="V143">_xlfn.IFS(smart_dataset[[#This Row],[Temperature]]&lt;=20,"Cold",smart_dataset[[#This Row],[Temperature]]&lt;=28,"Normal",TRUE,"Hot")</f>
        <v>Normal</v>
      </c>
      <c r="W143" t="str" cm="1">
        <f t="array" ref="W143">_xlfn.IFS(smart_dataset[[#This Row],[Asset_Utilization]]&lt;=75,"Low",smart_dataset[[#This Row],[Asset_Utilization]]&lt;=90,"Medium",TRUE,"High")</f>
        <v>Low</v>
      </c>
    </row>
    <row r="144" spans="1:23" hidden="1" x14ac:dyDescent="0.25">
      <c r="A144" s="1">
        <v>45397.94258101852</v>
      </c>
      <c r="B144" s="1">
        <f>INT(smart_dataset[[#This Row],[Timestamp]])</f>
        <v>45397</v>
      </c>
      <c r="C144" s="1">
        <f>MOD(smart_dataset[[#This Row],[Timestamp]],1)</f>
        <v>0.94258101852028631</v>
      </c>
      <c r="D144" s="1">
        <f>YEAR(smart_dataset[[#This Row],[Date]])</f>
        <v>2024</v>
      </c>
      <c r="E144" s="1">
        <f>MONTH(smart_dataset[[#This Row],[Timestamp]])</f>
        <v>4</v>
      </c>
      <c r="F144" t="s">
        <v>30</v>
      </c>
      <c r="G144">
        <v>-31.1328</v>
      </c>
      <c r="H144">
        <v>175.84530000000001</v>
      </c>
      <c r="I144">
        <v>180</v>
      </c>
      <c r="J144" t="s">
        <v>26</v>
      </c>
      <c r="K144">
        <v>27.2</v>
      </c>
      <c r="L144">
        <v>52.9</v>
      </c>
      <c r="M144" t="s">
        <v>28</v>
      </c>
      <c r="N144">
        <v>29</v>
      </c>
      <c r="O144">
        <v>390</v>
      </c>
      <c r="P144">
        <v>8</v>
      </c>
      <c r="Q144" t="s">
        <v>31</v>
      </c>
      <c r="R144">
        <v>68.400000000000006</v>
      </c>
      <c r="S144">
        <v>110</v>
      </c>
      <c r="T144">
        <v>0</v>
      </c>
      <c r="U144" t="str" cm="1">
        <f t="array" ref="U144">_xlfn.IFS(smart_dataset[[#This Row],[Waiting_Time]]&lt;=20,"Low",smart_dataset[[#This Row],[Waiting_Time]]&lt;=40,"Medium",TRUE,"High")</f>
        <v>Medium</v>
      </c>
      <c r="V144" t="str" cm="1">
        <f t="array" ref="V144">_xlfn.IFS(smart_dataset[[#This Row],[Temperature]]&lt;=20,"Cold",smart_dataset[[#This Row],[Temperature]]&lt;=28,"Normal",TRUE,"Hot")</f>
        <v>Normal</v>
      </c>
      <c r="W144" t="str" cm="1">
        <f t="array" ref="W144">_xlfn.IFS(smart_dataset[[#This Row],[Asset_Utilization]]&lt;=75,"Low",smart_dataset[[#This Row],[Asset_Utilization]]&lt;=90,"Medium",TRUE,"High")</f>
        <v>Low</v>
      </c>
    </row>
    <row r="145" spans="1:23" hidden="1" x14ac:dyDescent="0.25">
      <c r="A145" s="1">
        <v>45387.437002314815</v>
      </c>
      <c r="B145" s="1">
        <f>INT(smart_dataset[[#This Row],[Timestamp]])</f>
        <v>45387</v>
      </c>
      <c r="C145" s="1">
        <f>MOD(smart_dataset[[#This Row],[Timestamp]],1)</f>
        <v>0.43700231481489027</v>
      </c>
      <c r="D145" s="1">
        <f>YEAR(smart_dataset[[#This Row],[Date]])</f>
        <v>2024</v>
      </c>
      <c r="E145" s="1">
        <f>MONTH(smart_dataset[[#This Row],[Timestamp]])</f>
        <v>4</v>
      </c>
      <c r="F145" t="s">
        <v>24</v>
      </c>
      <c r="G145">
        <v>24.8353</v>
      </c>
      <c r="H145">
        <v>-83.717299999999994</v>
      </c>
      <c r="I145">
        <v>282</v>
      </c>
      <c r="J145" t="s">
        <v>21</v>
      </c>
      <c r="K145">
        <v>19.399999999999999</v>
      </c>
      <c r="L145">
        <v>71.900000000000006</v>
      </c>
      <c r="M145" t="s">
        <v>28</v>
      </c>
      <c r="N145">
        <v>43</v>
      </c>
      <c r="O145">
        <v>464</v>
      </c>
      <c r="P145">
        <v>10</v>
      </c>
      <c r="Q145" t="s">
        <v>27</v>
      </c>
      <c r="R145">
        <v>90</v>
      </c>
      <c r="S145">
        <v>107</v>
      </c>
      <c r="T145">
        <v>0</v>
      </c>
      <c r="U145" t="str" cm="1">
        <f t="array" ref="U145">_xlfn.IFS(smart_dataset[[#This Row],[Waiting_Time]]&lt;=20,"Low",smart_dataset[[#This Row],[Waiting_Time]]&lt;=40,"Medium",TRUE,"High")</f>
        <v>High</v>
      </c>
      <c r="V145" t="str" cm="1">
        <f t="array" ref="V145">_xlfn.IFS(smart_dataset[[#This Row],[Temperature]]&lt;=20,"Cold",smart_dataset[[#This Row],[Temperature]]&lt;=28,"Normal",TRUE,"Hot")</f>
        <v>Cold</v>
      </c>
      <c r="W145" t="str" cm="1">
        <f t="array" ref="W145">_xlfn.IFS(smart_dataset[[#This Row],[Asset_Utilization]]&lt;=75,"Low",smart_dataset[[#This Row],[Asset_Utilization]]&lt;=90,"Medium",TRUE,"High")</f>
        <v>Medium</v>
      </c>
    </row>
    <row r="146" spans="1:23" hidden="1" x14ac:dyDescent="0.25">
      <c r="A146" s="1">
        <v>45646.518275462964</v>
      </c>
      <c r="B146" s="1">
        <f>INT(smart_dataset[[#This Row],[Timestamp]])</f>
        <v>45646</v>
      </c>
      <c r="C146" s="1">
        <f>MOD(smart_dataset[[#This Row],[Timestamp]],1)</f>
        <v>0.518275462964084</v>
      </c>
      <c r="D146" s="1">
        <f>YEAR(smart_dataset[[#This Row],[Date]])</f>
        <v>2024</v>
      </c>
      <c r="E146" s="1">
        <f>MONTH(smart_dataset[[#This Row],[Timestamp]])</f>
        <v>12</v>
      </c>
      <c r="F146" t="s">
        <v>29</v>
      </c>
      <c r="G146">
        <v>-32.723999999999997</v>
      </c>
      <c r="H146">
        <v>82.957700000000003</v>
      </c>
      <c r="I146">
        <v>363</v>
      </c>
      <c r="J146" t="s">
        <v>17</v>
      </c>
      <c r="K146">
        <v>27</v>
      </c>
      <c r="L146">
        <v>70.900000000000006</v>
      </c>
      <c r="M146" t="s">
        <v>18</v>
      </c>
      <c r="N146">
        <v>52</v>
      </c>
      <c r="O146">
        <v>482</v>
      </c>
      <c r="P146">
        <v>6</v>
      </c>
      <c r="Q146" t="s">
        <v>23</v>
      </c>
      <c r="R146">
        <v>62.9</v>
      </c>
      <c r="S146">
        <v>248</v>
      </c>
      <c r="T146">
        <v>1</v>
      </c>
      <c r="U146" t="str" cm="1">
        <f t="array" ref="U146">_xlfn.IFS(smart_dataset[[#This Row],[Waiting_Time]]&lt;=20,"Low",smart_dataset[[#This Row],[Waiting_Time]]&lt;=40,"Medium",TRUE,"High")</f>
        <v>High</v>
      </c>
      <c r="V146" t="str" cm="1">
        <f t="array" ref="V146">_xlfn.IFS(smart_dataset[[#This Row],[Temperature]]&lt;=20,"Cold",smart_dataset[[#This Row],[Temperature]]&lt;=28,"Normal",TRUE,"Hot")</f>
        <v>Normal</v>
      </c>
      <c r="W146" t="str" cm="1">
        <f t="array" ref="W146">_xlfn.IFS(smart_dataset[[#This Row],[Asset_Utilization]]&lt;=75,"Low",smart_dataset[[#This Row],[Asset_Utilization]]&lt;=90,"Medium",TRUE,"High")</f>
        <v>Low</v>
      </c>
    </row>
    <row r="147" spans="1:23" hidden="1" x14ac:dyDescent="0.25">
      <c r="A147" s="1">
        <v>45475.130173611113</v>
      </c>
      <c r="B147" s="1">
        <f>INT(smart_dataset[[#This Row],[Timestamp]])</f>
        <v>45475</v>
      </c>
      <c r="C147" s="1">
        <f>MOD(smart_dataset[[#This Row],[Timestamp]],1)</f>
        <v>0.13017361111269565</v>
      </c>
      <c r="D147" s="1">
        <f>YEAR(smart_dataset[[#This Row],[Date]])</f>
        <v>2024</v>
      </c>
      <c r="E147" s="1">
        <f>MONTH(smart_dataset[[#This Row],[Timestamp]])</f>
        <v>7</v>
      </c>
      <c r="F147" t="s">
        <v>33</v>
      </c>
      <c r="G147">
        <v>72.122</v>
      </c>
      <c r="H147">
        <v>89.972800000000007</v>
      </c>
      <c r="I147">
        <v>212</v>
      </c>
      <c r="J147" t="s">
        <v>26</v>
      </c>
      <c r="K147">
        <v>25.9</v>
      </c>
      <c r="L147">
        <v>68</v>
      </c>
      <c r="M147" t="s">
        <v>22</v>
      </c>
      <c r="N147">
        <v>32</v>
      </c>
      <c r="O147">
        <v>312</v>
      </c>
      <c r="P147">
        <v>6</v>
      </c>
      <c r="Q147" t="s">
        <v>31</v>
      </c>
      <c r="R147">
        <v>87.6</v>
      </c>
      <c r="S147">
        <v>296</v>
      </c>
      <c r="T147">
        <v>1</v>
      </c>
      <c r="U147" t="str" cm="1">
        <f t="array" ref="U147">_xlfn.IFS(smart_dataset[[#This Row],[Waiting_Time]]&lt;=20,"Low",smart_dataset[[#This Row],[Waiting_Time]]&lt;=40,"Medium",TRUE,"High")</f>
        <v>Medium</v>
      </c>
      <c r="V147" t="str" cm="1">
        <f t="array" ref="V147">_xlfn.IFS(smart_dataset[[#This Row],[Temperature]]&lt;=20,"Cold",smart_dataset[[#This Row],[Temperature]]&lt;=28,"Normal",TRUE,"Hot")</f>
        <v>Normal</v>
      </c>
      <c r="W147" t="str" cm="1">
        <f t="array" ref="W147">_xlfn.IFS(smart_dataset[[#This Row],[Asset_Utilization]]&lt;=75,"Low",smart_dataset[[#This Row],[Asset_Utilization]]&lt;=90,"Medium",TRUE,"High")</f>
        <v>Medium</v>
      </c>
    </row>
    <row r="148" spans="1:23" hidden="1" x14ac:dyDescent="0.25">
      <c r="A148" s="1">
        <v>45319.196793981479</v>
      </c>
      <c r="B148" s="1">
        <f>INT(smart_dataset[[#This Row],[Timestamp]])</f>
        <v>45319</v>
      </c>
      <c r="C148" s="1">
        <f>MOD(smart_dataset[[#This Row],[Timestamp]],1)</f>
        <v>0.19679398147854954</v>
      </c>
      <c r="D148" s="1">
        <f>YEAR(smart_dataset[[#This Row],[Date]])</f>
        <v>2024</v>
      </c>
      <c r="E148" s="1">
        <f>MONTH(smart_dataset[[#This Row],[Timestamp]])</f>
        <v>1</v>
      </c>
      <c r="F148" t="s">
        <v>35</v>
      </c>
      <c r="G148">
        <v>-7.6360000000000001</v>
      </c>
      <c r="H148">
        <v>51.061500000000002</v>
      </c>
      <c r="I148">
        <v>317</v>
      </c>
      <c r="J148" t="s">
        <v>21</v>
      </c>
      <c r="K148">
        <v>23.9</v>
      </c>
      <c r="L148">
        <v>69.5</v>
      </c>
      <c r="M148" t="s">
        <v>28</v>
      </c>
      <c r="N148">
        <v>59</v>
      </c>
      <c r="O148">
        <v>447</v>
      </c>
      <c r="P148">
        <v>1</v>
      </c>
      <c r="Q148" t="s">
        <v>23</v>
      </c>
      <c r="R148">
        <v>97.1</v>
      </c>
      <c r="S148">
        <v>294</v>
      </c>
      <c r="T148">
        <v>0</v>
      </c>
      <c r="U148" t="str" cm="1">
        <f t="array" ref="U148">_xlfn.IFS(smart_dataset[[#This Row],[Waiting_Time]]&lt;=20,"Low",smart_dataset[[#This Row],[Waiting_Time]]&lt;=40,"Medium",TRUE,"High")</f>
        <v>High</v>
      </c>
      <c r="V148" t="str" cm="1">
        <f t="array" ref="V148">_xlfn.IFS(smart_dataset[[#This Row],[Temperature]]&lt;=20,"Cold",smart_dataset[[#This Row],[Temperature]]&lt;=28,"Normal",TRUE,"Hot")</f>
        <v>Normal</v>
      </c>
      <c r="W148" t="str" cm="1">
        <f t="array" ref="W148">_xlfn.IFS(smart_dataset[[#This Row],[Asset_Utilization]]&lt;=75,"Low",smart_dataset[[#This Row],[Asset_Utilization]]&lt;=90,"Medium",TRUE,"High")</f>
        <v>High</v>
      </c>
    </row>
    <row r="149" spans="1:23" x14ac:dyDescent="0.25">
      <c r="A149" s="1">
        <v>45305.860578703701</v>
      </c>
      <c r="B149" s="1">
        <f>INT(smart_dataset[[#This Row],[Timestamp]])</f>
        <v>45305</v>
      </c>
      <c r="C149" s="7">
        <f>MOD(smart_dataset[[#This Row],[Timestamp]],1)</f>
        <v>0.8605787037013215</v>
      </c>
      <c r="D149">
        <f>YEAR(smart_dataset[[#This Row],[Date]])</f>
        <v>2024</v>
      </c>
      <c r="E149">
        <f>MONTH(smart_dataset[[#This Row],[Timestamp]])</f>
        <v>1</v>
      </c>
      <c r="F149" t="s">
        <v>30</v>
      </c>
      <c r="G149">
        <v>-24.011800000000001</v>
      </c>
      <c r="H149">
        <v>111.4726</v>
      </c>
      <c r="I149">
        <v>240</v>
      </c>
      <c r="J149" t="s">
        <v>26</v>
      </c>
      <c r="K149">
        <v>18.8</v>
      </c>
      <c r="L149">
        <v>63.9</v>
      </c>
      <c r="M149" t="s">
        <v>18</v>
      </c>
      <c r="N149">
        <v>23</v>
      </c>
      <c r="O149">
        <v>462</v>
      </c>
      <c r="P149">
        <v>1</v>
      </c>
      <c r="Q149" t="s">
        <v>19</v>
      </c>
      <c r="R149">
        <v>61.2</v>
      </c>
      <c r="S149">
        <v>276</v>
      </c>
      <c r="T149">
        <v>0</v>
      </c>
      <c r="U149" t="str" cm="1">
        <f t="array" ref="U149">_xlfn.IFS(smart_dataset[[#This Row],[Waiting_Time]]&lt;=20,"Low",smart_dataset[[#This Row],[Waiting_Time]]&lt;=40,"Medium",TRUE,"High")</f>
        <v>Medium</v>
      </c>
      <c r="V149" t="str" cm="1">
        <f t="array" ref="V149">_xlfn.IFS(smart_dataset[[#This Row],[Temperature]]&lt;=20,"Cold",smart_dataset[[#This Row],[Temperature]]&lt;=28,"Normal",TRUE,"Hot")</f>
        <v>Cold</v>
      </c>
      <c r="W149" t="str" cm="1">
        <f t="array" ref="W149">_xlfn.IFS(smart_dataset[[#This Row],[Asset_Utilization]]&lt;=75,"Low",smart_dataset[[#This Row],[Asset_Utilization]]&lt;=90,"Medium",TRUE,"High")</f>
        <v>Low</v>
      </c>
    </row>
    <row r="150" spans="1:23" hidden="1" x14ac:dyDescent="0.25">
      <c r="A150" s="1">
        <v>45510.482685185183</v>
      </c>
      <c r="B150" s="1">
        <f>INT(smart_dataset[[#This Row],[Timestamp]])</f>
        <v>45510</v>
      </c>
      <c r="C150" s="1">
        <f>MOD(smart_dataset[[#This Row],[Timestamp]],1)</f>
        <v>0.48268518518307246</v>
      </c>
      <c r="D150" s="1">
        <f>YEAR(smart_dataset[[#This Row],[Date]])</f>
        <v>2024</v>
      </c>
      <c r="E150" s="1">
        <f>MONTH(smart_dataset[[#This Row],[Timestamp]])</f>
        <v>8</v>
      </c>
      <c r="F150" t="s">
        <v>24</v>
      </c>
      <c r="G150">
        <v>77.004199999999997</v>
      </c>
      <c r="H150">
        <v>-12.2919</v>
      </c>
      <c r="I150">
        <v>427</v>
      </c>
      <c r="J150" t="s">
        <v>17</v>
      </c>
      <c r="K150">
        <v>20.3</v>
      </c>
      <c r="L150">
        <v>57.3</v>
      </c>
      <c r="M150" t="s">
        <v>22</v>
      </c>
      <c r="N150">
        <v>18</v>
      </c>
      <c r="O150">
        <v>341</v>
      </c>
      <c r="P150">
        <v>3</v>
      </c>
      <c r="Q150" t="s">
        <v>23</v>
      </c>
      <c r="R150">
        <v>85.7</v>
      </c>
      <c r="S150">
        <v>189</v>
      </c>
      <c r="T150">
        <v>1</v>
      </c>
      <c r="U150" t="str" cm="1">
        <f t="array" ref="U150">_xlfn.IFS(smart_dataset[[#This Row],[Waiting_Time]]&lt;=20,"Low",smart_dataset[[#This Row],[Waiting_Time]]&lt;=40,"Medium",TRUE,"High")</f>
        <v>Low</v>
      </c>
      <c r="V150" t="str" cm="1">
        <f t="array" ref="V150">_xlfn.IFS(smart_dataset[[#This Row],[Temperature]]&lt;=20,"Cold",smart_dataset[[#This Row],[Temperature]]&lt;=28,"Normal",TRUE,"Hot")</f>
        <v>Normal</v>
      </c>
      <c r="W150" t="str" cm="1">
        <f t="array" ref="W150">_xlfn.IFS(smart_dataset[[#This Row],[Asset_Utilization]]&lt;=75,"Low",smart_dataset[[#This Row],[Asset_Utilization]]&lt;=90,"Medium",TRUE,"High")</f>
        <v>Medium</v>
      </c>
    </row>
    <row r="151" spans="1:23" hidden="1" x14ac:dyDescent="0.25">
      <c r="A151" s="1">
        <v>45634.048877314817</v>
      </c>
      <c r="B151" s="1">
        <f>INT(smart_dataset[[#This Row],[Timestamp]])</f>
        <v>45634</v>
      </c>
      <c r="C151" s="1">
        <f>MOD(smart_dataset[[#This Row],[Timestamp]],1)</f>
        <v>4.8877314817218576E-2</v>
      </c>
      <c r="D151" s="1">
        <f>YEAR(smart_dataset[[#This Row],[Date]])</f>
        <v>2024</v>
      </c>
      <c r="E151" s="1">
        <f>MONTH(smart_dataset[[#This Row],[Timestamp]])</f>
        <v>12</v>
      </c>
      <c r="F151" t="s">
        <v>24</v>
      </c>
      <c r="G151">
        <v>-38.686700000000002</v>
      </c>
      <c r="H151">
        <v>-19.9939</v>
      </c>
      <c r="I151">
        <v>144</v>
      </c>
      <c r="J151" t="s">
        <v>17</v>
      </c>
      <c r="K151">
        <v>18.2</v>
      </c>
      <c r="L151">
        <v>53.1</v>
      </c>
      <c r="M151" t="s">
        <v>28</v>
      </c>
      <c r="N151">
        <v>16</v>
      </c>
      <c r="O151">
        <v>106</v>
      </c>
      <c r="P151">
        <v>5</v>
      </c>
      <c r="Q151" t="s">
        <v>23</v>
      </c>
      <c r="R151">
        <v>69.400000000000006</v>
      </c>
      <c r="S151">
        <v>214</v>
      </c>
      <c r="T151">
        <v>1</v>
      </c>
      <c r="U151" t="str" cm="1">
        <f t="array" ref="U151">_xlfn.IFS(smart_dataset[[#This Row],[Waiting_Time]]&lt;=20,"Low",smart_dataset[[#This Row],[Waiting_Time]]&lt;=40,"Medium",TRUE,"High")</f>
        <v>Low</v>
      </c>
      <c r="V151" t="str" cm="1">
        <f t="array" ref="V151">_xlfn.IFS(smart_dataset[[#This Row],[Temperature]]&lt;=20,"Cold",smart_dataset[[#This Row],[Temperature]]&lt;=28,"Normal",TRUE,"Hot")</f>
        <v>Cold</v>
      </c>
      <c r="W151" t="str" cm="1">
        <f t="array" ref="W151">_xlfn.IFS(smart_dataset[[#This Row],[Asset_Utilization]]&lt;=75,"Low",smart_dataset[[#This Row],[Asset_Utilization]]&lt;=90,"Medium",TRUE,"High")</f>
        <v>Low</v>
      </c>
    </row>
    <row r="152" spans="1:23" hidden="1" x14ac:dyDescent="0.25">
      <c r="A152" s="1">
        <v>45349.077766203707</v>
      </c>
      <c r="B152" s="1">
        <f>INT(smart_dataset[[#This Row],[Timestamp]])</f>
        <v>45349</v>
      </c>
      <c r="C152" s="1">
        <f>MOD(smart_dataset[[#This Row],[Timestamp]],1)</f>
        <v>7.7766203707142267E-2</v>
      </c>
      <c r="D152" s="1">
        <f>YEAR(smart_dataset[[#This Row],[Date]])</f>
        <v>2024</v>
      </c>
      <c r="E152" s="1">
        <f>MONTH(smart_dataset[[#This Row],[Timestamp]])</f>
        <v>2</v>
      </c>
      <c r="F152" t="s">
        <v>32</v>
      </c>
      <c r="G152">
        <v>41.375</v>
      </c>
      <c r="H152">
        <v>77.294899999999998</v>
      </c>
      <c r="I152">
        <v>280</v>
      </c>
      <c r="J152" t="s">
        <v>21</v>
      </c>
      <c r="K152">
        <v>25.5</v>
      </c>
      <c r="L152">
        <v>74.2</v>
      </c>
      <c r="M152" t="s">
        <v>28</v>
      </c>
      <c r="N152">
        <v>46</v>
      </c>
      <c r="O152">
        <v>447</v>
      </c>
      <c r="P152">
        <v>2</v>
      </c>
      <c r="Q152" t="s">
        <v>27</v>
      </c>
      <c r="R152">
        <v>65.3</v>
      </c>
      <c r="S152">
        <v>236</v>
      </c>
      <c r="T152">
        <v>0</v>
      </c>
      <c r="U152" t="str" cm="1">
        <f t="array" ref="U152">_xlfn.IFS(smart_dataset[[#This Row],[Waiting_Time]]&lt;=20,"Low",smart_dataset[[#This Row],[Waiting_Time]]&lt;=40,"Medium",TRUE,"High")</f>
        <v>High</v>
      </c>
      <c r="V152" t="str" cm="1">
        <f t="array" ref="V152">_xlfn.IFS(smart_dataset[[#This Row],[Temperature]]&lt;=20,"Cold",smart_dataset[[#This Row],[Temperature]]&lt;=28,"Normal",TRUE,"Hot")</f>
        <v>Normal</v>
      </c>
      <c r="W152" t="str" cm="1">
        <f t="array" ref="W152">_xlfn.IFS(smart_dataset[[#This Row],[Asset_Utilization]]&lt;=75,"Low",smart_dataset[[#This Row],[Asset_Utilization]]&lt;=90,"Medium",TRUE,"High")</f>
        <v>Low</v>
      </c>
    </row>
    <row r="153" spans="1:23" x14ac:dyDescent="0.25">
      <c r="A153" s="1">
        <v>45336.894803240742</v>
      </c>
      <c r="B153" s="1">
        <f>INT(smart_dataset[[#This Row],[Timestamp]])</f>
        <v>45336</v>
      </c>
      <c r="C153" s="7">
        <f>MOD(smart_dataset[[#This Row],[Timestamp]],1)</f>
        <v>0.89480324074247619</v>
      </c>
      <c r="D153">
        <f>YEAR(smart_dataset[[#This Row],[Date]])</f>
        <v>2024</v>
      </c>
      <c r="E153">
        <f>MONTH(smart_dataset[[#This Row],[Timestamp]])</f>
        <v>2</v>
      </c>
      <c r="F153" t="s">
        <v>30</v>
      </c>
      <c r="G153">
        <v>-68.465100000000007</v>
      </c>
      <c r="H153">
        <v>179.44329999999999</v>
      </c>
      <c r="I153">
        <v>182</v>
      </c>
      <c r="J153" t="s">
        <v>17</v>
      </c>
      <c r="K153">
        <v>20.3</v>
      </c>
      <c r="L153">
        <v>59.8</v>
      </c>
      <c r="M153" t="s">
        <v>18</v>
      </c>
      <c r="N153">
        <v>30</v>
      </c>
      <c r="O153">
        <v>288</v>
      </c>
      <c r="P153">
        <v>7</v>
      </c>
      <c r="Q153" t="s">
        <v>19</v>
      </c>
      <c r="R153">
        <v>83.3</v>
      </c>
      <c r="S153">
        <v>107</v>
      </c>
      <c r="T153">
        <v>1</v>
      </c>
      <c r="U153" t="str" cm="1">
        <f t="array" ref="U153">_xlfn.IFS(smart_dataset[[#This Row],[Waiting_Time]]&lt;=20,"Low",smart_dataset[[#This Row],[Waiting_Time]]&lt;=40,"Medium",TRUE,"High")</f>
        <v>Medium</v>
      </c>
      <c r="V153" t="str" cm="1">
        <f t="array" ref="V153">_xlfn.IFS(smart_dataset[[#This Row],[Temperature]]&lt;=20,"Cold",smart_dataset[[#This Row],[Temperature]]&lt;=28,"Normal",TRUE,"Hot")</f>
        <v>Normal</v>
      </c>
      <c r="W153" t="str" cm="1">
        <f t="array" ref="W153">_xlfn.IFS(smart_dataset[[#This Row],[Asset_Utilization]]&lt;=75,"Low",smart_dataset[[#This Row],[Asset_Utilization]]&lt;=90,"Medium",TRUE,"High")</f>
        <v>Medium</v>
      </c>
    </row>
    <row r="154" spans="1:23" hidden="1" x14ac:dyDescent="0.25">
      <c r="A154" s="1">
        <v>45372.491956018515</v>
      </c>
      <c r="B154" s="1">
        <f>INT(smart_dataset[[#This Row],[Timestamp]])</f>
        <v>45372</v>
      </c>
      <c r="C154" s="1">
        <f>MOD(smart_dataset[[#This Row],[Timestamp]],1)</f>
        <v>0.49195601851533866</v>
      </c>
      <c r="D154" s="1">
        <f>YEAR(smart_dataset[[#This Row],[Date]])</f>
        <v>2024</v>
      </c>
      <c r="E154" s="1">
        <f>MONTH(smart_dataset[[#This Row],[Timestamp]])</f>
        <v>3</v>
      </c>
      <c r="F154" t="s">
        <v>33</v>
      </c>
      <c r="G154">
        <v>-13.0063</v>
      </c>
      <c r="H154">
        <v>0.53449999999999998</v>
      </c>
      <c r="I154">
        <v>439</v>
      </c>
      <c r="J154" t="s">
        <v>17</v>
      </c>
      <c r="K154">
        <v>21.5</v>
      </c>
      <c r="L154">
        <v>72.8</v>
      </c>
      <c r="M154" t="s">
        <v>22</v>
      </c>
      <c r="N154">
        <v>30</v>
      </c>
      <c r="O154">
        <v>101</v>
      </c>
      <c r="P154">
        <v>10</v>
      </c>
      <c r="Q154" t="s">
        <v>31</v>
      </c>
      <c r="R154">
        <v>90.4</v>
      </c>
      <c r="S154">
        <v>114</v>
      </c>
      <c r="T154">
        <v>1</v>
      </c>
      <c r="U154" t="str" cm="1">
        <f t="array" ref="U154">_xlfn.IFS(smart_dataset[[#This Row],[Waiting_Time]]&lt;=20,"Low",smart_dataset[[#This Row],[Waiting_Time]]&lt;=40,"Medium",TRUE,"High")</f>
        <v>Medium</v>
      </c>
      <c r="V154" t="str" cm="1">
        <f t="array" ref="V154">_xlfn.IFS(smart_dataset[[#This Row],[Temperature]]&lt;=20,"Cold",smart_dataset[[#This Row],[Temperature]]&lt;=28,"Normal",TRUE,"Hot")</f>
        <v>Normal</v>
      </c>
      <c r="W154" t="str" cm="1">
        <f t="array" ref="W154">_xlfn.IFS(smart_dataset[[#This Row],[Asset_Utilization]]&lt;=75,"Low",smart_dataset[[#This Row],[Asset_Utilization]]&lt;=90,"Medium",TRUE,"High")</f>
        <v>High</v>
      </c>
    </row>
    <row r="155" spans="1:23" hidden="1" x14ac:dyDescent="0.25">
      <c r="A155" s="1">
        <v>45581.955706018518</v>
      </c>
      <c r="B155" s="1">
        <f>INT(smart_dataset[[#This Row],[Timestamp]])</f>
        <v>45581</v>
      </c>
      <c r="C155" s="1">
        <f>MOD(smart_dataset[[#This Row],[Timestamp]],1)</f>
        <v>0.955706018517958</v>
      </c>
      <c r="D155" s="1">
        <f>YEAR(smart_dataset[[#This Row],[Date]])</f>
        <v>2024</v>
      </c>
      <c r="E155" s="1">
        <f>MONTH(smart_dataset[[#This Row],[Timestamp]])</f>
        <v>10</v>
      </c>
      <c r="F155" t="s">
        <v>30</v>
      </c>
      <c r="G155">
        <v>41.306600000000003</v>
      </c>
      <c r="H155">
        <v>161.14619999999999</v>
      </c>
      <c r="I155">
        <v>174</v>
      </c>
      <c r="J155" t="s">
        <v>17</v>
      </c>
      <c r="K155">
        <v>27.2</v>
      </c>
      <c r="L155">
        <v>77.900000000000006</v>
      </c>
      <c r="M155" t="s">
        <v>22</v>
      </c>
      <c r="N155">
        <v>39</v>
      </c>
      <c r="O155">
        <v>173</v>
      </c>
      <c r="P155">
        <v>5</v>
      </c>
      <c r="Q155" t="s">
        <v>31</v>
      </c>
      <c r="R155">
        <v>91.1</v>
      </c>
      <c r="S155">
        <v>262</v>
      </c>
      <c r="T155">
        <v>1</v>
      </c>
      <c r="U155" t="str" cm="1">
        <f t="array" ref="U155">_xlfn.IFS(smart_dataset[[#This Row],[Waiting_Time]]&lt;=20,"Low",smart_dataset[[#This Row],[Waiting_Time]]&lt;=40,"Medium",TRUE,"High")</f>
        <v>Medium</v>
      </c>
      <c r="V155" t="str" cm="1">
        <f t="array" ref="V155">_xlfn.IFS(smart_dataset[[#This Row],[Temperature]]&lt;=20,"Cold",smart_dataset[[#This Row],[Temperature]]&lt;=28,"Normal",TRUE,"Hot")</f>
        <v>Normal</v>
      </c>
      <c r="W155" t="str" cm="1">
        <f t="array" ref="W155">_xlfn.IFS(smart_dataset[[#This Row],[Asset_Utilization]]&lt;=75,"Low",smart_dataset[[#This Row],[Asset_Utilization]]&lt;=90,"Medium",TRUE,"High")</f>
        <v>High</v>
      </c>
    </row>
    <row r="156" spans="1:23" x14ac:dyDescent="0.25">
      <c r="A156" s="1">
        <v>45343.972696759258</v>
      </c>
      <c r="B156" s="1">
        <f>INT(smart_dataset[[#This Row],[Timestamp]])</f>
        <v>45343</v>
      </c>
      <c r="C156" s="7">
        <f>MOD(smart_dataset[[#This Row],[Timestamp]],1)</f>
        <v>0.97269675925781485</v>
      </c>
      <c r="D156">
        <f>YEAR(smart_dataset[[#This Row],[Date]])</f>
        <v>2024</v>
      </c>
      <c r="E156">
        <f>MONTH(smart_dataset[[#This Row],[Timestamp]])</f>
        <v>2</v>
      </c>
      <c r="F156" t="s">
        <v>20</v>
      </c>
      <c r="G156">
        <v>-23.101099999999999</v>
      </c>
      <c r="H156">
        <v>-54.517600000000002</v>
      </c>
      <c r="I156">
        <v>186</v>
      </c>
      <c r="J156" t="s">
        <v>17</v>
      </c>
      <c r="K156">
        <v>24</v>
      </c>
      <c r="L156">
        <v>67.3</v>
      </c>
      <c r="M156" t="s">
        <v>18</v>
      </c>
      <c r="N156">
        <v>44</v>
      </c>
      <c r="O156">
        <v>352</v>
      </c>
      <c r="P156">
        <v>9</v>
      </c>
      <c r="Q156" t="s">
        <v>19</v>
      </c>
      <c r="R156">
        <v>85.7</v>
      </c>
      <c r="S156">
        <v>262</v>
      </c>
      <c r="T156">
        <v>1</v>
      </c>
      <c r="U156" t="str" cm="1">
        <f t="array" ref="U156">_xlfn.IFS(smart_dataset[[#This Row],[Waiting_Time]]&lt;=20,"Low",smart_dataset[[#This Row],[Waiting_Time]]&lt;=40,"Medium",TRUE,"High")</f>
        <v>High</v>
      </c>
      <c r="V156" t="str" cm="1">
        <f t="array" ref="V156">_xlfn.IFS(smart_dataset[[#This Row],[Temperature]]&lt;=20,"Cold",smart_dataset[[#This Row],[Temperature]]&lt;=28,"Normal",TRUE,"Hot")</f>
        <v>Normal</v>
      </c>
      <c r="W156" t="str" cm="1">
        <f t="array" ref="W156">_xlfn.IFS(smart_dataset[[#This Row],[Asset_Utilization]]&lt;=75,"Low",smart_dataset[[#This Row],[Asset_Utilization]]&lt;=90,"Medium",TRUE,"High")</f>
        <v>Medium</v>
      </c>
    </row>
    <row r="157" spans="1:23" x14ac:dyDescent="0.25">
      <c r="A157" s="1">
        <v>45559.928587962961</v>
      </c>
      <c r="B157" s="1">
        <f>INT(smart_dataset[[#This Row],[Timestamp]])</f>
        <v>45559</v>
      </c>
      <c r="C157" s="7">
        <f>MOD(smart_dataset[[#This Row],[Timestamp]],1)</f>
        <v>0.92858796296059154</v>
      </c>
      <c r="D157">
        <f>YEAR(smart_dataset[[#This Row],[Date]])</f>
        <v>2024</v>
      </c>
      <c r="E157">
        <f>MONTH(smart_dataset[[#This Row],[Timestamp]])</f>
        <v>9</v>
      </c>
      <c r="F157" t="s">
        <v>24</v>
      </c>
      <c r="G157">
        <v>-17.608799999999999</v>
      </c>
      <c r="H157">
        <v>-41.430399999999999</v>
      </c>
      <c r="I157">
        <v>109</v>
      </c>
      <c r="J157" t="s">
        <v>26</v>
      </c>
      <c r="K157">
        <v>26.9</v>
      </c>
      <c r="L157">
        <v>75.3</v>
      </c>
      <c r="M157" t="s">
        <v>18</v>
      </c>
      <c r="N157">
        <v>26</v>
      </c>
      <c r="O157">
        <v>314</v>
      </c>
      <c r="P157">
        <v>7</v>
      </c>
      <c r="Q157" t="s">
        <v>19</v>
      </c>
      <c r="R157">
        <v>93.3</v>
      </c>
      <c r="S157">
        <v>176</v>
      </c>
      <c r="T157">
        <v>0</v>
      </c>
      <c r="U157" t="str" cm="1">
        <f t="array" ref="U157">_xlfn.IFS(smart_dataset[[#This Row],[Waiting_Time]]&lt;=20,"Low",smart_dataset[[#This Row],[Waiting_Time]]&lt;=40,"Medium",TRUE,"High")</f>
        <v>Medium</v>
      </c>
      <c r="V157" t="str" cm="1">
        <f t="array" ref="V157">_xlfn.IFS(smart_dataset[[#This Row],[Temperature]]&lt;=20,"Cold",smart_dataset[[#This Row],[Temperature]]&lt;=28,"Normal",TRUE,"Hot")</f>
        <v>Normal</v>
      </c>
      <c r="W157" t="str" cm="1">
        <f t="array" ref="W157">_xlfn.IFS(smart_dataset[[#This Row],[Asset_Utilization]]&lt;=75,"Low",smart_dataset[[#This Row],[Asset_Utilization]]&lt;=90,"Medium",TRUE,"High")</f>
        <v>High</v>
      </c>
    </row>
    <row r="158" spans="1:23" hidden="1" x14ac:dyDescent="0.25">
      <c r="A158" s="1">
        <v>45381.432060185187</v>
      </c>
      <c r="B158" s="1">
        <f>INT(smart_dataset[[#This Row],[Timestamp]])</f>
        <v>45381</v>
      </c>
      <c r="C158" s="1">
        <f>MOD(smart_dataset[[#This Row],[Timestamp]],1)</f>
        <v>0.43206018518685596</v>
      </c>
      <c r="D158" s="1">
        <f>YEAR(smart_dataset[[#This Row],[Date]])</f>
        <v>2024</v>
      </c>
      <c r="E158" s="1">
        <f>MONTH(smart_dataset[[#This Row],[Timestamp]])</f>
        <v>3</v>
      </c>
      <c r="F158" t="s">
        <v>29</v>
      </c>
      <c r="G158">
        <v>-72.449200000000005</v>
      </c>
      <c r="H158">
        <v>131.85239999999999</v>
      </c>
      <c r="I158">
        <v>483</v>
      </c>
      <c r="J158" t="s">
        <v>21</v>
      </c>
      <c r="K158">
        <v>21.9</v>
      </c>
      <c r="L158">
        <v>71.900000000000006</v>
      </c>
      <c r="M158" t="s">
        <v>18</v>
      </c>
      <c r="N158">
        <v>59</v>
      </c>
      <c r="O158">
        <v>226</v>
      </c>
      <c r="P158">
        <v>10</v>
      </c>
      <c r="Q158" t="s">
        <v>31</v>
      </c>
      <c r="R158">
        <v>69.2</v>
      </c>
      <c r="S158">
        <v>152</v>
      </c>
      <c r="T158">
        <v>0</v>
      </c>
      <c r="U158" t="str" cm="1">
        <f t="array" ref="U158">_xlfn.IFS(smart_dataset[[#This Row],[Waiting_Time]]&lt;=20,"Low",smart_dataset[[#This Row],[Waiting_Time]]&lt;=40,"Medium",TRUE,"High")</f>
        <v>High</v>
      </c>
      <c r="V158" t="str" cm="1">
        <f t="array" ref="V158">_xlfn.IFS(smart_dataset[[#This Row],[Temperature]]&lt;=20,"Cold",smart_dataset[[#This Row],[Temperature]]&lt;=28,"Normal",TRUE,"Hot")</f>
        <v>Normal</v>
      </c>
      <c r="W158" t="str" cm="1">
        <f t="array" ref="W158">_xlfn.IFS(smart_dataset[[#This Row],[Asset_Utilization]]&lt;=75,"Low",smart_dataset[[#This Row],[Asset_Utilization]]&lt;=90,"Medium",TRUE,"High")</f>
        <v>Low</v>
      </c>
    </row>
    <row r="159" spans="1:23" x14ac:dyDescent="0.25">
      <c r="A159" s="1">
        <v>45641.317395833335</v>
      </c>
      <c r="B159" s="1">
        <f>INT(smart_dataset[[#This Row],[Timestamp]])</f>
        <v>45641</v>
      </c>
      <c r="C159" s="7">
        <f>MOD(smart_dataset[[#This Row],[Timestamp]],1)</f>
        <v>0.31739583333546761</v>
      </c>
      <c r="D159">
        <f>YEAR(smart_dataset[[#This Row],[Date]])</f>
        <v>2024</v>
      </c>
      <c r="E159">
        <f>MONTH(smart_dataset[[#This Row],[Timestamp]])</f>
        <v>12</v>
      </c>
      <c r="F159" t="s">
        <v>30</v>
      </c>
      <c r="G159">
        <v>27.360099999999999</v>
      </c>
      <c r="H159">
        <v>-105.0457</v>
      </c>
      <c r="I159">
        <v>100</v>
      </c>
      <c r="J159" t="s">
        <v>17</v>
      </c>
      <c r="K159">
        <v>27.5</v>
      </c>
      <c r="L159">
        <v>68.599999999999994</v>
      </c>
      <c r="M159" t="s">
        <v>28</v>
      </c>
      <c r="N159">
        <v>49</v>
      </c>
      <c r="O159">
        <v>464</v>
      </c>
      <c r="P159">
        <v>3</v>
      </c>
      <c r="Q159" t="s">
        <v>19</v>
      </c>
      <c r="R159">
        <v>61.7</v>
      </c>
      <c r="S159">
        <v>149</v>
      </c>
      <c r="T159">
        <v>1</v>
      </c>
      <c r="U159" t="str" cm="1">
        <f t="array" ref="U159">_xlfn.IFS(smart_dataset[[#This Row],[Waiting_Time]]&lt;=20,"Low",smart_dataset[[#This Row],[Waiting_Time]]&lt;=40,"Medium",TRUE,"High")</f>
        <v>High</v>
      </c>
      <c r="V159" t="str" cm="1">
        <f t="array" ref="V159">_xlfn.IFS(smart_dataset[[#This Row],[Temperature]]&lt;=20,"Cold",smart_dataset[[#This Row],[Temperature]]&lt;=28,"Normal",TRUE,"Hot")</f>
        <v>Normal</v>
      </c>
      <c r="W159" t="str" cm="1">
        <f t="array" ref="W159">_xlfn.IFS(smart_dataset[[#This Row],[Asset_Utilization]]&lt;=75,"Low",smart_dataset[[#This Row],[Asset_Utilization]]&lt;=90,"Medium",TRUE,"High")</f>
        <v>Low</v>
      </c>
    </row>
    <row r="160" spans="1:23" hidden="1" x14ac:dyDescent="0.25">
      <c r="A160" s="1">
        <v>45377.936990740738</v>
      </c>
      <c r="B160" s="1">
        <f>INT(smart_dataset[[#This Row],[Timestamp]])</f>
        <v>45377</v>
      </c>
      <c r="C160" s="1">
        <f>MOD(smart_dataset[[#This Row],[Timestamp]],1)</f>
        <v>0.93699074073811062</v>
      </c>
      <c r="D160" s="1">
        <f>YEAR(smart_dataset[[#This Row],[Date]])</f>
        <v>2024</v>
      </c>
      <c r="E160" s="1">
        <f>MONTH(smart_dataset[[#This Row],[Timestamp]])</f>
        <v>3</v>
      </c>
      <c r="F160" t="s">
        <v>35</v>
      </c>
      <c r="G160">
        <v>-86.5291</v>
      </c>
      <c r="H160">
        <v>-36.578899999999997</v>
      </c>
      <c r="I160">
        <v>128</v>
      </c>
      <c r="J160" t="s">
        <v>26</v>
      </c>
      <c r="K160">
        <v>28.9</v>
      </c>
      <c r="L160">
        <v>63.7</v>
      </c>
      <c r="M160" t="s">
        <v>28</v>
      </c>
      <c r="N160">
        <v>56</v>
      </c>
      <c r="O160">
        <v>140</v>
      </c>
      <c r="P160">
        <v>1</v>
      </c>
      <c r="Q160" t="s">
        <v>23</v>
      </c>
      <c r="R160">
        <v>72.8</v>
      </c>
      <c r="S160">
        <v>127</v>
      </c>
      <c r="T160">
        <v>0</v>
      </c>
      <c r="U160" t="str" cm="1">
        <f t="array" ref="U160">_xlfn.IFS(smart_dataset[[#This Row],[Waiting_Time]]&lt;=20,"Low",smart_dataset[[#This Row],[Waiting_Time]]&lt;=40,"Medium",TRUE,"High")</f>
        <v>High</v>
      </c>
      <c r="V160" t="str" cm="1">
        <f t="array" ref="V160">_xlfn.IFS(smart_dataset[[#This Row],[Temperature]]&lt;=20,"Cold",smart_dataset[[#This Row],[Temperature]]&lt;=28,"Normal",TRUE,"Hot")</f>
        <v>Hot</v>
      </c>
      <c r="W160" t="str" cm="1">
        <f t="array" ref="W160">_xlfn.IFS(smart_dataset[[#This Row],[Asset_Utilization]]&lt;=75,"Low",smart_dataset[[#This Row],[Asset_Utilization]]&lt;=90,"Medium",TRUE,"High")</f>
        <v>Low</v>
      </c>
    </row>
    <row r="161" spans="1:23" hidden="1" x14ac:dyDescent="0.25">
      <c r="A161" s="1">
        <v>45421.784409722219</v>
      </c>
      <c r="B161" s="1">
        <f>INT(smart_dataset[[#This Row],[Timestamp]])</f>
        <v>45421</v>
      </c>
      <c r="C161" s="1">
        <f>MOD(smart_dataset[[#This Row],[Timestamp]],1)</f>
        <v>0.78440972221869742</v>
      </c>
      <c r="D161" s="1">
        <f>YEAR(smart_dataset[[#This Row],[Date]])</f>
        <v>2024</v>
      </c>
      <c r="E161" s="1">
        <f>MONTH(smart_dataset[[#This Row],[Timestamp]])</f>
        <v>5</v>
      </c>
      <c r="F161" t="s">
        <v>24</v>
      </c>
      <c r="G161">
        <v>10.207800000000001</v>
      </c>
      <c r="H161">
        <v>36.856999999999999</v>
      </c>
      <c r="I161">
        <v>100</v>
      </c>
      <c r="J161" t="s">
        <v>21</v>
      </c>
      <c r="K161">
        <v>21.9</v>
      </c>
      <c r="L161">
        <v>72.099999999999994</v>
      </c>
      <c r="M161" t="s">
        <v>18</v>
      </c>
      <c r="N161">
        <v>22</v>
      </c>
      <c r="O161">
        <v>413</v>
      </c>
      <c r="P161">
        <v>1</v>
      </c>
      <c r="Q161" t="s">
        <v>23</v>
      </c>
      <c r="R161">
        <v>67.5</v>
      </c>
      <c r="S161">
        <v>145</v>
      </c>
      <c r="T161">
        <v>0</v>
      </c>
      <c r="U161" t="str" cm="1">
        <f t="array" ref="U161">_xlfn.IFS(smart_dataset[[#This Row],[Waiting_Time]]&lt;=20,"Low",smart_dataset[[#This Row],[Waiting_Time]]&lt;=40,"Medium",TRUE,"High")</f>
        <v>Medium</v>
      </c>
      <c r="V161" t="str" cm="1">
        <f t="array" ref="V161">_xlfn.IFS(smart_dataset[[#This Row],[Temperature]]&lt;=20,"Cold",smart_dataset[[#This Row],[Temperature]]&lt;=28,"Normal",TRUE,"Hot")</f>
        <v>Normal</v>
      </c>
      <c r="W161" t="str" cm="1">
        <f t="array" ref="W161">_xlfn.IFS(smart_dataset[[#This Row],[Asset_Utilization]]&lt;=75,"Low",smart_dataset[[#This Row],[Asset_Utilization]]&lt;=90,"Medium",TRUE,"High")</f>
        <v>Low</v>
      </c>
    </row>
    <row r="162" spans="1:23" x14ac:dyDescent="0.25">
      <c r="A162" s="1">
        <v>45615.414594907408</v>
      </c>
      <c r="B162" s="1">
        <f>INT(smart_dataset[[#This Row],[Timestamp]])</f>
        <v>45615</v>
      </c>
      <c r="C162" s="7">
        <f>MOD(smart_dataset[[#This Row],[Timestamp]],1)</f>
        <v>0.41459490740817273</v>
      </c>
      <c r="D162">
        <f>YEAR(smart_dataset[[#This Row],[Date]])</f>
        <v>2024</v>
      </c>
      <c r="E162">
        <f>MONTH(smart_dataset[[#This Row],[Timestamp]])</f>
        <v>11</v>
      </c>
      <c r="F162" t="s">
        <v>20</v>
      </c>
      <c r="G162">
        <v>-42.675899999999999</v>
      </c>
      <c r="H162">
        <v>-7.9817999999999998</v>
      </c>
      <c r="I162">
        <v>468</v>
      </c>
      <c r="J162" t="s">
        <v>17</v>
      </c>
      <c r="K162">
        <v>28.6</v>
      </c>
      <c r="L162">
        <v>65.099999999999994</v>
      </c>
      <c r="M162" t="s">
        <v>22</v>
      </c>
      <c r="N162">
        <v>45</v>
      </c>
      <c r="O162">
        <v>419</v>
      </c>
      <c r="P162">
        <v>8</v>
      </c>
      <c r="Q162" t="s">
        <v>19</v>
      </c>
      <c r="R162">
        <v>76.099999999999994</v>
      </c>
      <c r="S162">
        <v>119</v>
      </c>
      <c r="T162">
        <v>1</v>
      </c>
      <c r="U162" t="str" cm="1">
        <f t="array" ref="U162">_xlfn.IFS(smart_dataset[[#This Row],[Waiting_Time]]&lt;=20,"Low",smart_dataset[[#This Row],[Waiting_Time]]&lt;=40,"Medium",TRUE,"High")</f>
        <v>High</v>
      </c>
      <c r="V162" t="str" cm="1">
        <f t="array" ref="V162">_xlfn.IFS(smart_dataset[[#This Row],[Temperature]]&lt;=20,"Cold",smart_dataset[[#This Row],[Temperature]]&lt;=28,"Normal",TRUE,"Hot")</f>
        <v>Hot</v>
      </c>
      <c r="W162" t="str" cm="1">
        <f t="array" ref="W162">_xlfn.IFS(smart_dataset[[#This Row],[Asset_Utilization]]&lt;=75,"Low",smart_dataset[[#This Row],[Asset_Utilization]]&lt;=90,"Medium",TRUE,"High")</f>
        <v>Medium</v>
      </c>
    </row>
    <row r="163" spans="1:23" x14ac:dyDescent="0.25">
      <c r="A163" s="1">
        <v>45622.714687500003</v>
      </c>
      <c r="B163" s="1">
        <f>INT(smart_dataset[[#This Row],[Timestamp]])</f>
        <v>45622</v>
      </c>
      <c r="C163" s="7">
        <f>MOD(smart_dataset[[#This Row],[Timestamp]],1)</f>
        <v>0.71468750000349246</v>
      </c>
      <c r="D163">
        <f>YEAR(smart_dataset[[#This Row],[Date]])</f>
        <v>2024</v>
      </c>
      <c r="E163">
        <f>MONTH(smart_dataset[[#This Row],[Timestamp]])</f>
        <v>11</v>
      </c>
      <c r="F163" t="s">
        <v>32</v>
      </c>
      <c r="G163">
        <v>36.249400000000001</v>
      </c>
      <c r="H163">
        <v>143.1951</v>
      </c>
      <c r="I163">
        <v>243</v>
      </c>
      <c r="J163" t="s">
        <v>21</v>
      </c>
      <c r="K163">
        <v>27.7</v>
      </c>
      <c r="L163">
        <v>74.8</v>
      </c>
      <c r="M163" t="s">
        <v>18</v>
      </c>
      <c r="N163">
        <v>28</v>
      </c>
      <c r="O163">
        <v>311</v>
      </c>
      <c r="P163">
        <v>9</v>
      </c>
      <c r="Q163" t="s">
        <v>19</v>
      </c>
      <c r="R163">
        <v>97.5</v>
      </c>
      <c r="S163">
        <v>272</v>
      </c>
      <c r="T163">
        <v>0</v>
      </c>
      <c r="U163" t="str" cm="1">
        <f t="array" ref="U163">_xlfn.IFS(smart_dataset[[#This Row],[Waiting_Time]]&lt;=20,"Low",smart_dataset[[#This Row],[Waiting_Time]]&lt;=40,"Medium",TRUE,"High")</f>
        <v>Medium</v>
      </c>
      <c r="V163" t="str" cm="1">
        <f t="array" ref="V163">_xlfn.IFS(smart_dataset[[#This Row],[Temperature]]&lt;=20,"Cold",smart_dataset[[#This Row],[Temperature]]&lt;=28,"Normal",TRUE,"Hot")</f>
        <v>Normal</v>
      </c>
      <c r="W163" t="str" cm="1">
        <f t="array" ref="W163">_xlfn.IFS(smart_dataset[[#This Row],[Asset_Utilization]]&lt;=75,"Low",smart_dataset[[#This Row],[Asset_Utilization]]&lt;=90,"Medium",TRUE,"High")</f>
        <v>High</v>
      </c>
    </row>
    <row r="164" spans="1:23" hidden="1" x14ac:dyDescent="0.25">
      <c r="A164" s="1">
        <v>45402.412708333337</v>
      </c>
      <c r="B164" s="1">
        <f>INT(smart_dataset[[#This Row],[Timestamp]])</f>
        <v>45402</v>
      </c>
      <c r="C164" s="1">
        <f>MOD(smart_dataset[[#This Row],[Timestamp]],1)</f>
        <v>0.41270833333692281</v>
      </c>
      <c r="D164" s="1">
        <f>YEAR(smart_dataset[[#This Row],[Date]])</f>
        <v>2024</v>
      </c>
      <c r="E164" s="1">
        <f>MONTH(smart_dataset[[#This Row],[Timestamp]])</f>
        <v>4</v>
      </c>
      <c r="F164" t="s">
        <v>30</v>
      </c>
      <c r="G164">
        <v>28.996400000000001</v>
      </c>
      <c r="H164">
        <v>151.6114</v>
      </c>
      <c r="I164">
        <v>134</v>
      </c>
      <c r="J164" t="s">
        <v>17</v>
      </c>
      <c r="K164">
        <v>29.2</v>
      </c>
      <c r="L164">
        <v>55.5</v>
      </c>
      <c r="M164" t="s">
        <v>18</v>
      </c>
      <c r="N164">
        <v>34</v>
      </c>
      <c r="O164">
        <v>189</v>
      </c>
      <c r="P164">
        <v>1</v>
      </c>
      <c r="Q164" t="s">
        <v>23</v>
      </c>
      <c r="R164">
        <v>87.8</v>
      </c>
      <c r="S164">
        <v>270</v>
      </c>
      <c r="T164">
        <v>1</v>
      </c>
      <c r="U164" t="str" cm="1">
        <f t="array" ref="U164">_xlfn.IFS(smart_dataset[[#This Row],[Waiting_Time]]&lt;=20,"Low",smart_dataset[[#This Row],[Waiting_Time]]&lt;=40,"Medium",TRUE,"High")</f>
        <v>Medium</v>
      </c>
      <c r="V164" t="str" cm="1">
        <f t="array" ref="V164">_xlfn.IFS(smart_dataset[[#This Row],[Temperature]]&lt;=20,"Cold",smart_dataset[[#This Row],[Temperature]]&lt;=28,"Normal",TRUE,"Hot")</f>
        <v>Hot</v>
      </c>
      <c r="W164" t="str" cm="1">
        <f t="array" ref="W164">_xlfn.IFS(smart_dataset[[#This Row],[Asset_Utilization]]&lt;=75,"Low",smart_dataset[[#This Row],[Asset_Utilization]]&lt;=90,"Medium",TRUE,"High")</f>
        <v>Medium</v>
      </c>
    </row>
    <row r="165" spans="1:23" hidden="1" x14ac:dyDescent="0.25">
      <c r="A165" s="1">
        <v>45448.805046296293</v>
      </c>
      <c r="B165" s="1">
        <f>INT(smart_dataset[[#This Row],[Timestamp]])</f>
        <v>45448</v>
      </c>
      <c r="C165" s="1">
        <f>MOD(smart_dataset[[#This Row],[Timestamp]],1)</f>
        <v>0.80504629629285773</v>
      </c>
      <c r="D165" s="1">
        <f>YEAR(smart_dataset[[#This Row],[Date]])</f>
        <v>2024</v>
      </c>
      <c r="E165" s="1">
        <f>MONTH(smart_dataset[[#This Row],[Timestamp]])</f>
        <v>6</v>
      </c>
      <c r="F165" t="s">
        <v>33</v>
      </c>
      <c r="G165">
        <v>-22.1005</v>
      </c>
      <c r="H165">
        <v>-38.844900000000003</v>
      </c>
      <c r="I165">
        <v>484</v>
      </c>
      <c r="J165" t="s">
        <v>26</v>
      </c>
      <c r="K165">
        <v>29.1</v>
      </c>
      <c r="L165">
        <v>54.7</v>
      </c>
      <c r="M165" t="s">
        <v>18</v>
      </c>
      <c r="N165">
        <v>48</v>
      </c>
      <c r="O165">
        <v>320</v>
      </c>
      <c r="P165">
        <v>7</v>
      </c>
      <c r="Q165" t="s">
        <v>23</v>
      </c>
      <c r="R165">
        <v>84.6</v>
      </c>
      <c r="S165">
        <v>118</v>
      </c>
      <c r="T165">
        <v>0</v>
      </c>
      <c r="U165" t="str" cm="1">
        <f t="array" ref="U165">_xlfn.IFS(smart_dataset[[#This Row],[Waiting_Time]]&lt;=20,"Low",smart_dataset[[#This Row],[Waiting_Time]]&lt;=40,"Medium",TRUE,"High")</f>
        <v>High</v>
      </c>
      <c r="V165" t="str" cm="1">
        <f t="array" ref="V165">_xlfn.IFS(smart_dataset[[#This Row],[Temperature]]&lt;=20,"Cold",smart_dataset[[#This Row],[Temperature]]&lt;=28,"Normal",TRUE,"Hot")</f>
        <v>Hot</v>
      </c>
      <c r="W165" t="str" cm="1">
        <f t="array" ref="W165">_xlfn.IFS(smart_dataset[[#This Row],[Asset_Utilization]]&lt;=75,"Low",smart_dataset[[#This Row],[Asset_Utilization]]&lt;=90,"Medium",TRUE,"High")</f>
        <v>Medium</v>
      </c>
    </row>
    <row r="166" spans="1:23" hidden="1" x14ac:dyDescent="0.25">
      <c r="A166" s="1">
        <v>45481.185173611113</v>
      </c>
      <c r="B166" s="1">
        <f>INT(smart_dataset[[#This Row],[Timestamp]])</f>
        <v>45481</v>
      </c>
      <c r="C166" s="1">
        <f>MOD(smart_dataset[[#This Row],[Timestamp]],1)</f>
        <v>0.18517361111298669</v>
      </c>
      <c r="D166" s="1">
        <f>YEAR(smart_dataset[[#This Row],[Date]])</f>
        <v>2024</v>
      </c>
      <c r="E166" s="1">
        <f>MONTH(smart_dataset[[#This Row],[Timestamp]])</f>
        <v>7</v>
      </c>
      <c r="F166" t="s">
        <v>20</v>
      </c>
      <c r="G166">
        <v>47.280299999999997</v>
      </c>
      <c r="H166">
        <v>32.135599999999997</v>
      </c>
      <c r="I166">
        <v>300</v>
      </c>
      <c r="J166" t="s">
        <v>26</v>
      </c>
      <c r="K166">
        <v>22.4</v>
      </c>
      <c r="L166">
        <v>54.3</v>
      </c>
      <c r="M166" t="s">
        <v>22</v>
      </c>
      <c r="N166">
        <v>23</v>
      </c>
      <c r="O166">
        <v>323</v>
      </c>
      <c r="P166">
        <v>5</v>
      </c>
      <c r="Q166" t="s">
        <v>23</v>
      </c>
      <c r="R166">
        <v>65.5</v>
      </c>
      <c r="S166">
        <v>230</v>
      </c>
      <c r="T166">
        <v>1</v>
      </c>
      <c r="U166" t="str" cm="1">
        <f t="array" ref="U166">_xlfn.IFS(smart_dataset[[#This Row],[Waiting_Time]]&lt;=20,"Low",smart_dataset[[#This Row],[Waiting_Time]]&lt;=40,"Medium",TRUE,"High")</f>
        <v>Medium</v>
      </c>
      <c r="V166" t="str" cm="1">
        <f t="array" ref="V166">_xlfn.IFS(smart_dataset[[#This Row],[Temperature]]&lt;=20,"Cold",smart_dataset[[#This Row],[Temperature]]&lt;=28,"Normal",TRUE,"Hot")</f>
        <v>Normal</v>
      </c>
      <c r="W166" t="str" cm="1">
        <f t="array" ref="W166">_xlfn.IFS(smart_dataset[[#This Row],[Asset_Utilization]]&lt;=75,"Low",smart_dataset[[#This Row],[Asset_Utilization]]&lt;=90,"Medium",TRUE,"High")</f>
        <v>Low</v>
      </c>
    </row>
    <row r="167" spans="1:23" hidden="1" x14ac:dyDescent="0.25">
      <c r="A167" s="1">
        <v>45383.164363425924</v>
      </c>
      <c r="B167" s="1">
        <f>INT(smart_dataset[[#This Row],[Timestamp]])</f>
        <v>45383</v>
      </c>
      <c r="C167" s="1">
        <f>MOD(smart_dataset[[#This Row],[Timestamp]],1)</f>
        <v>0.16436342592351139</v>
      </c>
      <c r="D167" s="1">
        <f>YEAR(smart_dataset[[#This Row],[Date]])</f>
        <v>2024</v>
      </c>
      <c r="E167" s="1">
        <f>MONTH(smart_dataset[[#This Row],[Timestamp]])</f>
        <v>4</v>
      </c>
      <c r="F167" t="s">
        <v>24</v>
      </c>
      <c r="G167">
        <v>-25.469200000000001</v>
      </c>
      <c r="H167">
        <v>-70.760300000000001</v>
      </c>
      <c r="I167">
        <v>396</v>
      </c>
      <c r="J167" t="s">
        <v>26</v>
      </c>
      <c r="K167">
        <v>21.9</v>
      </c>
      <c r="L167">
        <v>67.400000000000006</v>
      </c>
      <c r="M167" t="s">
        <v>18</v>
      </c>
      <c r="N167">
        <v>24</v>
      </c>
      <c r="O167">
        <v>238</v>
      </c>
      <c r="P167">
        <v>3</v>
      </c>
      <c r="Q167" t="s">
        <v>23</v>
      </c>
      <c r="R167">
        <v>60.4</v>
      </c>
      <c r="S167">
        <v>117</v>
      </c>
      <c r="T167">
        <v>0</v>
      </c>
      <c r="U167" t="str" cm="1">
        <f t="array" ref="U167">_xlfn.IFS(smart_dataset[[#This Row],[Waiting_Time]]&lt;=20,"Low",smart_dataset[[#This Row],[Waiting_Time]]&lt;=40,"Medium",TRUE,"High")</f>
        <v>Medium</v>
      </c>
      <c r="V167" t="str" cm="1">
        <f t="array" ref="V167">_xlfn.IFS(smart_dataset[[#This Row],[Temperature]]&lt;=20,"Cold",smart_dataset[[#This Row],[Temperature]]&lt;=28,"Normal",TRUE,"Hot")</f>
        <v>Normal</v>
      </c>
      <c r="W167" t="str" cm="1">
        <f t="array" ref="W167">_xlfn.IFS(smart_dataset[[#This Row],[Asset_Utilization]]&lt;=75,"Low",smart_dataset[[#This Row],[Asset_Utilization]]&lt;=90,"Medium",TRUE,"High")</f>
        <v>Low</v>
      </c>
    </row>
    <row r="168" spans="1:23" hidden="1" x14ac:dyDescent="0.25">
      <c r="A168" s="1">
        <v>45333.203449074077</v>
      </c>
      <c r="B168" s="1">
        <f>INT(smart_dataset[[#This Row],[Timestamp]])</f>
        <v>45333</v>
      </c>
      <c r="C168" s="1">
        <f>MOD(smart_dataset[[#This Row],[Timestamp]],1)</f>
        <v>0.20344907407707069</v>
      </c>
      <c r="D168" s="1">
        <f>YEAR(smart_dataset[[#This Row],[Date]])</f>
        <v>2024</v>
      </c>
      <c r="E168" s="1">
        <f>MONTH(smart_dataset[[#This Row],[Timestamp]])</f>
        <v>2</v>
      </c>
      <c r="F168" t="s">
        <v>29</v>
      </c>
      <c r="G168">
        <v>20.145099999999999</v>
      </c>
      <c r="H168">
        <v>158.74019999999999</v>
      </c>
      <c r="I168">
        <v>135</v>
      </c>
      <c r="J168" t="s">
        <v>26</v>
      </c>
      <c r="K168">
        <v>26.8</v>
      </c>
      <c r="L168">
        <v>79.099999999999994</v>
      </c>
      <c r="M168" t="s">
        <v>18</v>
      </c>
      <c r="N168">
        <v>57</v>
      </c>
      <c r="O168">
        <v>173</v>
      </c>
      <c r="P168">
        <v>7</v>
      </c>
      <c r="Q168" t="s">
        <v>31</v>
      </c>
      <c r="R168">
        <v>81.3</v>
      </c>
      <c r="S168">
        <v>115</v>
      </c>
      <c r="T168">
        <v>0</v>
      </c>
      <c r="U168" t="str" cm="1">
        <f t="array" ref="U168">_xlfn.IFS(smart_dataset[[#This Row],[Waiting_Time]]&lt;=20,"Low",smart_dataset[[#This Row],[Waiting_Time]]&lt;=40,"Medium",TRUE,"High")</f>
        <v>High</v>
      </c>
      <c r="V168" t="str" cm="1">
        <f t="array" ref="V168">_xlfn.IFS(smart_dataset[[#This Row],[Temperature]]&lt;=20,"Cold",smart_dataset[[#This Row],[Temperature]]&lt;=28,"Normal",TRUE,"Hot")</f>
        <v>Normal</v>
      </c>
      <c r="W168" t="str" cm="1">
        <f t="array" ref="W168">_xlfn.IFS(smart_dataset[[#This Row],[Asset_Utilization]]&lt;=75,"Low",smart_dataset[[#This Row],[Asset_Utilization]]&lt;=90,"Medium",TRUE,"High")</f>
        <v>Medium</v>
      </c>
    </row>
    <row r="169" spans="1:23" hidden="1" x14ac:dyDescent="0.25">
      <c r="A169" s="1">
        <v>45527.004074074073</v>
      </c>
      <c r="B169" s="1">
        <f>INT(smart_dataset[[#This Row],[Timestamp]])</f>
        <v>45527</v>
      </c>
      <c r="C169" s="1">
        <f>MOD(smart_dataset[[#This Row],[Timestamp]],1)</f>
        <v>4.0740740732871927E-3</v>
      </c>
      <c r="D169" s="1">
        <f>YEAR(smart_dataset[[#This Row],[Date]])</f>
        <v>2024</v>
      </c>
      <c r="E169" s="1">
        <f>MONTH(smart_dataset[[#This Row],[Timestamp]])</f>
        <v>8</v>
      </c>
      <c r="F169" t="s">
        <v>32</v>
      </c>
      <c r="G169">
        <v>-29.272600000000001</v>
      </c>
      <c r="H169">
        <v>149.63290000000001</v>
      </c>
      <c r="I169">
        <v>236</v>
      </c>
      <c r="J169" t="s">
        <v>26</v>
      </c>
      <c r="K169">
        <v>21.9</v>
      </c>
      <c r="L169">
        <v>51.9</v>
      </c>
      <c r="M169" t="s">
        <v>18</v>
      </c>
      <c r="N169">
        <v>21</v>
      </c>
      <c r="O169">
        <v>233</v>
      </c>
      <c r="P169">
        <v>6</v>
      </c>
      <c r="Q169" t="s">
        <v>31</v>
      </c>
      <c r="R169">
        <v>72</v>
      </c>
      <c r="S169">
        <v>115</v>
      </c>
      <c r="T169">
        <v>0</v>
      </c>
      <c r="U169" t="str" cm="1">
        <f t="array" ref="U169">_xlfn.IFS(smart_dataset[[#This Row],[Waiting_Time]]&lt;=20,"Low",smart_dataset[[#This Row],[Waiting_Time]]&lt;=40,"Medium",TRUE,"High")</f>
        <v>Medium</v>
      </c>
      <c r="V169" t="str" cm="1">
        <f t="array" ref="V169">_xlfn.IFS(smart_dataset[[#This Row],[Temperature]]&lt;=20,"Cold",smart_dataset[[#This Row],[Temperature]]&lt;=28,"Normal",TRUE,"Hot")</f>
        <v>Normal</v>
      </c>
      <c r="W169" t="str" cm="1">
        <f t="array" ref="W169">_xlfn.IFS(smart_dataset[[#This Row],[Asset_Utilization]]&lt;=75,"Low",smart_dataset[[#This Row],[Asset_Utilization]]&lt;=90,"Medium",TRUE,"High")</f>
        <v>Low</v>
      </c>
    </row>
    <row r="170" spans="1:23" hidden="1" x14ac:dyDescent="0.25">
      <c r="A170" s="1">
        <v>45600.020370370374</v>
      </c>
      <c r="B170" s="1">
        <f>INT(smart_dataset[[#This Row],[Timestamp]])</f>
        <v>45600</v>
      </c>
      <c r="C170" s="1">
        <f>MOD(smart_dataset[[#This Row],[Timestamp]],1)</f>
        <v>2.0370370373711921E-2</v>
      </c>
      <c r="D170" s="1">
        <f>YEAR(smart_dataset[[#This Row],[Date]])</f>
        <v>2024</v>
      </c>
      <c r="E170" s="1">
        <f>MONTH(smart_dataset[[#This Row],[Timestamp]])</f>
        <v>11</v>
      </c>
      <c r="F170" t="s">
        <v>35</v>
      </c>
      <c r="G170">
        <v>-82.394199999999998</v>
      </c>
      <c r="H170">
        <v>179.9237</v>
      </c>
      <c r="I170">
        <v>294</v>
      </c>
      <c r="J170" t="s">
        <v>26</v>
      </c>
      <c r="K170">
        <v>27.6</v>
      </c>
      <c r="L170">
        <v>79.7</v>
      </c>
      <c r="M170" t="s">
        <v>22</v>
      </c>
      <c r="N170">
        <v>24</v>
      </c>
      <c r="O170">
        <v>181</v>
      </c>
      <c r="P170">
        <v>5</v>
      </c>
      <c r="Q170" t="s">
        <v>23</v>
      </c>
      <c r="R170">
        <v>88.2</v>
      </c>
      <c r="S170">
        <v>191</v>
      </c>
      <c r="T170">
        <v>1</v>
      </c>
      <c r="U170" t="str" cm="1">
        <f t="array" ref="U170">_xlfn.IFS(smart_dataset[[#This Row],[Waiting_Time]]&lt;=20,"Low",smart_dataset[[#This Row],[Waiting_Time]]&lt;=40,"Medium",TRUE,"High")</f>
        <v>Medium</v>
      </c>
      <c r="V170" t="str" cm="1">
        <f t="array" ref="V170">_xlfn.IFS(smart_dataset[[#This Row],[Temperature]]&lt;=20,"Cold",smart_dataset[[#This Row],[Temperature]]&lt;=28,"Normal",TRUE,"Hot")</f>
        <v>Normal</v>
      </c>
      <c r="W170" t="str" cm="1">
        <f t="array" ref="W170">_xlfn.IFS(smart_dataset[[#This Row],[Asset_Utilization]]&lt;=75,"Low",smart_dataset[[#This Row],[Asset_Utilization]]&lt;=90,"Medium",TRUE,"High")</f>
        <v>Medium</v>
      </c>
    </row>
    <row r="171" spans="1:23" hidden="1" x14ac:dyDescent="0.25">
      <c r="A171" s="1">
        <v>45416.808680555558</v>
      </c>
      <c r="B171" s="1">
        <f>INT(smart_dataset[[#This Row],[Timestamp]])</f>
        <v>45416</v>
      </c>
      <c r="C171" s="1">
        <f>MOD(smart_dataset[[#This Row],[Timestamp]],1)</f>
        <v>0.8086805555576575</v>
      </c>
      <c r="D171" s="1">
        <f>YEAR(smart_dataset[[#This Row],[Date]])</f>
        <v>2024</v>
      </c>
      <c r="E171" s="1">
        <f>MONTH(smart_dataset[[#This Row],[Timestamp]])</f>
        <v>5</v>
      </c>
      <c r="F171" t="s">
        <v>29</v>
      </c>
      <c r="G171">
        <v>37.3932</v>
      </c>
      <c r="H171">
        <v>53.447000000000003</v>
      </c>
      <c r="I171">
        <v>209</v>
      </c>
      <c r="J171" t="s">
        <v>17</v>
      </c>
      <c r="K171">
        <v>29.4</v>
      </c>
      <c r="L171">
        <v>57.8</v>
      </c>
      <c r="M171" t="s">
        <v>18</v>
      </c>
      <c r="N171">
        <v>34</v>
      </c>
      <c r="O171">
        <v>319</v>
      </c>
      <c r="P171">
        <v>4</v>
      </c>
      <c r="Q171" t="s">
        <v>31</v>
      </c>
      <c r="R171">
        <v>85</v>
      </c>
      <c r="S171">
        <v>208</v>
      </c>
      <c r="T171">
        <v>1</v>
      </c>
      <c r="U171" t="str" cm="1">
        <f t="array" ref="U171">_xlfn.IFS(smart_dataset[[#This Row],[Waiting_Time]]&lt;=20,"Low",smart_dataset[[#This Row],[Waiting_Time]]&lt;=40,"Medium",TRUE,"High")</f>
        <v>Medium</v>
      </c>
      <c r="V171" t="str" cm="1">
        <f t="array" ref="V171">_xlfn.IFS(smart_dataset[[#This Row],[Temperature]]&lt;=20,"Cold",smart_dataset[[#This Row],[Temperature]]&lt;=28,"Normal",TRUE,"Hot")</f>
        <v>Hot</v>
      </c>
      <c r="W171" t="str" cm="1">
        <f t="array" ref="W171">_xlfn.IFS(smart_dataset[[#This Row],[Asset_Utilization]]&lt;=75,"Low",smart_dataset[[#This Row],[Asset_Utilization]]&lt;=90,"Medium",TRUE,"High")</f>
        <v>Medium</v>
      </c>
    </row>
    <row r="172" spans="1:23" hidden="1" x14ac:dyDescent="0.25">
      <c r="A172" s="1">
        <v>45609.18</v>
      </c>
      <c r="B172" s="1">
        <f>INT(smart_dataset[[#This Row],[Timestamp]])</f>
        <v>45609</v>
      </c>
      <c r="C172" s="1">
        <f>MOD(smart_dataset[[#This Row],[Timestamp]],1)</f>
        <v>0.18000000000029104</v>
      </c>
      <c r="D172" s="1">
        <f>YEAR(smart_dataset[[#This Row],[Date]])</f>
        <v>2024</v>
      </c>
      <c r="E172" s="1">
        <f>MONTH(smart_dataset[[#This Row],[Timestamp]])</f>
        <v>11</v>
      </c>
      <c r="F172" t="s">
        <v>29</v>
      </c>
      <c r="G172">
        <v>-3.4094000000000002</v>
      </c>
      <c r="H172">
        <v>-85.877399999999994</v>
      </c>
      <c r="I172">
        <v>378</v>
      </c>
      <c r="J172" t="s">
        <v>17</v>
      </c>
      <c r="K172">
        <v>28.2</v>
      </c>
      <c r="L172">
        <v>70.2</v>
      </c>
      <c r="M172" t="s">
        <v>28</v>
      </c>
      <c r="N172">
        <v>60</v>
      </c>
      <c r="O172">
        <v>490</v>
      </c>
      <c r="P172">
        <v>9</v>
      </c>
      <c r="Q172" t="s">
        <v>27</v>
      </c>
      <c r="R172">
        <v>66.8</v>
      </c>
      <c r="S172">
        <v>166</v>
      </c>
      <c r="T172">
        <v>1</v>
      </c>
      <c r="U172" t="str" cm="1">
        <f t="array" ref="U172">_xlfn.IFS(smart_dataset[[#This Row],[Waiting_Time]]&lt;=20,"Low",smart_dataset[[#This Row],[Waiting_Time]]&lt;=40,"Medium",TRUE,"High")</f>
        <v>High</v>
      </c>
      <c r="V172" t="str" cm="1">
        <f t="array" ref="V172">_xlfn.IFS(smart_dataset[[#This Row],[Temperature]]&lt;=20,"Cold",smart_dataset[[#This Row],[Temperature]]&lt;=28,"Normal",TRUE,"Hot")</f>
        <v>Hot</v>
      </c>
      <c r="W172" t="str" cm="1">
        <f t="array" ref="W172">_xlfn.IFS(smart_dataset[[#This Row],[Asset_Utilization]]&lt;=75,"Low",smart_dataset[[#This Row],[Asset_Utilization]]&lt;=90,"Medium",TRUE,"High")</f>
        <v>Low</v>
      </c>
    </row>
    <row r="173" spans="1:23" hidden="1" x14ac:dyDescent="0.25">
      <c r="A173" s="1">
        <v>45335.803680555553</v>
      </c>
      <c r="B173" s="1">
        <f>INT(smart_dataset[[#This Row],[Timestamp]])</f>
        <v>45335</v>
      </c>
      <c r="C173" s="1">
        <f>MOD(smart_dataset[[#This Row],[Timestamp]],1)</f>
        <v>0.80368055555300089</v>
      </c>
      <c r="D173" s="1">
        <f>YEAR(smart_dataset[[#This Row],[Date]])</f>
        <v>2024</v>
      </c>
      <c r="E173" s="1">
        <f>MONTH(smart_dataset[[#This Row],[Timestamp]])</f>
        <v>2</v>
      </c>
      <c r="F173" t="s">
        <v>35</v>
      </c>
      <c r="G173">
        <v>-60.278199999999998</v>
      </c>
      <c r="H173">
        <v>-7.5464000000000002</v>
      </c>
      <c r="I173">
        <v>355</v>
      </c>
      <c r="J173" t="s">
        <v>17</v>
      </c>
      <c r="K173">
        <v>22.5</v>
      </c>
      <c r="L173">
        <v>74</v>
      </c>
      <c r="M173" t="s">
        <v>28</v>
      </c>
      <c r="N173">
        <v>20</v>
      </c>
      <c r="O173">
        <v>321</v>
      </c>
      <c r="P173">
        <v>3</v>
      </c>
      <c r="Q173" t="s">
        <v>23</v>
      </c>
      <c r="R173">
        <v>90.6</v>
      </c>
      <c r="S173">
        <v>252</v>
      </c>
      <c r="T173">
        <v>1</v>
      </c>
      <c r="U173" t="str" cm="1">
        <f t="array" ref="U173">_xlfn.IFS(smart_dataset[[#This Row],[Waiting_Time]]&lt;=20,"Low",smart_dataset[[#This Row],[Waiting_Time]]&lt;=40,"Medium",TRUE,"High")</f>
        <v>Low</v>
      </c>
      <c r="V173" t="str" cm="1">
        <f t="array" ref="V173">_xlfn.IFS(smart_dataset[[#This Row],[Temperature]]&lt;=20,"Cold",smart_dataset[[#This Row],[Temperature]]&lt;=28,"Normal",TRUE,"Hot")</f>
        <v>Normal</v>
      </c>
      <c r="W173" t="str" cm="1">
        <f t="array" ref="W173">_xlfn.IFS(smart_dataset[[#This Row],[Asset_Utilization]]&lt;=75,"Low",smart_dataset[[#This Row],[Asset_Utilization]]&lt;=90,"Medium",TRUE,"High")</f>
        <v>High</v>
      </c>
    </row>
    <row r="174" spans="1:23" hidden="1" x14ac:dyDescent="0.25">
      <c r="A174" s="1">
        <v>45471.303877314815</v>
      </c>
      <c r="B174" s="1">
        <f>INT(smart_dataset[[#This Row],[Timestamp]])</f>
        <v>45471</v>
      </c>
      <c r="C174" s="1">
        <f>MOD(smart_dataset[[#This Row],[Timestamp]],1)</f>
        <v>0.30387731481459923</v>
      </c>
      <c r="D174" s="1">
        <f>YEAR(smart_dataset[[#This Row],[Date]])</f>
        <v>2024</v>
      </c>
      <c r="E174" s="1">
        <f>MONTH(smart_dataset[[#This Row],[Timestamp]])</f>
        <v>6</v>
      </c>
      <c r="F174" t="s">
        <v>25</v>
      </c>
      <c r="G174">
        <v>-1.8123</v>
      </c>
      <c r="H174">
        <v>-156.20699999999999</v>
      </c>
      <c r="I174">
        <v>474</v>
      </c>
      <c r="J174" t="s">
        <v>17</v>
      </c>
      <c r="K174">
        <v>29.2</v>
      </c>
      <c r="L174">
        <v>66.099999999999994</v>
      </c>
      <c r="M174" t="s">
        <v>22</v>
      </c>
      <c r="N174">
        <v>26</v>
      </c>
      <c r="O174">
        <v>318</v>
      </c>
      <c r="P174">
        <v>5</v>
      </c>
      <c r="Q174" t="s">
        <v>23</v>
      </c>
      <c r="R174">
        <v>96.2</v>
      </c>
      <c r="S174">
        <v>110</v>
      </c>
      <c r="T174">
        <v>1</v>
      </c>
      <c r="U174" t="str" cm="1">
        <f t="array" ref="U174">_xlfn.IFS(smart_dataset[[#This Row],[Waiting_Time]]&lt;=20,"Low",smart_dataset[[#This Row],[Waiting_Time]]&lt;=40,"Medium",TRUE,"High")</f>
        <v>Medium</v>
      </c>
      <c r="V174" t="str" cm="1">
        <f t="array" ref="V174">_xlfn.IFS(smart_dataset[[#This Row],[Temperature]]&lt;=20,"Cold",smart_dataset[[#This Row],[Temperature]]&lt;=28,"Normal",TRUE,"Hot")</f>
        <v>Hot</v>
      </c>
      <c r="W174" t="str" cm="1">
        <f t="array" ref="W174">_xlfn.IFS(smart_dataset[[#This Row],[Asset_Utilization]]&lt;=75,"Low",smart_dataset[[#This Row],[Asset_Utilization]]&lt;=90,"Medium",TRUE,"High")</f>
        <v>High</v>
      </c>
    </row>
    <row r="175" spans="1:23" hidden="1" x14ac:dyDescent="0.25">
      <c r="A175" s="1">
        <v>45641.921516203707</v>
      </c>
      <c r="B175" s="1">
        <f>INT(smart_dataset[[#This Row],[Timestamp]])</f>
        <v>45641</v>
      </c>
      <c r="C175" s="1">
        <f>MOD(smart_dataset[[#This Row],[Timestamp]],1)</f>
        <v>0.92151620370714227</v>
      </c>
      <c r="D175" s="1">
        <f>YEAR(smart_dataset[[#This Row],[Date]])</f>
        <v>2024</v>
      </c>
      <c r="E175" s="1">
        <f>MONTH(smart_dataset[[#This Row],[Timestamp]])</f>
        <v>12</v>
      </c>
      <c r="F175" t="s">
        <v>20</v>
      </c>
      <c r="G175">
        <v>45.552999999999997</v>
      </c>
      <c r="H175">
        <v>20.901499999999999</v>
      </c>
      <c r="I175">
        <v>218</v>
      </c>
      <c r="J175" t="s">
        <v>26</v>
      </c>
      <c r="K175">
        <v>19.5</v>
      </c>
      <c r="L175">
        <v>67.900000000000006</v>
      </c>
      <c r="M175" t="s">
        <v>18</v>
      </c>
      <c r="N175">
        <v>27</v>
      </c>
      <c r="O175">
        <v>257</v>
      </c>
      <c r="P175">
        <v>10</v>
      </c>
      <c r="Q175" t="s">
        <v>31</v>
      </c>
      <c r="R175">
        <v>62.2</v>
      </c>
      <c r="S175">
        <v>150</v>
      </c>
      <c r="T175">
        <v>0</v>
      </c>
      <c r="U175" t="str" cm="1">
        <f t="array" ref="U175">_xlfn.IFS(smart_dataset[[#This Row],[Waiting_Time]]&lt;=20,"Low",smart_dataset[[#This Row],[Waiting_Time]]&lt;=40,"Medium",TRUE,"High")</f>
        <v>Medium</v>
      </c>
      <c r="V175" t="str" cm="1">
        <f t="array" ref="V175">_xlfn.IFS(smart_dataset[[#This Row],[Temperature]]&lt;=20,"Cold",smart_dataset[[#This Row],[Temperature]]&lt;=28,"Normal",TRUE,"Hot")</f>
        <v>Cold</v>
      </c>
      <c r="W175" t="str" cm="1">
        <f t="array" ref="W175">_xlfn.IFS(smart_dataset[[#This Row],[Asset_Utilization]]&lt;=75,"Low",smart_dataset[[#This Row],[Asset_Utilization]]&lt;=90,"Medium",TRUE,"High")</f>
        <v>Low</v>
      </c>
    </row>
    <row r="176" spans="1:23" hidden="1" x14ac:dyDescent="0.25">
      <c r="A176" s="1">
        <v>45473.599074074074</v>
      </c>
      <c r="B176" s="1">
        <f>INT(smart_dataset[[#This Row],[Timestamp]])</f>
        <v>45473</v>
      </c>
      <c r="C176" s="1">
        <f>MOD(smart_dataset[[#This Row],[Timestamp]],1)</f>
        <v>0.59907407407445135</v>
      </c>
      <c r="D176" s="1">
        <f>YEAR(smart_dataset[[#This Row],[Date]])</f>
        <v>2024</v>
      </c>
      <c r="E176" s="1">
        <f>MONTH(smart_dataset[[#This Row],[Timestamp]])</f>
        <v>6</v>
      </c>
      <c r="F176" t="s">
        <v>30</v>
      </c>
      <c r="G176">
        <v>-28.382000000000001</v>
      </c>
      <c r="H176">
        <v>-47.823099999999997</v>
      </c>
      <c r="I176">
        <v>357</v>
      </c>
      <c r="J176" t="s">
        <v>21</v>
      </c>
      <c r="K176">
        <v>29.3</v>
      </c>
      <c r="L176">
        <v>73.2</v>
      </c>
      <c r="M176" t="s">
        <v>28</v>
      </c>
      <c r="N176">
        <v>22</v>
      </c>
      <c r="O176">
        <v>229</v>
      </c>
      <c r="P176">
        <v>7</v>
      </c>
      <c r="Q176" t="s">
        <v>31</v>
      </c>
      <c r="R176">
        <v>94.3</v>
      </c>
      <c r="S176">
        <v>131</v>
      </c>
      <c r="T176">
        <v>0</v>
      </c>
      <c r="U176" t="str" cm="1">
        <f t="array" ref="U176">_xlfn.IFS(smart_dataset[[#This Row],[Waiting_Time]]&lt;=20,"Low",smart_dataset[[#This Row],[Waiting_Time]]&lt;=40,"Medium",TRUE,"High")</f>
        <v>Medium</v>
      </c>
      <c r="V176" t="str" cm="1">
        <f t="array" ref="V176">_xlfn.IFS(smart_dataset[[#This Row],[Temperature]]&lt;=20,"Cold",smart_dataset[[#This Row],[Temperature]]&lt;=28,"Normal",TRUE,"Hot")</f>
        <v>Hot</v>
      </c>
      <c r="W176" t="str" cm="1">
        <f t="array" ref="W176">_xlfn.IFS(smart_dataset[[#This Row],[Asset_Utilization]]&lt;=75,"Low",smart_dataset[[#This Row],[Asset_Utilization]]&lt;=90,"Medium",TRUE,"High")</f>
        <v>High</v>
      </c>
    </row>
    <row r="177" spans="1:23" hidden="1" x14ac:dyDescent="0.25">
      <c r="A177" s="1">
        <v>45631.691747685189</v>
      </c>
      <c r="B177" s="1">
        <f>INT(smart_dataset[[#This Row],[Timestamp]])</f>
        <v>45631</v>
      </c>
      <c r="C177" s="1">
        <f>MOD(smart_dataset[[#This Row],[Timestamp]],1)</f>
        <v>0.69174768518860219</v>
      </c>
      <c r="D177" s="1">
        <f>YEAR(smart_dataset[[#This Row],[Date]])</f>
        <v>2024</v>
      </c>
      <c r="E177" s="1">
        <f>MONTH(smart_dataset[[#This Row],[Timestamp]])</f>
        <v>12</v>
      </c>
      <c r="F177" t="s">
        <v>34</v>
      </c>
      <c r="G177">
        <v>-71.0852</v>
      </c>
      <c r="H177">
        <v>-12.918699999999999</v>
      </c>
      <c r="I177">
        <v>255</v>
      </c>
      <c r="J177" t="s">
        <v>17</v>
      </c>
      <c r="K177">
        <v>27.4</v>
      </c>
      <c r="L177">
        <v>59.6</v>
      </c>
      <c r="M177" t="s">
        <v>28</v>
      </c>
      <c r="N177">
        <v>20</v>
      </c>
      <c r="O177">
        <v>497</v>
      </c>
      <c r="P177">
        <v>3</v>
      </c>
      <c r="Q177" t="s">
        <v>27</v>
      </c>
      <c r="R177">
        <v>98.4</v>
      </c>
      <c r="S177">
        <v>277</v>
      </c>
      <c r="T177">
        <v>1</v>
      </c>
      <c r="U177" t="str" cm="1">
        <f t="array" ref="U177">_xlfn.IFS(smart_dataset[[#This Row],[Waiting_Time]]&lt;=20,"Low",smart_dataset[[#This Row],[Waiting_Time]]&lt;=40,"Medium",TRUE,"High")</f>
        <v>Low</v>
      </c>
      <c r="V177" t="str" cm="1">
        <f t="array" ref="V177">_xlfn.IFS(smart_dataset[[#This Row],[Temperature]]&lt;=20,"Cold",smart_dataset[[#This Row],[Temperature]]&lt;=28,"Normal",TRUE,"Hot")</f>
        <v>Normal</v>
      </c>
      <c r="W177" t="str" cm="1">
        <f t="array" ref="W177">_xlfn.IFS(smart_dataset[[#This Row],[Asset_Utilization]]&lt;=75,"Low",smart_dataset[[#This Row],[Asset_Utilization]]&lt;=90,"Medium",TRUE,"High")</f>
        <v>High</v>
      </c>
    </row>
    <row r="178" spans="1:23" hidden="1" x14ac:dyDescent="0.25">
      <c r="A178" s="1">
        <v>45456.544768518521</v>
      </c>
      <c r="B178" s="1">
        <f>INT(smart_dataset[[#This Row],[Timestamp]])</f>
        <v>45456</v>
      </c>
      <c r="C178" s="1">
        <f>MOD(smart_dataset[[#This Row],[Timestamp]],1)</f>
        <v>0.54476851852086838</v>
      </c>
      <c r="D178" s="1">
        <f>YEAR(smart_dataset[[#This Row],[Date]])</f>
        <v>2024</v>
      </c>
      <c r="E178" s="1">
        <f>MONTH(smart_dataset[[#This Row],[Timestamp]])</f>
        <v>6</v>
      </c>
      <c r="F178" t="s">
        <v>30</v>
      </c>
      <c r="G178">
        <v>-35.642400000000002</v>
      </c>
      <c r="H178">
        <v>-106.7595</v>
      </c>
      <c r="I178">
        <v>415</v>
      </c>
      <c r="J178" t="s">
        <v>17</v>
      </c>
      <c r="K178">
        <v>22.2</v>
      </c>
      <c r="L178">
        <v>65.8</v>
      </c>
      <c r="M178" t="s">
        <v>22</v>
      </c>
      <c r="N178">
        <v>18</v>
      </c>
      <c r="O178">
        <v>287</v>
      </c>
      <c r="P178">
        <v>2</v>
      </c>
      <c r="Q178" t="s">
        <v>27</v>
      </c>
      <c r="R178">
        <v>61.1</v>
      </c>
      <c r="S178">
        <v>256</v>
      </c>
      <c r="T178">
        <v>1</v>
      </c>
      <c r="U178" t="str" cm="1">
        <f t="array" ref="U178">_xlfn.IFS(smart_dataset[[#This Row],[Waiting_Time]]&lt;=20,"Low",smart_dataset[[#This Row],[Waiting_Time]]&lt;=40,"Medium",TRUE,"High")</f>
        <v>Low</v>
      </c>
      <c r="V178" t="str" cm="1">
        <f t="array" ref="V178">_xlfn.IFS(smart_dataset[[#This Row],[Temperature]]&lt;=20,"Cold",smart_dataset[[#This Row],[Temperature]]&lt;=28,"Normal",TRUE,"Hot")</f>
        <v>Normal</v>
      </c>
      <c r="W178" t="str" cm="1">
        <f t="array" ref="W178">_xlfn.IFS(smart_dataset[[#This Row],[Asset_Utilization]]&lt;=75,"Low",smart_dataset[[#This Row],[Asset_Utilization]]&lt;=90,"Medium",TRUE,"High")</f>
        <v>Low</v>
      </c>
    </row>
    <row r="179" spans="1:23" x14ac:dyDescent="0.25">
      <c r="A179" s="1">
        <v>45368.347349537034</v>
      </c>
      <c r="B179" s="1">
        <f>INT(smart_dataset[[#This Row],[Timestamp]])</f>
        <v>45368</v>
      </c>
      <c r="C179" s="7">
        <f>MOD(smart_dataset[[#This Row],[Timestamp]],1)</f>
        <v>0.34734953703446081</v>
      </c>
      <c r="D179">
        <f>YEAR(smart_dataset[[#This Row],[Date]])</f>
        <v>2024</v>
      </c>
      <c r="E179">
        <f>MONTH(smart_dataset[[#This Row],[Timestamp]])</f>
        <v>3</v>
      </c>
      <c r="F179" t="s">
        <v>25</v>
      </c>
      <c r="G179">
        <v>-81.622</v>
      </c>
      <c r="H179">
        <v>-152.0754</v>
      </c>
      <c r="I179">
        <v>353</v>
      </c>
      <c r="J179" t="s">
        <v>26</v>
      </c>
      <c r="K179">
        <v>29.5</v>
      </c>
      <c r="L179">
        <v>76.8</v>
      </c>
      <c r="M179" t="s">
        <v>22</v>
      </c>
      <c r="N179">
        <v>41</v>
      </c>
      <c r="O179">
        <v>421</v>
      </c>
      <c r="P179">
        <v>8</v>
      </c>
      <c r="Q179" t="s">
        <v>19</v>
      </c>
      <c r="R179">
        <v>97.7</v>
      </c>
      <c r="S179">
        <v>212</v>
      </c>
      <c r="T179">
        <v>1</v>
      </c>
      <c r="U179" t="str" cm="1">
        <f t="array" ref="U179">_xlfn.IFS(smart_dataset[[#This Row],[Waiting_Time]]&lt;=20,"Low",smart_dataset[[#This Row],[Waiting_Time]]&lt;=40,"Medium",TRUE,"High")</f>
        <v>High</v>
      </c>
      <c r="V179" t="str" cm="1">
        <f t="array" ref="V179">_xlfn.IFS(smart_dataset[[#This Row],[Temperature]]&lt;=20,"Cold",smart_dataset[[#This Row],[Temperature]]&lt;=28,"Normal",TRUE,"Hot")</f>
        <v>Hot</v>
      </c>
      <c r="W179" t="str" cm="1">
        <f t="array" ref="W179">_xlfn.IFS(smart_dataset[[#This Row],[Asset_Utilization]]&lt;=75,"Low",smart_dataset[[#This Row],[Asset_Utilization]]&lt;=90,"Medium",TRUE,"High")</f>
        <v>High</v>
      </c>
    </row>
    <row r="180" spans="1:23" hidden="1" x14ac:dyDescent="0.25">
      <c r="A180" s="1">
        <v>45556.131701388891</v>
      </c>
      <c r="B180" s="1">
        <f>INT(smart_dataset[[#This Row],[Timestamp]])</f>
        <v>45556</v>
      </c>
      <c r="C180" s="1">
        <f>MOD(smart_dataset[[#This Row],[Timestamp]],1)</f>
        <v>0.13170138889108784</v>
      </c>
      <c r="D180" s="1">
        <f>YEAR(smart_dataset[[#This Row],[Date]])</f>
        <v>2024</v>
      </c>
      <c r="E180" s="1">
        <f>MONTH(smart_dataset[[#This Row],[Timestamp]])</f>
        <v>9</v>
      </c>
      <c r="F180" t="s">
        <v>32</v>
      </c>
      <c r="G180">
        <v>-22.911100000000001</v>
      </c>
      <c r="H180">
        <v>-154.35939999999999</v>
      </c>
      <c r="I180">
        <v>260</v>
      </c>
      <c r="J180" t="s">
        <v>21</v>
      </c>
      <c r="K180">
        <v>23.8</v>
      </c>
      <c r="L180">
        <v>58.4</v>
      </c>
      <c r="M180" t="s">
        <v>28</v>
      </c>
      <c r="N180">
        <v>49</v>
      </c>
      <c r="O180">
        <v>266</v>
      </c>
      <c r="P180">
        <v>7</v>
      </c>
      <c r="Q180" t="s">
        <v>31</v>
      </c>
      <c r="R180">
        <v>77.8</v>
      </c>
      <c r="S180">
        <v>131</v>
      </c>
      <c r="T180">
        <v>0</v>
      </c>
      <c r="U180" t="str" cm="1">
        <f t="array" ref="U180">_xlfn.IFS(smart_dataset[[#This Row],[Waiting_Time]]&lt;=20,"Low",smart_dataset[[#This Row],[Waiting_Time]]&lt;=40,"Medium",TRUE,"High")</f>
        <v>High</v>
      </c>
      <c r="V180" t="str" cm="1">
        <f t="array" ref="V180">_xlfn.IFS(smart_dataset[[#This Row],[Temperature]]&lt;=20,"Cold",smart_dataset[[#This Row],[Temperature]]&lt;=28,"Normal",TRUE,"Hot")</f>
        <v>Normal</v>
      </c>
      <c r="W180" t="str" cm="1">
        <f t="array" ref="W180">_xlfn.IFS(smart_dataset[[#This Row],[Asset_Utilization]]&lt;=75,"Low",smart_dataset[[#This Row],[Asset_Utilization]]&lt;=90,"Medium",TRUE,"High")</f>
        <v>Medium</v>
      </c>
    </row>
    <row r="181" spans="1:23" hidden="1" x14ac:dyDescent="0.25">
      <c r="A181" s="1">
        <v>45342.869479166664</v>
      </c>
      <c r="B181" s="1">
        <f>INT(smart_dataset[[#This Row],[Timestamp]])</f>
        <v>45342</v>
      </c>
      <c r="C181" s="1">
        <f>MOD(smart_dataset[[#This Row],[Timestamp]],1)</f>
        <v>0.86947916666395031</v>
      </c>
      <c r="D181" s="1">
        <f>YEAR(smart_dataset[[#This Row],[Date]])</f>
        <v>2024</v>
      </c>
      <c r="E181" s="1">
        <f>MONTH(smart_dataset[[#This Row],[Timestamp]])</f>
        <v>2</v>
      </c>
      <c r="F181" t="s">
        <v>29</v>
      </c>
      <c r="G181">
        <v>-68.793700000000001</v>
      </c>
      <c r="H181">
        <v>-164.38659999999999</v>
      </c>
      <c r="I181">
        <v>447</v>
      </c>
      <c r="J181" t="s">
        <v>26</v>
      </c>
      <c r="K181">
        <v>21.1</v>
      </c>
      <c r="L181">
        <v>75.599999999999994</v>
      </c>
      <c r="M181" t="s">
        <v>22</v>
      </c>
      <c r="N181">
        <v>51</v>
      </c>
      <c r="O181">
        <v>315</v>
      </c>
      <c r="P181">
        <v>1</v>
      </c>
      <c r="Q181" t="s">
        <v>31</v>
      </c>
      <c r="R181">
        <v>64.7</v>
      </c>
      <c r="S181">
        <v>186</v>
      </c>
      <c r="T181">
        <v>1</v>
      </c>
      <c r="U181" t="str" cm="1">
        <f t="array" ref="U181">_xlfn.IFS(smart_dataset[[#This Row],[Waiting_Time]]&lt;=20,"Low",smart_dataset[[#This Row],[Waiting_Time]]&lt;=40,"Medium",TRUE,"High")</f>
        <v>High</v>
      </c>
      <c r="V181" t="str" cm="1">
        <f t="array" ref="V181">_xlfn.IFS(smart_dataset[[#This Row],[Temperature]]&lt;=20,"Cold",smart_dataset[[#This Row],[Temperature]]&lt;=28,"Normal",TRUE,"Hot")</f>
        <v>Normal</v>
      </c>
      <c r="W181" t="str" cm="1">
        <f t="array" ref="W181">_xlfn.IFS(smart_dataset[[#This Row],[Asset_Utilization]]&lt;=75,"Low",smart_dataset[[#This Row],[Asset_Utilization]]&lt;=90,"Medium",TRUE,"High")</f>
        <v>Low</v>
      </c>
    </row>
    <row r="182" spans="1:23" hidden="1" x14ac:dyDescent="0.25">
      <c r="A182" s="1">
        <v>45615.752523148149</v>
      </c>
      <c r="B182" s="1">
        <f>INT(smart_dataset[[#This Row],[Timestamp]])</f>
        <v>45615</v>
      </c>
      <c r="C182" s="1">
        <f>MOD(smart_dataset[[#This Row],[Timestamp]],1)</f>
        <v>0.75252314814861165</v>
      </c>
      <c r="D182" s="1">
        <f>YEAR(smart_dataset[[#This Row],[Date]])</f>
        <v>2024</v>
      </c>
      <c r="E182" s="1">
        <f>MONTH(smart_dataset[[#This Row],[Timestamp]])</f>
        <v>11</v>
      </c>
      <c r="F182" t="s">
        <v>34</v>
      </c>
      <c r="G182">
        <v>-25.5794</v>
      </c>
      <c r="H182">
        <v>132.2662</v>
      </c>
      <c r="I182">
        <v>483</v>
      </c>
      <c r="J182" t="s">
        <v>17</v>
      </c>
      <c r="K182">
        <v>26.6</v>
      </c>
      <c r="L182">
        <v>50</v>
      </c>
      <c r="M182" t="s">
        <v>28</v>
      </c>
      <c r="N182">
        <v>51</v>
      </c>
      <c r="O182">
        <v>466</v>
      </c>
      <c r="P182">
        <v>6</v>
      </c>
      <c r="Q182" t="s">
        <v>31</v>
      </c>
      <c r="R182">
        <v>87.9</v>
      </c>
      <c r="S182">
        <v>272</v>
      </c>
      <c r="T182">
        <v>1</v>
      </c>
      <c r="U182" t="str" cm="1">
        <f t="array" ref="U182">_xlfn.IFS(smart_dataset[[#This Row],[Waiting_Time]]&lt;=20,"Low",smart_dataset[[#This Row],[Waiting_Time]]&lt;=40,"Medium",TRUE,"High")</f>
        <v>High</v>
      </c>
      <c r="V182" t="str" cm="1">
        <f t="array" ref="V182">_xlfn.IFS(smart_dataset[[#This Row],[Temperature]]&lt;=20,"Cold",smart_dataset[[#This Row],[Temperature]]&lt;=28,"Normal",TRUE,"Hot")</f>
        <v>Normal</v>
      </c>
      <c r="W182" t="str" cm="1">
        <f t="array" ref="W182">_xlfn.IFS(smart_dataset[[#This Row],[Asset_Utilization]]&lt;=75,"Low",smart_dataset[[#This Row],[Asset_Utilization]]&lt;=90,"Medium",TRUE,"High")</f>
        <v>Medium</v>
      </c>
    </row>
    <row r="183" spans="1:23" hidden="1" x14ac:dyDescent="0.25">
      <c r="A183" s="1">
        <v>45603.678240740737</v>
      </c>
      <c r="B183" s="1">
        <f>INT(smart_dataset[[#This Row],[Timestamp]])</f>
        <v>45603</v>
      </c>
      <c r="C183" s="1">
        <f>MOD(smart_dataset[[#This Row],[Timestamp]],1)</f>
        <v>0.6782407407372375</v>
      </c>
      <c r="D183" s="1">
        <f>YEAR(smart_dataset[[#This Row],[Date]])</f>
        <v>2024</v>
      </c>
      <c r="E183" s="1">
        <f>MONTH(smart_dataset[[#This Row],[Timestamp]])</f>
        <v>11</v>
      </c>
      <c r="F183" t="s">
        <v>24</v>
      </c>
      <c r="G183">
        <v>49.046500000000002</v>
      </c>
      <c r="H183">
        <v>41.342799999999997</v>
      </c>
      <c r="I183">
        <v>363</v>
      </c>
      <c r="J183" t="s">
        <v>26</v>
      </c>
      <c r="K183">
        <v>28.6</v>
      </c>
      <c r="L183">
        <v>75.2</v>
      </c>
      <c r="M183" t="s">
        <v>22</v>
      </c>
      <c r="N183">
        <v>19</v>
      </c>
      <c r="O183">
        <v>358</v>
      </c>
      <c r="P183">
        <v>1</v>
      </c>
      <c r="Q183" t="s">
        <v>23</v>
      </c>
      <c r="R183">
        <v>77.400000000000006</v>
      </c>
      <c r="S183">
        <v>272</v>
      </c>
      <c r="T183">
        <v>1</v>
      </c>
      <c r="U183" t="str" cm="1">
        <f t="array" ref="U183">_xlfn.IFS(smart_dataset[[#This Row],[Waiting_Time]]&lt;=20,"Low",smart_dataset[[#This Row],[Waiting_Time]]&lt;=40,"Medium",TRUE,"High")</f>
        <v>Low</v>
      </c>
      <c r="V183" t="str" cm="1">
        <f t="array" ref="V183">_xlfn.IFS(smart_dataset[[#This Row],[Temperature]]&lt;=20,"Cold",smart_dataset[[#This Row],[Temperature]]&lt;=28,"Normal",TRUE,"Hot")</f>
        <v>Hot</v>
      </c>
      <c r="W183" t="str" cm="1">
        <f t="array" ref="W183">_xlfn.IFS(smart_dataset[[#This Row],[Asset_Utilization]]&lt;=75,"Low",smart_dataset[[#This Row],[Asset_Utilization]]&lt;=90,"Medium",TRUE,"High")</f>
        <v>Medium</v>
      </c>
    </row>
    <row r="184" spans="1:23" x14ac:dyDescent="0.25">
      <c r="A184" s="1">
        <v>45340.590532407405</v>
      </c>
      <c r="B184" s="1">
        <f>INT(smart_dataset[[#This Row],[Timestamp]])</f>
        <v>45340</v>
      </c>
      <c r="C184" s="7">
        <f>MOD(smart_dataset[[#This Row],[Timestamp]],1)</f>
        <v>0.59053240740468027</v>
      </c>
      <c r="D184">
        <f>YEAR(smart_dataset[[#This Row],[Date]])</f>
        <v>2024</v>
      </c>
      <c r="E184">
        <f>MONTH(smart_dataset[[#This Row],[Timestamp]])</f>
        <v>2</v>
      </c>
      <c r="F184" t="s">
        <v>32</v>
      </c>
      <c r="G184">
        <v>-81.667699999999996</v>
      </c>
      <c r="H184">
        <v>-40.832700000000003</v>
      </c>
      <c r="I184">
        <v>313</v>
      </c>
      <c r="J184" t="s">
        <v>17</v>
      </c>
      <c r="K184">
        <v>20.5</v>
      </c>
      <c r="L184">
        <v>79.3</v>
      </c>
      <c r="M184" t="s">
        <v>18</v>
      </c>
      <c r="N184">
        <v>49</v>
      </c>
      <c r="O184">
        <v>229</v>
      </c>
      <c r="P184">
        <v>7</v>
      </c>
      <c r="Q184" t="s">
        <v>19</v>
      </c>
      <c r="R184">
        <v>98.5</v>
      </c>
      <c r="S184">
        <v>126</v>
      </c>
      <c r="T184">
        <v>1</v>
      </c>
      <c r="U184" t="str" cm="1">
        <f t="array" ref="U184">_xlfn.IFS(smart_dataset[[#This Row],[Waiting_Time]]&lt;=20,"Low",smart_dataset[[#This Row],[Waiting_Time]]&lt;=40,"Medium",TRUE,"High")</f>
        <v>High</v>
      </c>
      <c r="V184" t="str" cm="1">
        <f t="array" ref="V184">_xlfn.IFS(smart_dataset[[#This Row],[Temperature]]&lt;=20,"Cold",smart_dataset[[#This Row],[Temperature]]&lt;=28,"Normal",TRUE,"Hot")</f>
        <v>Normal</v>
      </c>
      <c r="W184" t="str" cm="1">
        <f t="array" ref="W184">_xlfn.IFS(smart_dataset[[#This Row],[Asset_Utilization]]&lt;=75,"Low",smart_dataset[[#This Row],[Asset_Utilization]]&lt;=90,"Medium",TRUE,"High")</f>
        <v>High</v>
      </c>
    </row>
    <row r="185" spans="1:23" x14ac:dyDescent="0.25">
      <c r="A185" s="1">
        <v>45354.036886574075</v>
      </c>
      <c r="B185" s="1">
        <f>INT(smart_dataset[[#This Row],[Timestamp]])</f>
        <v>45354</v>
      </c>
      <c r="C185" s="7">
        <f>MOD(smart_dataset[[#This Row],[Timestamp]],1)</f>
        <v>3.6886574074742384E-2</v>
      </c>
      <c r="D185">
        <f>YEAR(smart_dataset[[#This Row],[Date]])</f>
        <v>2024</v>
      </c>
      <c r="E185">
        <f>MONTH(smart_dataset[[#This Row],[Timestamp]])</f>
        <v>3</v>
      </c>
      <c r="F185" t="s">
        <v>24</v>
      </c>
      <c r="G185">
        <v>-69.688699999999997</v>
      </c>
      <c r="H185">
        <v>-34.456299999999999</v>
      </c>
      <c r="I185">
        <v>289</v>
      </c>
      <c r="J185" t="s">
        <v>26</v>
      </c>
      <c r="K185">
        <v>19.3</v>
      </c>
      <c r="L185">
        <v>68.599999999999994</v>
      </c>
      <c r="M185" t="s">
        <v>28</v>
      </c>
      <c r="N185">
        <v>33</v>
      </c>
      <c r="O185">
        <v>149</v>
      </c>
      <c r="P185">
        <v>4</v>
      </c>
      <c r="Q185" t="s">
        <v>19</v>
      </c>
      <c r="R185">
        <v>74.3</v>
      </c>
      <c r="S185">
        <v>220</v>
      </c>
      <c r="T185">
        <v>0</v>
      </c>
      <c r="U185" t="str" cm="1">
        <f t="array" ref="U185">_xlfn.IFS(smart_dataset[[#This Row],[Waiting_Time]]&lt;=20,"Low",smart_dataset[[#This Row],[Waiting_Time]]&lt;=40,"Medium",TRUE,"High")</f>
        <v>Medium</v>
      </c>
      <c r="V185" t="str" cm="1">
        <f t="array" ref="V185">_xlfn.IFS(smart_dataset[[#This Row],[Temperature]]&lt;=20,"Cold",smart_dataset[[#This Row],[Temperature]]&lt;=28,"Normal",TRUE,"Hot")</f>
        <v>Cold</v>
      </c>
      <c r="W185" t="str" cm="1">
        <f t="array" ref="W185">_xlfn.IFS(smart_dataset[[#This Row],[Asset_Utilization]]&lt;=75,"Low",smart_dataset[[#This Row],[Asset_Utilization]]&lt;=90,"Medium",TRUE,"High")</f>
        <v>Low</v>
      </c>
    </row>
    <row r="186" spans="1:23" x14ac:dyDescent="0.25">
      <c r="A186" s="1">
        <v>45445.381493055553</v>
      </c>
      <c r="B186" s="1">
        <f>INT(smart_dataset[[#This Row],[Timestamp]])</f>
        <v>45445</v>
      </c>
      <c r="C186" s="7">
        <f>MOD(smart_dataset[[#This Row],[Timestamp]],1)</f>
        <v>0.38149305555270985</v>
      </c>
      <c r="D186">
        <f>YEAR(smart_dataset[[#This Row],[Date]])</f>
        <v>2024</v>
      </c>
      <c r="E186">
        <f>MONTH(smart_dataset[[#This Row],[Timestamp]])</f>
        <v>6</v>
      </c>
      <c r="F186" t="s">
        <v>29</v>
      </c>
      <c r="G186">
        <v>-49.181100000000001</v>
      </c>
      <c r="H186">
        <v>-94.151499999999999</v>
      </c>
      <c r="I186">
        <v>171</v>
      </c>
      <c r="J186" t="s">
        <v>26</v>
      </c>
      <c r="K186">
        <v>21.3</v>
      </c>
      <c r="L186">
        <v>66.099999999999994</v>
      </c>
      <c r="M186" t="s">
        <v>28</v>
      </c>
      <c r="N186">
        <v>57</v>
      </c>
      <c r="O186">
        <v>125</v>
      </c>
      <c r="P186">
        <v>8</v>
      </c>
      <c r="Q186" t="s">
        <v>19</v>
      </c>
      <c r="R186">
        <v>98.9</v>
      </c>
      <c r="S186">
        <v>249</v>
      </c>
      <c r="T186">
        <v>0</v>
      </c>
      <c r="U186" t="str" cm="1">
        <f t="array" ref="U186">_xlfn.IFS(smart_dataset[[#This Row],[Waiting_Time]]&lt;=20,"Low",smart_dataset[[#This Row],[Waiting_Time]]&lt;=40,"Medium",TRUE,"High")</f>
        <v>High</v>
      </c>
      <c r="V186" t="str" cm="1">
        <f t="array" ref="V186">_xlfn.IFS(smart_dataset[[#This Row],[Temperature]]&lt;=20,"Cold",smart_dataset[[#This Row],[Temperature]]&lt;=28,"Normal",TRUE,"Hot")</f>
        <v>Normal</v>
      </c>
      <c r="W186" t="str" cm="1">
        <f t="array" ref="W186">_xlfn.IFS(smart_dataset[[#This Row],[Asset_Utilization]]&lt;=75,"Low",smart_dataset[[#This Row],[Asset_Utilization]]&lt;=90,"Medium",TRUE,"High")</f>
        <v>High</v>
      </c>
    </row>
    <row r="187" spans="1:23" hidden="1" x14ac:dyDescent="0.25">
      <c r="A187" s="1">
        <v>45316.506736111114</v>
      </c>
      <c r="B187" s="1">
        <f>INT(smart_dataset[[#This Row],[Timestamp]])</f>
        <v>45316</v>
      </c>
      <c r="C187" s="1">
        <f>MOD(smart_dataset[[#This Row],[Timestamp]],1)</f>
        <v>0.50673611111415084</v>
      </c>
      <c r="D187" s="1">
        <f>YEAR(smart_dataset[[#This Row],[Date]])</f>
        <v>2024</v>
      </c>
      <c r="E187" s="1">
        <f>MONTH(smart_dataset[[#This Row],[Timestamp]])</f>
        <v>1</v>
      </c>
      <c r="F187" t="s">
        <v>20</v>
      </c>
      <c r="G187">
        <v>12.8172</v>
      </c>
      <c r="H187">
        <v>76.140799999999999</v>
      </c>
      <c r="I187">
        <v>401</v>
      </c>
      <c r="J187" t="s">
        <v>21</v>
      </c>
      <c r="K187">
        <v>25.7</v>
      </c>
      <c r="L187">
        <v>71.400000000000006</v>
      </c>
      <c r="M187" t="s">
        <v>28</v>
      </c>
      <c r="N187">
        <v>30</v>
      </c>
      <c r="O187">
        <v>494</v>
      </c>
      <c r="P187">
        <v>4</v>
      </c>
      <c r="Q187" t="s">
        <v>23</v>
      </c>
      <c r="R187">
        <v>81.099999999999994</v>
      </c>
      <c r="S187">
        <v>175</v>
      </c>
      <c r="T187">
        <v>0</v>
      </c>
      <c r="U187" t="str" cm="1">
        <f t="array" ref="U187">_xlfn.IFS(smart_dataset[[#This Row],[Waiting_Time]]&lt;=20,"Low",smart_dataset[[#This Row],[Waiting_Time]]&lt;=40,"Medium",TRUE,"High")</f>
        <v>Medium</v>
      </c>
      <c r="V187" t="str" cm="1">
        <f t="array" ref="V187">_xlfn.IFS(smart_dataset[[#This Row],[Temperature]]&lt;=20,"Cold",smart_dataset[[#This Row],[Temperature]]&lt;=28,"Normal",TRUE,"Hot")</f>
        <v>Normal</v>
      </c>
      <c r="W187" t="str" cm="1">
        <f t="array" ref="W187">_xlfn.IFS(smart_dataset[[#This Row],[Asset_Utilization]]&lt;=75,"Low",smart_dataset[[#This Row],[Asset_Utilization]]&lt;=90,"Medium",TRUE,"High")</f>
        <v>Medium</v>
      </c>
    </row>
    <row r="188" spans="1:23" hidden="1" x14ac:dyDescent="0.25">
      <c r="A188" s="1">
        <v>45569.68005787037</v>
      </c>
      <c r="B188" s="1">
        <f>INT(smart_dataset[[#This Row],[Timestamp]])</f>
        <v>45569</v>
      </c>
      <c r="C188" s="1">
        <f>MOD(smart_dataset[[#This Row],[Timestamp]],1)</f>
        <v>0.68005787036963739</v>
      </c>
      <c r="D188" s="1">
        <f>YEAR(smart_dataset[[#This Row],[Date]])</f>
        <v>2024</v>
      </c>
      <c r="E188" s="1">
        <f>MONTH(smart_dataset[[#This Row],[Timestamp]])</f>
        <v>10</v>
      </c>
      <c r="F188" t="s">
        <v>25</v>
      </c>
      <c r="G188">
        <v>20.114599999999999</v>
      </c>
      <c r="H188">
        <v>19.758299999999998</v>
      </c>
      <c r="I188">
        <v>376</v>
      </c>
      <c r="J188" t="s">
        <v>26</v>
      </c>
      <c r="K188">
        <v>25.1</v>
      </c>
      <c r="L188">
        <v>54.1</v>
      </c>
      <c r="M188" t="s">
        <v>28</v>
      </c>
      <c r="N188">
        <v>55</v>
      </c>
      <c r="O188">
        <v>305</v>
      </c>
      <c r="P188">
        <v>5</v>
      </c>
      <c r="Q188" t="s">
        <v>31</v>
      </c>
      <c r="R188">
        <v>83.2</v>
      </c>
      <c r="S188">
        <v>158</v>
      </c>
      <c r="T188">
        <v>0</v>
      </c>
      <c r="U188" t="str" cm="1">
        <f t="array" ref="U188">_xlfn.IFS(smart_dataset[[#This Row],[Waiting_Time]]&lt;=20,"Low",smart_dataset[[#This Row],[Waiting_Time]]&lt;=40,"Medium",TRUE,"High")</f>
        <v>High</v>
      </c>
      <c r="V188" t="str" cm="1">
        <f t="array" ref="V188">_xlfn.IFS(smart_dataset[[#This Row],[Temperature]]&lt;=20,"Cold",smart_dataset[[#This Row],[Temperature]]&lt;=28,"Normal",TRUE,"Hot")</f>
        <v>Normal</v>
      </c>
      <c r="W188" t="str" cm="1">
        <f t="array" ref="W188">_xlfn.IFS(smart_dataset[[#This Row],[Asset_Utilization]]&lt;=75,"Low",smart_dataset[[#This Row],[Asset_Utilization]]&lt;=90,"Medium",TRUE,"High")</f>
        <v>Medium</v>
      </c>
    </row>
    <row r="189" spans="1:23" hidden="1" x14ac:dyDescent="0.25">
      <c r="A189" s="1">
        <v>45598.505254629628</v>
      </c>
      <c r="B189" s="1">
        <f>INT(smart_dataset[[#This Row],[Timestamp]])</f>
        <v>45598</v>
      </c>
      <c r="C189" s="1">
        <f>MOD(smart_dataset[[#This Row],[Timestamp]],1)</f>
        <v>0.50525462962832535</v>
      </c>
      <c r="D189" s="1">
        <f>YEAR(smart_dataset[[#This Row],[Date]])</f>
        <v>2024</v>
      </c>
      <c r="E189" s="1">
        <f>MONTH(smart_dataset[[#This Row],[Timestamp]])</f>
        <v>11</v>
      </c>
      <c r="F189" t="s">
        <v>33</v>
      </c>
      <c r="G189">
        <v>84.131699999999995</v>
      </c>
      <c r="H189">
        <v>-144.78399999999999</v>
      </c>
      <c r="I189">
        <v>371</v>
      </c>
      <c r="J189" t="s">
        <v>17</v>
      </c>
      <c r="K189">
        <v>26.2</v>
      </c>
      <c r="L189">
        <v>58.5</v>
      </c>
      <c r="M189" t="s">
        <v>22</v>
      </c>
      <c r="N189">
        <v>46</v>
      </c>
      <c r="O189">
        <v>168</v>
      </c>
      <c r="P189">
        <v>10</v>
      </c>
      <c r="Q189" t="s">
        <v>27</v>
      </c>
      <c r="R189">
        <v>69.5</v>
      </c>
      <c r="S189">
        <v>162</v>
      </c>
      <c r="T189">
        <v>1</v>
      </c>
      <c r="U189" t="str" cm="1">
        <f t="array" ref="U189">_xlfn.IFS(smart_dataset[[#This Row],[Waiting_Time]]&lt;=20,"Low",smart_dataset[[#This Row],[Waiting_Time]]&lt;=40,"Medium",TRUE,"High")</f>
        <v>High</v>
      </c>
      <c r="V189" t="str" cm="1">
        <f t="array" ref="V189">_xlfn.IFS(smart_dataset[[#This Row],[Temperature]]&lt;=20,"Cold",smart_dataset[[#This Row],[Temperature]]&lt;=28,"Normal",TRUE,"Hot")</f>
        <v>Normal</v>
      </c>
      <c r="W189" t="str" cm="1">
        <f t="array" ref="W189">_xlfn.IFS(smart_dataset[[#This Row],[Asset_Utilization]]&lt;=75,"Low",smart_dataset[[#This Row],[Asset_Utilization]]&lt;=90,"Medium",TRUE,"High")</f>
        <v>Low</v>
      </c>
    </row>
    <row r="190" spans="1:23" hidden="1" x14ac:dyDescent="0.25">
      <c r="A190" s="1">
        <v>45404.081238425926</v>
      </c>
      <c r="B190" s="1">
        <f>INT(smart_dataset[[#This Row],[Timestamp]])</f>
        <v>45404</v>
      </c>
      <c r="C190" s="1">
        <f>MOD(smart_dataset[[#This Row],[Timestamp]],1)</f>
        <v>8.1238425926130731E-2</v>
      </c>
      <c r="D190" s="1">
        <f>YEAR(smart_dataset[[#This Row],[Date]])</f>
        <v>2024</v>
      </c>
      <c r="E190" s="1">
        <f>MONTH(smart_dataset[[#This Row],[Timestamp]])</f>
        <v>4</v>
      </c>
      <c r="F190" t="s">
        <v>29</v>
      </c>
      <c r="G190">
        <v>-53.932899999999997</v>
      </c>
      <c r="H190">
        <v>30.323599999999999</v>
      </c>
      <c r="I190">
        <v>496</v>
      </c>
      <c r="J190" t="s">
        <v>21</v>
      </c>
      <c r="K190">
        <v>23.4</v>
      </c>
      <c r="L190">
        <v>71.599999999999994</v>
      </c>
      <c r="M190" t="s">
        <v>28</v>
      </c>
      <c r="N190">
        <v>15</v>
      </c>
      <c r="O190">
        <v>451</v>
      </c>
      <c r="P190">
        <v>3</v>
      </c>
      <c r="Q190" t="s">
        <v>23</v>
      </c>
      <c r="R190">
        <v>76.3</v>
      </c>
      <c r="S190">
        <v>235</v>
      </c>
      <c r="T190">
        <v>0</v>
      </c>
      <c r="U190" t="str" cm="1">
        <f t="array" ref="U190">_xlfn.IFS(smart_dataset[[#This Row],[Waiting_Time]]&lt;=20,"Low",smart_dataset[[#This Row],[Waiting_Time]]&lt;=40,"Medium",TRUE,"High")</f>
        <v>Low</v>
      </c>
      <c r="V190" t="str" cm="1">
        <f t="array" ref="V190">_xlfn.IFS(smart_dataset[[#This Row],[Temperature]]&lt;=20,"Cold",smart_dataset[[#This Row],[Temperature]]&lt;=28,"Normal",TRUE,"Hot")</f>
        <v>Normal</v>
      </c>
      <c r="W190" t="str" cm="1">
        <f t="array" ref="W190">_xlfn.IFS(smart_dataset[[#This Row],[Asset_Utilization]]&lt;=75,"Low",smart_dataset[[#This Row],[Asset_Utilization]]&lt;=90,"Medium",TRUE,"High")</f>
        <v>Medium</v>
      </c>
    </row>
    <row r="191" spans="1:23" hidden="1" x14ac:dyDescent="0.25">
      <c r="A191" s="1">
        <v>45397.936643518522</v>
      </c>
      <c r="B191" s="1">
        <f>INT(smart_dataset[[#This Row],[Timestamp]])</f>
        <v>45397</v>
      </c>
      <c r="C191" s="1">
        <f>MOD(smart_dataset[[#This Row],[Timestamp]],1)</f>
        <v>0.93664351852203254</v>
      </c>
      <c r="D191" s="1">
        <f>YEAR(smart_dataset[[#This Row],[Date]])</f>
        <v>2024</v>
      </c>
      <c r="E191" s="1">
        <f>MONTH(smart_dataset[[#This Row],[Timestamp]])</f>
        <v>4</v>
      </c>
      <c r="F191" t="s">
        <v>30</v>
      </c>
      <c r="G191">
        <v>31.857099999999999</v>
      </c>
      <c r="H191">
        <v>-83.169799999999995</v>
      </c>
      <c r="I191">
        <v>149</v>
      </c>
      <c r="J191" t="s">
        <v>21</v>
      </c>
      <c r="K191">
        <v>20.9</v>
      </c>
      <c r="L191">
        <v>68.099999999999994</v>
      </c>
      <c r="M191" t="s">
        <v>18</v>
      </c>
      <c r="N191">
        <v>39</v>
      </c>
      <c r="O191">
        <v>274</v>
      </c>
      <c r="P191">
        <v>9</v>
      </c>
      <c r="Q191" t="s">
        <v>27</v>
      </c>
      <c r="R191">
        <v>71.8</v>
      </c>
      <c r="S191">
        <v>138</v>
      </c>
      <c r="T191">
        <v>0</v>
      </c>
      <c r="U191" t="str" cm="1">
        <f t="array" ref="U191">_xlfn.IFS(smart_dataset[[#This Row],[Waiting_Time]]&lt;=20,"Low",smart_dataset[[#This Row],[Waiting_Time]]&lt;=40,"Medium",TRUE,"High")</f>
        <v>Medium</v>
      </c>
      <c r="V191" t="str" cm="1">
        <f t="array" ref="V191">_xlfn.IFS(smart_dataset[[#This Row],[Temperature]]&lt;=20,"Cold",smart_dataset[[#This Row],[Temperature]]&lt;=28,"Normal",TRUE,"Hot")</f>
        <v>Normal</v>
      </c>
      <c r="W191" t="str" cm="1">
        <f t="array" ref="W191">_xlfn.IFS(smart_dataset[[#This Row],[Asset_Utilization]]&lt;=75,"Low",smart_dataset[[#This Row],[Asset_Utilization]]&lt;=90,"Medium",TRUE,"High")</f>
        <v>Low</v>
      </c>
    </row>
    <row r="192" spans="1:23" hidden="1" x14ac:dyDescent="0.25">
      <c r="A192" s="1">
        <v>45310.603125000001</v>
      </c>
      <c r="B192" s="1">
        <f>INT(smart_dataset[[#This Row],[Timestamp]])</f>
        <v>45310</v>
      </c>
      <c r="C192" s="1">
        <f>MOD(smart_dataset[[#This Row],[Timestamp]],1)</f>
        <v>0.60312500000145519</v>
      </c>
      <c r="D192" s="1">
        <f>YEAR(smart_dataset[[#This Row],[Date]])</f>
        <v>2024</v>
      </c>
      <c r="E192" s="1">
        <f>MONTH(smart_dataset[[#This Row],[Timestamp]])</f>
        <v>1</v>
      </c>
      <c r="F192" t="s">
        <v>20</v>
      </c>
      <c r="G192">
        <v>67.730199999999996</v>
      </c>
      <c r="H192">
        <v>-70.186099999999996</v>
      </c>
      <c r="I192">
        <v>166</v>
      </c>
      <c r="J192" t="s">
        <v>21</v>
      </c>
      <c r="K192">
        <v>29.4</v>
      </c>
      <c r="L192">
        <v>59.5</v>
      </c>
      <c r="M192" t="s">
        <v>22</v>
      </c>
      <c r="N192">
        <v>40</v>
      </c>
      <c r="O192">
        <v>210</v>
      </c>
      <c r="P192">
        <v>4</v>
      </c>
      <c r="Q192" t="s">
        <v>27</v>
      </c>
      <c r="R192">
        <v>82.9</v>
      </c>
      <c r="S192">
        <v>246</v>
      </c>
      <c r="T192">
        <v>1</v>
      </c>
      <c r="U192" t="str" cm="1">
        <f t="array" ref="U192">_xlfn.IFS(smart_dataset[[#This Row],[Waiting_Time]]&lt;=20,"Low",smart_dataset[[#This Row],[Waiting_Time]]&lt;=40,"Medium",TRUE,"High")</f>
        <v>Medium</v>
      </c>
      <c r="V192" t="str" cm="1">
        <f t="array" ref="V192">_xlfn.IFS(smart_dataset[[#This Row],[Temperature]]&lt;=20,"Cold",smart_dataset[[#This Row],[Temperature]]&lt;=28,"Normal",TRUE,"Hot")</f>
        <v>Hot</v>
      </c>
      <c r="W192" t="str" cm="1">
        <f t="array" ref="W192">_xlfn.IFS(smart_dataset[[#This Row],[Asset_Utilization]]&lt;=75,"Low",smart_dataset[[#This Row],[Asset_Utilization]]&lt;=90,"Medium",TRUE,"High")</f>
        <v>Medium</v>
      </c>
    </row>
    <row r="193" spans="1:23" hidden="1" x14ac:dyDescent="0.25">
      <c r="A193" s="1">
        <v>45557.513287037036</v>
      </c>
      <c r="B193" s="1">
        <f>INT(smart_dataset[[#This Row],[Timestamp]])</f>
        <v>45557</v>
      </c>
      <c r="C193" s="1">
        <f>MOD(smart_dataset[[#This Row],[Timestamp]],1)</f>
        <v>0.51328703703620704</v>
      </c>
      <c r="D193" s="1">
        <f>YEAR(smart_dataset[[#This Row],[Date]])</f>
        <v>2024</v>
      </c>
      <c r="E193" s="1">
        <f>MONTH(smart_dataset[[#This Row],[Timestamp]])</f>
        <v>9</v>
      </c>
      <c r="F193" t="s">
        <v>25</v>
      </c>
      <c r="G193">
        <v>73.372299999999996</v>
      </c>
      <c r="H193">
        <v>93.246399999999994</v>
      </c>
      <c r="I193">
        <v>369</v>
      </c>
      <c r="J193" t="s">
        <v>17</v>
      </c>
      <c r="K193">
        <v>28</v>
      </c>
      <c r="L193">
        <v>52.3</v>
      </c>
      <c r="M193" t="s">
        <v>18</v>
      </c>
      <c r="N193">
        <v>35</v>
      </c>
      <c r="O193">
        <v>481</v>
      </c>
      <c r="P193">
        <v>5</v>
      </c>
      <c r="Q193" t="s">
        <v>31</v>
      </c>
      <c r="R193">
        <v>73.400000000000006</v>
      </c>
      <c r="S193">
        <v>179</v>
      </c>
      <c r="T193">
        <v>1</v>
      </c>
      <c r="U193" t="str" cm="1">
        <f t="array" ref="U193">_xlfn.IFS(smart_dataset[[#This Row],[Waiting_Time]]&lt;=20,"Low",smart_dataset[[#This Row],[Waiting_Time]]&lt;=40,"Medium",TRUE,"High")</f>
        <v>Medium</v>
      </c>
      <c r="V193" t="str" cm="1">
        <f t="array" ref="V193">_xlfn.IFS(smart_dataset[[#This Row],[Temperature]]&lt;=20,"Cold",smart_dataset[[#This Row],[Temperature]]&lt;=28,"Normal",TRUE,"Hot")</f>
        <v>Normal</v>
      </c>
      <c r="W193" t="str" cm="1">
        <f t="array" ref="W193">_xlfn.IFS(smart_dataset[[#This Row],[Asset_Utilization]]&lt;=75,"Low",smart_dataset[[#This Row],[Asset_Utilization]]&lt;=90,"Medium",TRUE,"High")</f>
        <v>Low</v>
      </c>
    </row>
    <row r="194" spans="1:23" hidden="1" x14ac:dyDescent="0.25">
      <c r="A194" s="1">
        <v>45597.990995370368</v>
      </c>
      <c r="B194" s="1">
        <f>INT(smart_dataset[[#This Row],[Timestamp]])</f>
        <v>45597</v>
      </c>
      <c r="C194" s="1">
        <f>MOD(smart_dataset[[#This Row],[Timestamp]],1)</f>
        <v>0.99099537036818219</v>
      </c>
      <c r="D194" s="1">
        <f>YEAR(smart_dataset[[#This Row],[Date]])</f>
        <v>2024</v>
      </c>
      <c r="E194" s="1">
        <f>MONTH(smart_dataset[[#This Row],[Timestamp]])</f>
        <v>11</v>
      </c>
      <c r="F194" t="s">
        <v>34</v>
      </c>
      <c r="G194">
        <v>68.236099999999993</v>
      </c>
      <c r="H194">
        <v>-85.921599999999998</v>
      </c>
      <c r="I194">
        <v>409</v>
      </c>
      <c r="J194" t="s">
        <v>21</v>
      </c>
      <c r="K194">
        <v>22</v>
      </c>
      <c r="L194">
        <v>68.099999999999994</v>
      </c>
      <c r="M194" t="s">
        <v>28</v>
      </c>
      <c r="N194">
        <v>18</v>
      </c>
      <c r="O194">
        <v>423</v>
      </c>
      <c r="P194">
        <v>10</v>
      </c>
      <c r="Q194" t="s">
        <v>23</v>
      </c>
      <c r="R194">
        <v>62.8</v>
      </c>
      <c r="S194">
        <v>282</v>
      </c>
      <c r="T194">
        <v>0</v>
      </c>
      <c r="U194" t="str" cm="1">
        <f t="array" ref="U194">_xlfn.IFS(smart_dataset[[#This Row],[Waiting_Time]]&lt;=20,"Low",smart_dataset[[#This Row],[Waiting_Time]]&lt;=40,"Medium",TRUE,"High")</f>
        <v>Low</v>
      </c>
      <c r="V194" t="str" cm="1">
        <f t="array" ref="V194">_xlfn.IFS(smart_dataset[[#This Row],[Temperature]]&lt;=20,"Cold",smart_dataset[[#This Row],[Temperature]]&lt;=28,"Normal",TRUE,"Hot")</f>
        <v>Normal</v>
      </c>
      <c r="W194" t="str" cm="1">
        <f t="array" ref="W194">_xlfn.IFS(smart_dataset[[#This Row],[Asset_Utilization]]&lt;=75,"Low",smart_dataset[[#This Row],[Asset_Utilization]]&lt;=90,"Medium",TRUE,"High")</f>
        <v>Low</v>
      </c>
    </row>
    <row r="195" spans="1:23" hidden="1" x14ac:dyDescent="0.25">
      <c r="A195" s="1">
        <v>45425.590914351851</v>
      </c>
      <c r="B195" s="1">
        <f>INT(smart_dataset[[#This Row],[Timestamp]])</f>
        <v>45425</v>
      </c>
      <c r="C195" s="1">
        <f>MOD(smart_dataset[[#This Row],[Timestamp]],1)</f>
        <v>0.59091435185109731</v>
      </c>
      <c r="D195" s="1">
        <f>YEAR(smart_dataset[[#This Row],[Date]])</f>
        <v>2024</v>
      </c>
      <c r="E195" s="1">
        <f>MONTH(smart_dataset[[#This Row],[Timestamp]])</f>
        <v>5</v>
      </c>
      <c r="F195" t="s">
        <v>32</v>
      </c>
      <c r="G195">
        <v>40.547800000000002</v>
      </c>
      <c r="H195">
        <v>147.02610000000001</v>
      </c>
      <c r="I195">
        <v>494</v>
      </c>
      <c r="J195" t="s">
        <v>17</v>
      </c>
      <c r="K195">
        <v>19.2</v>
      </c>
      <c r="L195">
        <v>58.4</v>
      </c>
      <c r="M195" t="s">
        <v>28</v>
      </c>
      <c r="N195">
        <v>52</v>
      </c>
      <c r="O195">
        <v>231</v>
      </c>
      <c r="P195">
        <v>10</v>
      </c>
      <c r="Q195" t="s">
        <v>23</v>
      </c>
      <c r="R195">
        <v>89.5</v>
      </c>
      <c r="S195">
        <v>201</v>
      </c>
      <c r="T195">
        <v>1</v>
      </c>
      <c r="U195" t="str" cm="1">
        <f t="array" ref="U195">_xlfn.IFS(smart_dataset[[#This Row],[Waiting_Time]]&lt;=20,"Low",smart_dataset[[#This Row],[Waiting_Time]]&lt;=40,"Medium",TRUE,"High")</f>
        <v>High</v>
      </c>
      <c r="V195" t="str" cm="1">
        <f t="array" ref="V195">_xlfn.IFS(smart_dataset[[#This Row],[Temperature]]&lt;=20,"Cold",smart_dataset[[#This Row],[Temperature]]&lt;=28,"Normal",TRUE,"Hot")</f>
        <v>Cold</v>
      </c>
      <c r="W195" t="str" cm="1">
        <f t="array" ref="W195">_xlfn.IFS(smart_dataset[[#This Row],[Asset_Utilization]]&lt;=75,"Low",smart_dataset[[#This Row],[Asset_Utilization]]&lt;=90,"Medium",TRUE,"High")</f>
        <v>Medium</v>
      </c>
    </row>
    <row r="196" spans="1:23" hidden="1" x14ac:dyDescent="0.25">
      <c r="A196" s="1">
        <v>45339.317199074074</v>
      </c>
      <c r="B196" s="1">
        <f>INT(smart_dataset[[#This Row],[Timestamp]])</f>
        <v>45339</v>
      </c>
      <c r="C196" s="1">
        <f>MOD(smart_dataset[[#This Row],[Timestamp]],1)</f>
        <v>0.31719907407386927</v>
      </c>
      <c r="D196" s="1">
        <f>YEAR(smart_dataset[[#This Row],[Date]])</f>
        <v>2024</v>
      </c>
      <c r="E196" s="1">
        <f>MONTH(smart_dataset[[#This Row],[Timestamp]])</f>
        <v>2</v>
      </c>
      <c r="F196" t="s">
        <v>20</v>
      </c>
      <c r="G196">
        <v>-36.429900000000004</v>
      </c>
      <c r="H196">
        <v>58.0595</v>
      </c>
      <c r="I196">
        <v>238</v>
      </c>
      <c r="J196" t="s">
        <v>17</v>
      </c>
      <c r="K196">
        <v>23.8</v>
      </c>
      <c r="L196">
        <v>79.400000000000006</v>
      </c>
      <c r="M196" t="s">
        <v>18</v>
      </c>
      <c r="N196">
        <v>33</v>
      </c>
      <c r="O196">
        <v>416</v>
      </c>
      <c r="P196">
        <v>5</v>
      </c>
      <c r="Q196" t="s">
        <v>23</v>
      </c>
      <c r="R196">
        <v>88.2</v>
      </c>
      <c r="S196">
        <v>102</v>
      </c>
      <c r="T196">
        <v>1</v>
      </c>
      <c r="U196" t="str" cm="1">
        <f t="array" ref="U196">_xlfn.IFS(smart_dataset[[#This Row],[Waiting_Time]]&lt;=20,"Low",smart_dataset[[#This Row],[Waiting_Time]]&lt;=40,"Medium",TRUE,"High")</f>
        <v>Medium</v>
      </c>
      <c r="V196" t="str" cm="1">
        <f t="array" ref="V196">_xlfn.IFS(smart_dataset[[#This Row],[Temperature]]&lt;=20,"Cold",smart_dataset[[#This Row],[Temperature]]&lt;=28,"Normal",TRUE,"Hot")</f>
        <v>Normal</v>
      </c>
      <c r="W196" t="str" cm="1">
        <f t="array" ref="W196">_xlfn.IFS(smart_dataset[[#This Row],[Asset_Utilization]]&lt;=75,"Low",smart_dataset[[#This Row],[Asset_Utilization]]&lt;=90,"Medium",TRUE,"High")</f>
        <v>Medium</v>
      </c>
    </row>
    <row r="197" spans="1:23" x14ac:dyDescent="0.25">
      <c r="A197" s="1">
        <v>45619.815266203703</v>
      </c>
      <c r="B197" s="1">
        <f>INT(smart_dataset[[#This Row],[Timestamp]])</f>
        <v>45619</v>
      </c>
      <c r="C197" s="7">
        <f>MOD(smart_dataset[[#This Row],[Timestamp]],1)</f>
        <v>0.81526620370277669</v>
      </c>
      <c r="D197">
        <f>YEAR(smart_dataset[[#This Row],[Date]])</f>
        <v>2024</v>
      </c>
      <c r="E197">
        <f>MONTH(smart_dataset[[#This Row],[Timestamp]])</f>
        <v>11</v>
      </c>
      <c r="F197" t="s">
        <v>32</v>
      </c>
      <c r="G197">
        <v>83.200299999999999</v>
      </c>
      <c r="H197">
        <v>-119.0412</v>
      </c>
      <c r="I197">
        <v>422</v>
      </c>
      <c r="J197" t="s">
        <v>21</v>
      </c>
      <c r="K197">
        <v>19.2</v>
      </c>
      <c r="L197">
        <v>54.5</v>
      </c>
      <c r="M197" t="s">
        <v>28</v>
      </c>
      <c r="N197">
        <v>18</v>
      </c>
      <c r="O197">
        <v>437</v>
      </c>
      <c r="P197">
        <v>3</v>
      </c>
      <c r="Q197" t="s">
        <v>19</v>
      </c>
      <c r="R197">
        <v>73.5</v>
      </c>
      <c r="S197">
        <v>103</v>
      </c>
      <c r="T197">
        <v>0</v>
      </c>
      <c r="U197" t="str" cm="1">
        <f t="array" ref="U197">_xlfn.IFS(smart_dataset[[#This Row],[Waiting_Time]]&lt;=20,"Low",smart_dataset[[#This Row],[Waiting_Time]]&lt;=40,"Medium",TRUE,"High")</f>
        <v>Low</v>
      </c>
      <c r="V197" t="str" cm="1">
        <f t="array" ref="V197">_xlfn.IFS(smart_dataset[[#This Row],[Temperature]]&lt;=20,"Cold",smart_dataset[[#This Row],[Temperature]]&lt;=28,"Normal",TRUE,"Hot")</f>
        <v>Cold</v>
      </c>
      <c r="W197" t="str" cm="1">
        <f t="array" ref="W197">_xlfn.IFS(smart_dataset[[#This Row],[Asset_Utilization]]&lt;=75,"Low",smart_dataset[[#This Row],[Asset_Utilization]]&lt;=90,"Medium",TRUE,"High")</f>
        <v>Low</v>
      </c>
    </row>
    <row r="198" spans="1:23" x14ac:dyDescent="0.25">
      <c r="A198" s="1">
        <v>45558.439062500001</v>
      </c>
      <c r="B198" s="1">
        <f>INT(smart_dataset[[#This Row],[Timestamp]])</f>
        <v>45558</v>
      </c>
      <c r="C198" s="7">
        <f>MOD(smart_dataset[[#This Row],[Timestamp]],1)</f>
        <v>0.43906250000145519</v>
      </c>
      <c r="D198">
        <f>YEAR(smart_dataset[[#This Row],[Date]])</f>
        <v>2024</v>
      </c>
      <c r="E198">
        <f>MONTH(smart_dataset[[#This Row],[Timestamp]])</f>
        <v>9</v>
      </c>
      <c r="F198" t="s">
        <v>25</v>
      </c>
      <c r="G198">
        <v>74.581599999999995</v>
      </c>
      <c r="H198">
        <v>-19.698599999999999</v>
      </c>
      <c r="I198">
        <v>132</v>
      </c>
      <c r="J198" t="s">
        <v>21</v>
      </c>
      <c r="K198">
        <v>28.2</v>
      </c>
      <c r="L198">
        <v>57.2</v>
      </c>
      <c r="M198" t="s">
        <v>28</v>
      </c>
      <c r="N198">
        <v>23</v>
      </c>
      <c r="O198">
        <v>401</v>
      </c>
      <c r="P198">
        <v>6</v>
      </c>
      <c r="Q198" t="s">
        <v>19</v>
      </c>
      <c r="R198">
        <v>93.6</v>
      </c>
      <c r="S198">
        <v>154</v>
      </c>
      <c r="T198">
        <v>0</v>
      </c>
      <c r="U198" t="str" cm="1">
        <f t="array" ref="U198">_xlfn.IFS(smart_dataset[[#This Row],[Waiting_Time]]&lt;=20,"Low",smart_dataset[[#This Row],[Waiting_Time]]&lt;=40,"Medium",TRUE,"High")</f>
        <v>Medium</v>
      </c>
      <c r="V198" t="str" cm="1">
        <f t="array" ref="V198">_xlfn.IFS(smart_dataset[[#This Row],[Temperature]]&lt;=20,"Cold",smart_dataset[[#This Row],[Temperature]]&lt;=28,"Normal",TRUE,"Hot")</f>
        <v>Hot</v>
      </c>
      <c r="W198" t="str" cm="1">
        <f t="array" ref="W198">_xlfn.IFS(smart_dataset[[#This Row],[Asset_Utilization]]&lt;=75,"Low",smart_dataset[[#This Row],[Asset_Utilization]]&lt;=90,"Medium",TRUE,"High")</f>
        <v>High</v>
      </c>
    </row>
    <row r="199" spans="1:23" hidden="1" x14ac:dyDescent="0.25">
      <c r="A199" s="1">
        <v>45529.93917824074</v>
      </c>
      <c r="B199" s="1">
        <f>INT(smart_dataset[[#This Row],[Timestamp]])</f>
        <v>45529</v>
      </c>
      <c r="C199" s="1">
        <f>MOD(smart_dataset[[#This Row],[Timestamp]],1)</f>
        <v>0.93917824074014788</v>
      </c>
      <c r="D199" s="1">
        <f>YEAR(smart_dataset[[#This Row],[Date]])</f>
        <v>2024</v>
      </c>
      <c r="E199" s="1">
        <f>MONTH(smart_dataset[[#This Row],[Timestamp]])</f>
        <v>8</v>
      </c>
      <c r="F199" t="s">
        <v>35</v>
      </c>
      <c r="G199">
        <v>-64.709400000000002</v>
      </c>
      <c r="H199">
        <v>137.791</v>
      </c>
      <c r="I199">
        <v>189</v>
      </c>
      <c r="J199" t="s">
        <v>17</v>
      </c>
      <c r="K199">
        <v>25.2</v>
      </c>
      <c r="L199">
        <v>70</v>
      </c>
      <c r="M199" t="s">
        <v>28</v>
      </c>
      <c r="N199">
        <v>10</v>
      </c>
      <c r="O199">
        <v>360</v>
      </c>
      <c r="P199">
        <v>6</v>
      </c>
      <c r="Q199" t="s">
        <v>31</v>
      </c>
      <c r="R199">
        <v>81.900000000000006</v>
      </c>
      <c r="S199">
        <v>191</v>
      </c>
      <c r="T199">
        <v>1</v>
      </c>
      <c r="U199" t="str" cm="1">
        <f t="array" ref="U199">_xlfn.IFS(smart_dataset[[#This Row],[Waiting_Time]]&lt;=20,"Low",smart_dataset[[#This Row],[Waiting_Time]]&lt;=40,"Medium",TRUE,"High")</f>
        <v>Low</v>
      </c>
      <c r="V199" t="str" cm="1">
        <f t="array" ref="V199">_xlfn.IFS(smart_dataset[[#This Row],[Temperature]]&lt;=20,"Cold",smart_dataset[[#This Row],[Temperature]]&lt;=28,"Normal",TRUE,"Hot")</f>
        <v>Normal</v>
      </c>
      <c r="W199" t="str" cm="1">
        <f t="array" ref="W199">_xlfn.IFS(smart_dataset[[#This Row],[Asset_Utilization]]&lt;=75,"Low",smart_dataset[[#This Row],[Asset_Utilization]]&lt;=90,"Medium",TRUE,"High")</f>
        <v>Medium</v>
      </c>
    </row>
    <row r="200" spans="1:23" hidden="1" x14ac:dyDescent="0.25">
      <c r="A200" s="1">
        <v>45562.266585648147</v>
      </c>
      <c r="B200" s="1">
        <f>INT(smart_dataset[[#This Row],[Timestamp]])</f>
        <v>45562</v>
      </c>
      <c r="C200" s="1">
        <f>MOD(smart_dataset[[#This Row],[Timestamp]],1)</f>
        <v>0.26658564814715646</v>
      </c>
      <c r="D200" s="1">
        <f>YEAR(smart_dataset[[#This Row],[Date]])</f>
        <v>2024</v>
      </c>
      <c r="E200" s="1">
        <f>MONTH(smart_dataset[[#This Row],[Timestamp]])</f>
        <v>9</v>
      </c>
      <c r="F200" t="s">
        <v>35</v>
      </c>
      <c r="G200">
        <v>-59.601999999999997</v>
      </c>
      <c r="H200">
        <v>62.712000000000003</v>
      </c>
      <c r="I200">
        <v>255</v>
      </c>
      <c r="J200" t="s">
        <v>26</v>
      </c>
      <c r="K200">
        <v>28.5</v>
      </c>
      <c r="L200">
        <v>72.2</v>
      </c>
      <c r="M200" t="s">
        <v>28</v>
      </c>
      <c r="N200">
        <v>60</v>
      </c>
      <c r="O200">
        <v>419</v>
      </c>
      <c r="P200">
        <v>2</v>
      </c>
      <c r="Q200" t="s">
        <v>27</v>
      </c>
      <c r="R200">
        <v>68.400000000000006</v>
      </c>
      <c r="S200">
        <v>246</v>
      </c>
      <c r="T200">
        <v>0</v>
      </c>
      <c r="U200" t="str" cm="1">
        <f t="array" ref="U200">_xlfn.IFS(smart_dataset[[#This Row],[Waiting_Time]]&lt;=20,"Low",smart_dataset[[#This Row],[Waiting_Time]]&lt;=40,"Medium",TRUE,"High")</f>
        <v>High</v>
      </c>
      <c r="V200" t="str" cm="1">
        <f t="array" ref="V200">_xlfn.IFS(smart_dataset[[#This Row],[Temperature]]&lt;=20,"Cold",smart_dataset[[#This Row],[Temperature]]&lt;=28,"Normal",TRUE,"Hot")</f>
        <v>Hot</v>
      </c>
      <c r="W200" t="str" cm="1">
        <f t="array" ref="W200">_xlfn.IFS(smart_dataset[[#This Row],[Asset_Utilization]]&lt;=75,"Low",smart_dataset[[#This Row],[Asset_Utilization]]&lt;=90,"Medium",TRUE,"High")</f>
        <v>Low</v>
      </c>
    </row>
    <row r="201" spans="1:23" hidden="1" x14ac:dyDescent="0.25">
      <c r="A201" s="1">
        <v>45421.168287037035</v>
      </c>
      <c r="B201" s="1">
        <f>INT(smart_dataset[[#This Row],[Timestamp]])</f>
        <v>45421</v>
      </c>
      <c r="C201" s="1">
        <f>MOD(smart_dataset[[#This Row],[Timestamp]],1)</f>
        <v>0.16828703703504289</v>
      </c>
      <c r="D201" s="1">
        <f>YEAR(smart_dataset[[#This Row],[Date]])</f>
        <v>2024</v>
      </c>
      <c r="E201" s="1">
        <f>MONTH(smart_dataset[[#This Row],[Timestamp]])</f>
        <v>5</v>
      </c>
      <c r="F201" t="s">
        <v>16</v>
      </c>
      <c r="G201">
        <v>-68.371200000000002</v>
      </c>
      <c r="H201">
        <v>-65.980199999999996</v>
      </c>
      <c r="I201">
        <v>107</v>
      </c>
      <c r="J201" t="s">
        <v>17</v>
      </c>
      <c r="K201">
        <v>21.9</v>
      </c>
      <c r="L201">
        <v>74.099999999999994</v>
      </c>
      <c r="M201" t="s">
        <v>22</v>
      </c>
      <c r="N201">
        <v>51</v>
      </c>
      <c r="O201">
        <v>413</v>
      </c>
      <c r="P201">
        <v>1</v>
      </c>
      <c r="Q201" t="s">
        <v>23</v>
      </c>
      <c r="R201">
        <v>84.9</v>
      </c>
      <c r="S201">
        <v>257</v>
      </c>
      <c r="T201">
        <v>1</v>
      </c>
      <c r="U201" t="str" cm="1">
        <f t="array" ref="U201">_xlfn.IFS(smart_dataset[[#This Row],[Waiting_Time]]&lt;=20,"Low",smart_dataset[[#This Row],[Waiting_Time]]&lt;=40,"Medium",TRUE,"High")</f>
        <v>High</v>
      </c>
      <c r="V201" t="str" cm="1">
        <f t="array" ref="V201">_xlfn.IFS(smart_dataset[[#This Row],[Temperature]]&lt;=20,"Cold",smart_dataset[[#This Row],[Temperature]]&lt;=28,"Normal",TRUE,"Hot")</f>
        <v>Normal</v>
      </c>
      <c r="W201" t="str" cm="1">
        <f t="array" ref="W201">_xlfn.IFS(smart_dataset[[#This Row],[Asset_Utilization]]&lt;=75,"Low",smart_dataset[[#This Row],[Asset_Utilization]]&lt;=90,"Medium",TRUE,"High")</f>
        <v>Medium</v>
      </c>
    </row>
    <row r="202" spans="1:23" x14ac:dyDescent="0.25">
      <c r="A202" s="1">
        <v>45439.45820601852</v>
      </c>
      <c r="B202" s="1">
        <f>INT(smart_dataset[[#This Row],[Timestamp]])</f>
        <v>45439</v>
      </c>
      <c r="C202" s="7">
        <f>MOD(smart_dataset[[#This Row],[Timestamp]],1)</f>
        <v>0.45820601852028631</v>
      </c>
      <c r="D202">
        <f>YEAR(smart_dataset[[#This Row],[Date]])</f>
        <v>2024</v>
      </c>
      <c r="E202">
        <f>MONTH(smart_dataset[[#This Row],[Timestamp]])</f>
        <v>5</v>
      </c>
      <c r="F202" t="s">
        <v>20</v>
      </c>
      <c r="G202">
        <v>3.8431000000000002</v>
      </c>
      <c r="H202">
        <v>91.007800000000003</v>
      </c>
      <c r="I202">
        <v>274</v>
      </c>
      <c r="J202" t="s">
        <v>17</v>
      </c>
      <c r="K202">
        <v>19.3</v>
      </c>
      <c r="L202">
        <v>51.4</v>
      </c>
      <c r="M202" t="s">
        <v>22</v>
      </c>
      <c r="N202">
        <v>57</v>
      </c>
      <c r="O202">
        <v>279</v>
      </c>
      <c r="P202">
        <v>10</v>
      </c>
      <c r="Q202" t="s">
        <v>19</v>
      </c>
      <c r="R202">
        <v>75.3</v>
      </c>
      <c r="S202">
        <v>127</v>
      </c>
      <c r="T202">
        <v>1</v>
      </c>
      <c r="U202" t="str" cm="1">
        <f t="array" ref="U202">_xlfn.IFS(smart_dataset[[#This Row],[Waiting_Time]]&lt;=20,"Low",smart_dataset[[#This Row],[Waiting_Time]]&lt;=40,"Medium",TRUE,"High")</f>
        <v>High</v>
      </c>
      <c r="V202" t="str" cm="1">
        <f t="array" ref="V202">_xlfn.IFS(smart_dataset[[#This Row],[Temperature]]&lt;=20,"Cold",smart_dataset[[#This Row],[Temperature]]&lt;=28,"Normal",TRUE,"Hot")</f>
        <v>Cold</v>
      </c>
      <c r="W202" t="str" cm="1">
        <f t="array" ref="W202">_xlfn.IFS(smart_dataset[[#This Row],[Asset_Utilization]]&lt;=75,"Low",smart_dataset[[#This Row],[Asset_Utilization]]&lt;=90,"Medium",TRUE,"High")</f>
        <v>Medium</v>
      </c>
    </row>
    <row r="203" spans="1:23" hidden="1" x14ac:dyDescent="0.25">
      <c r="A203" s="1">
        <v>45345.777453703704</v>
      </c>
      <c r="B203" s="1">
        <f>INT(smart_dataset[[#This Row],[Timestamp]])</f>
        <v>45345</v>
      </c>
      <c r="C203" s="1">
        <f>MOD(smart_dataset[[#This Row],[Timestamp]],1)</f>
        <v>0.77745370370394085</v>
      </c>
      <c r="D203" s="1">
        <f>YEAR(smart_dataset[[#This Row],[Date]])</f>
        <v>2024</v>
      </c>
      <c r="E203" s="1">
        <f>MONTH(smart_dataset[[#This Row],[Timestamp]])</f>
        <v>2</v>
      </c>
      <c r="F203" t="s">
        <v>29</v>
      </c>
      <c r="G203">
        <v>76.394599999999997</v>
      </c>
      <c r="H203">
        <v>105.7941</v>
      </c>
      <c r="I203">
        <v>206</v>
      </c>
      <c r="J203" t="s">
        <v>17</v>
      </c>
      <c r="K203">
        <v>21.9</v>
      </c>
      <c r="L203">
        <v>68.599999999999994</v>
      </c>
      <c r="M203" t="s">
        <v>22</v>
      </c>
      <c r="N203">
        <v>42</v>
      </c>
      <c r="O203">
        <v>100</v>
      </c>
      <c r="P203">
        <v>7</v>
      </c>
      <c r="Q203" t="s">
        <v>27</v>
      </c>
      <c r="R203">
        <v>63.3</v>
      </c>
      <c r="S203">
        <v>116</v>
      </c>
      <c r="T203">
        <v>1</v>
      </c>
      <c r="U203" t="str" cm="1">
        <f t="array" ref="U203">_xlfn.IFS(smart_dataset[[#This Row],[Waiting_Time]]&lt;=20,"Low",smart_dataset[[#This Row],[Waiting_Time]]&lt;=40,"Medium",TRUE,"High")</f>
        <v>High</v>
      </c>
      <c r="V203" t="str" cm="1">
        <f t="array" ref="V203">_xlfn.IFS(smart_dataset[[#This Row],[Temperature]]&lt;=20,"Cold",smart_dataset[[#This Row],[Temperature]]&lt;=28,"Normal",TRUE,"Hot")</f>
        <v>Normal</v>
      </c>
      <c r="W203" t="str" cm="1">
        <f t="array" ref="W203">_xlfn.IFS(smart_dataset[[#This Row],[Asset_Utilization]]&lt;=75,"Low",smart_dataset[[#This Row],[Asset_Utilization]]&lt;=90,"Medium",TRUE,"High")</f>
        <v>Low</v>
      </c>
    </row>
    <row r="204" spans="1:23" hidden="1" x14ac:dyDescent="0.25">
      <c r="A204" s="1">
        <v>45501.9371875</v>
      </c>
      <c r="B204" s="1">
        <f>INT(smart_dataset[[#This Row],[Timestamp]])</f>
        <v>45501</v>
      </c>
      <c r="C204" s="1">
        <f>MOD(smart_dataset[[#This Row],[Timestamp]],1)</f>
        <v>0.93718749999970896</v>
      </c>
      <c r="D204" s="1">
        <f>YEAR(smart_dataset[[#This Row],[Date]])</f>
        <v>2024</v>
      </c>
      <c r="E204" s="1">
        <f>MONTH(smart_dataset[[#This Row],[Timestamp]])</f>
        <v>7</v>
      </c>
      <c r="F204" t="s">
        <v>34</v>
      </c>
      <c r="G204">
        <v>-46.187100000000001</v>
      </c>
      <c r="H204">
        <v>9.4679000000000002</v>
      </c>
      <c r="I204">
        <v>270</v>
      </c>
      <c r="J204" t="s">
        <v>21</v>
      </c>
      <c r="K204">
        <v>26.7</v>
      </c>
      <c r="L204">
        <v>72.2</v>
      </c>
      <c r="M204" t="s">
        <v>22</v>
      </c>
      <c r="N204">
        <v>35</v>
      </c>
      <c r="O204">
        <v>107</v>
      </c>
      <c r="P204">
        <v>10</v>
      </c>
      <c r="Q204" t="s">
        <v>27</v>
      </c>
      <c r="R204">
        <v>90.8</v>
      </c>
      <c r="S204">
        <v>158</v>
      </c>
      <c r="T204">
        <v>1</v>
      </c>
      <c r="U204" t="str" cm="1">
        <f t="array" ref="U204">_xlfn.IFS(smart_dataset[[#This Row],[Waiting_Time]]&lt;=20,"Low",smart_dataset[[#This Row],[Waiting_Time]]&lt;=40,"Medium",TRUE,"High")</f>
        <v>Medium</v>
      </c>
      <c r="V204" t="str" cm="1">
        <f t="array" ref="V204">_xlfn.IFS(smart_dataset[[#This Row],[Temperature]]&lt;=20,"Cold",smart_dataset[[#This Row],[Temperature]]&lt;=28,"Normal",TRUE,"Hot")</f>
        <v>Normal</v>
      </c>
      <c r="W204" t="str" cm="1">
        <f t="array" ref="W204">_xlfn.IFS(smart_dataset[[#This Row],[Asset_Utilization]]&lt;=75,"Low",smart_dataset[[#This Row],[Asset_Utilization]]&lt;=90,"Medium",TRUE,"High")</f>
        <v>High</v>
      </c>
    </row>
    <row r="205" spans="1:23" hidden="1" x14ac:dyDescent="0.25">
      <c r="A205" s="1">
        <v>45356.437847222223</v>
      </c>
      <c r="B205" s="1">
        <f>INT(smart_dataset[[#This Row],[Timestamp]])</f>
        <v>45356</v>
      </c>
      <c r="C205" s="1">
        <f>MOD(smart_dataset[[#This Row],[Timestamp]],1)</f>
        <v>0.43784722222335404</v>
      </c>
      <c r="D205" s="1">
        <f>YEAR(smart_dataset[[#This Row],[Date]])</f>
        <v>2024</v>
      </c>
      <c r="E205" s="1">
        <f>MONTH(smart_dataset[[#This Row],[Timestamp]])</f>
        <v>3</v>
      </c>
      <c r="F205" t="s">
        <v>24</v>
      </c>
      <c r="G205">
        <v>-10.8849</v>
      </c>
      <c r="H205">
        <v>86.081199999999995</v>
      </c>
      <c r="I205">
        <v>277</v>
      </c>
      <c r="J205" t="s">
        <v>21</v>
      </c>
      <c r="K205">
        <v>23.7</v>
      </c>
      <c r="L205">
        <v>72.099999999999994</v>
      </c>
      <c r="M205" t="s">
        <v>28</v>
      </c>
      <c r="N205">
        <v>12</v>
      </c>
      <c r="O205">
        <v>195</v>
      </c>
      <c r="P205">
        <v>5</v>
      </c>
      <c r="Q205" t="s">
        <v>27</v>
      </c>
      <c r="R205">
        <v>64.5</v>
      </c>
      <c r="S205">
        <v>130</v>
      </c>
      <c r="T205">
        <v>0</v>
      </c>
      <c r="U205" t="str" cm="1">
        <f t="array" ref="U205">_xlfn.IFS(smart_dataset[[#This Row],[Waiting_Time]]&lt;=20,"Low",smart_dataset[[#This Row],[Waiting_Time]]&lt;=40,"Medium",TRUE,"High")</f>
        <v>Low</v>
      </c>
      <c r="V205" t="str" cm="1">
        <f t="array" ref="V205">_xlfn.IFS(smart_dataset[[#This Row],[Temperature]]&lt;=20,"Cold",smart_dataset[[#This Row],[Temperature]]&lt;=28,"Normal",TRUE,"Hot")</f>
        <v>Normal</v>
      </c>
      <c r="W205" t="str" cm="1">
        <f t="array" ref="W205">_xlfn.IFS(smart_dataset[[#This Row],[Asset_Utilization]]&lt;=75,"Low",smart_dataset[[#This Row],[Asset_Utilization]]&lt;=90,"Medium",TRUE,"High")</f>
        <v>Low</v>
      </c>
    </row>
    <row r="206" spans="1:23" hidden="1" x14ac:dyDescent="0.25">
      <c r="A206" s="1">
        <v>45297.886145833334</v>
      </c>
      <c r="B206" s="1">
        <f>INT(smart_dataset[[#This Row],[Timestamp]])</f>
        <v>45297</v>
      </c>
      <c r="C206" s="1">
        <f>MOD(smart_dataset[[#This Row],[Timestamp]],1)</f>
        <v>0.88614583333401242</v>
      </c>
      <c r="D206" s="1">
        <f>YEAR(smart_dataset[[#This Row],[Date]])</f>
        <v>2024</v>
      </c>
      <c r="E206" s="1">
        <f>MONTH(smart_dataset[[#This Row],[Timestamp]])</f>
        <v>1</v>
      </c>
      <c r="F206" t="s">
        <v>29</v>
      </c>
      <c r="G206">
        <v>-67.761899999999997</v>
      </c>
      <c r="H206">
        <v>176.40119999999999</v>
      </c>
      <c r="I206">
        <v>454</v>
      </c>
      <c r="J206" t="s">
        <v>17</v>
      </c>
      <c r="K206">
        <v>21</v>
      </c>
      <c r="L206">
        <v>77.3</v>
      </c>
      <c r="M206" t="s">
        <v>28</v>
      </c>
      <c r="N206">
        <v>15</v>
      </c>
      <c r="O206">
        <v>112</v>
      </c>
      <c r="P206">
        <v>10</v>
      </c>
      <c r="Q206" t="s">
        <v>23</v>
      </c>
      <c r="R206">
        <v>73.2</v>
      </c>
      <c r="S206">
        <v>237</v>
      </c>
      <c r="T206">
        <v>1</v>
      </c>
      <c r="U206" t="str" cm="1">
        <f t="array" ref="U206">_xlfn.IFS(smart_dataset[[#This Row],[Waiting_Time]]&lt;=20,"Low",smart_dataset[[#This Row],[Waiting_Time]]&lt;=40,"Medium",TRUE,"High")</f>
        <v>Low</v>
      </c>
      <c r="V206" t="str" cm="1">
        <f t="array" ref="V206">_xlfn.IFS(smart_dataset[[#This Row],[Temperature]]&lt;=20,"Cold",smart_dataset[[#This Row],[Temperature]]&lt;=28,"Normal",TRUE,"Hot")</f>
        <v>Normal</v>
      </c>
      <c r="W206" t="str" cm="1">
        <f t="array" ref="W206">_xlfn.IFS(smart_dataset[[#This Row],[Asset_Utilization]]&lt;=75,"Low",smart_dataset[[#This Row],[Asset_Utilization]]&lt;=90,"Medium",TRUE,"High")</f>
        <v>Low</v>
      </c>
    </row>
    <row r="207" spans="1:23" x14ac:dyDescent="0.25">
      <c r="A207" s="1">
        <v>45549.698275462964</v>
      </c>
      <c r="B207" s="1">
        <f>INT(smart_dataset[[#This Row],[Timestamp]])</f>
        <v>45549</v>
      </c>
      <c r="C207" s="7">
        <f>MOD(smart_dataset[[#This Row],[Timestamp]],1)</f>
        <v>0.69827546296437504</v>
      </c>
      <c r="D207">
        <f>YEAR(smart_dataset[[#This Row],[Date]])</f>
        <v>2024</v>
      </c>
      <c r="E207">
        <f>MONTH(smart_dataset[[#This Row],[Timestamp]])</f>
        <v>9</v>
      </c>
      <c r="F207" t="s">
        <v>30</v>
      </c>
      <c r="G207">
        <v>-22.110099999999999</v>
      </c>
      <c r="H207">
        <v>-65.135000000000005</v>
      </c>
      <c r="I207">
        <v>197</v>
      </c>
      <c r="J207" t="s">
        <v>21</v>
      </c>
      <c r="K207">
        <v>27.3</v>
      </c>
      <c r="L207">
        <v>71.3</v>
      </c>
      <c r="M207" t="s">
        <v>18</v>
      </c>
      <c r="N207">
        <v>24</v>
      </c>
      <c r="O207">
        <v>460</v>
      </c>
      <c r="P207">
        <v>9</v>
      </c>
      <c r="Q207" t="s">
        <v>19</v>
      </c>
      <c r="R207">
        <v>64.7</v>
      </c>
      <c r="S207">
        <v>162</v>
      </c>
      <c r="T207">
        <v>0</v>
      </c>
      <c r="U207" t="str" cm="1">
        <f t="array" ref="U207">_xlfn.IFS(smart_dataset[[#This Row],[Waiting_Time]]&lt;=20,"Low",smart_dataset[[#This Row],[Waiting_Time]]&lt;=40,"Medium",TRUE,"High")</f>
        <v>Medium</v>
      </c>
      <c r="V207" t="str" cm="1">
        <f t="array" ref="V207">_xlfn.IFS(smart_dataset[[#This Row],[Temperature]]&lt;=20,"Cold",smart_dataset[[#This Row],[Temperature]]&lt;=28,"Normal",TRUE,"Hot")</f>
        <v>Normal</v>
      </c>
      <c r="W207" t="str" cm="1">
        <f t="array" ref="W207">_xlfn.IFS(smart_dataset[[#This Row],[Asset_Utilization]]&lt;=75,"Low",smart_dataset[[#This Row],[Asset_Utilization]]&lt;=90,"Medium",TRUE,"High")</f>
        <v>Low</v>
      </c>
    </row>
    <row r="208" spans="1:23" x14ac:dyDescent="0.25">
      <c r="A208" s="1">
        <v>45599.970011574071</v>
      </c>
      <c r="B208" s="1">
        <f>INT(smart_dataset[[#This Row],[Timestamp]])</f>
        <v>45599</v>
      </c>
      <c r="C208" s="7">
        <f>MOD(smart_dataset[[#This Row],[Timestamp]],1)</f>
        <v>0.97001157407066785</v>
      </c>
      <c r="D208">
        <f>YEAR(smart_dataset[[#This Row],[Date]])</f>
        <v>2024</v>
      </c>
      <c r="E208">
        <f>MONTH(smart_dataset[[#This Row],[Timestamp]])</f>
        <v>11</v>
      </c>
      <c r="F208" t="s">
        <v>34</v>
      </c>
      <c r="G208">
        <v>75.1113</v>
      </c>
      <c r="H208">
        <v>-136.47999999999999</v>
      </c>
      <c r="I208">
        <v>182</v>
      </c>
      <c r="J208" t="s">
        <v>26</v>
      </c>
      <c r="K208">
        <v>19.7</v>
      </c>
      <c r="L208">
        <v>72.3</v>
      </c>
      <c r="M208" t="s">
        <v>28</v>
      </c>
      <c r="N208">
        <v>50</v>
      </c>
      <c r="O208">
        <v>428</v>
      </c>
      <c r="P208">
        <v>3</v>
      </c>
      <c r="Q208" t="s">
        <v>19</v>
      </c>
      <c r="R208">
        <v>63.3</v>
      </c>
      <c r="S208">
        <v>280</v>
      </c>
      <c r="T208">
        <v>0</v>
      </c>
      <c r="U208" t="str" cm="1">
        <f t="array" ref="U208">_xlfn.IFS(smart_dataset[[#This Row],[Waiting_Time]]&lt;=20,"Low",smart_dataset[[#This Row],[Waiting_Time]]&lt;=40,"Medium",TRUE,"High")</f>
        <v>High</v>
      </c>
      <c r="V208" t="str" cm="1">
        <f t="array" ref="V208">_xlfn.IFS(smart_dataset[[#This Row],[Temperature]]&lt;=20,"Cold",smart_dataset[[#This Row],[Temperature]]&lt;=28,"Normal",TRUE,"Hot")</f>
        <v>Cold</v>
      </c>
      <c r="W208" t="str" cm="1">
        <f t="array" ref="W208">_xlfn.IFS(smart_dataset[[#This Row],[Asset_Utilization]]&lt;=75,"Low",smart_dataset[[#This Row],[Asset_Utilization]]&lt;=90,"Medium",TRUE,"High")</f>
        <v>Low</v>
      </c>
    </row>
    <row r="209" spans="1:23" hidden="1" x14ac:dyDescent="0.25">
      <c r="A209" s="1">
        <v>45370.900254629632</v>
      </c>
      <c r="B209" s="1">
        <f>INT(smart_dataset[[#This Row],[Timestamp]])</f>
        <v>45370</v>
      </c>
      <c r="C209" s="1">
        <f>MOD(smart_dataset[[#This Row],[Timestamp]],1)</f>
        <v>0.90025462963239988</v>
      </c>
      <c r="D209" s="1">
        <f>YEAR(smart_dataset[[#This Row],[Date]])</f>
        <v>2024</v>
      </c>
      <c r="E209" s="1">
        <f>MONTH(smart_dataset[[#This Row],[Timestamp]])</f>
        <v>3</v>
      </c>
      <c r="F209" t="s">
        <v>20</v>
      </c>
      <c r="G209">
        <v>-69.343000000000004</v>
      </c>
      <c r="H209">
        <v>131.9033</v>
      </c>
      <c r="I209">
        <v>171</v>
      </c>
      <c r="J209" t="s">
        <v>26</v>
      </c>
      <c r="K209">
        <v>25.1</v>
      </c>
      <c r="L209">
        <v>76.5</v>
      </c>
      <c r="M209" t="s">
        <v>22</v>
      </c>
      <c r="N209">
        <v>55</v>
      </c>
      <c r="O209">
        <v>309</v>
      </c>
      <c r="P209">
        <v>3</v>
      </c>
      <c r="Q209" t="s">
        <v>27</v>
      </c>
      <c r="R209">
        <v>94.6</v>
      </c>
      <c r="S209">
        <v>112</v>
      </c>
      <c r="T209">
        <v>1</v>
      </c>
      <c r="U209" t="str" cm="1">
        <f t="array" ref="U209">_xlfn.IFS(smart_dataset[[#This Row],[Waiting_Time]]&lt;=20,"Low",smart_dataset[[#This Row],[Waiting_Time]]&lt;=40,"Medium",TRUE,"High")</f>
        <v>High</v>
      </c>
      <c r="V209" t="str" cm="1">
        <f t="array" ref="V209">_xlfn.IFS(smart_dataset[[#This Row],[Temperature]]&lt;=20,"Cold",smart_dataset[[#This Row],[Temperature]]&lt;=28,"Normal",TRUE,"Hot")</f>
        <v>Normal</v>
      </c>
      <c r="W209" t="str" cm="1">
        <f t="array" ref="W209">_xlfn.IFS(smart_dataset[[#This Row],[Asset_Utilization]]&lt;=75,"Low",smart_dataset[[#This Row],[Asset_Utilization]]&lt;=90,"Medium",TRUE,"High")</f>
        <v>High</v>
      </c>
    </row>
    <row r="210" spans="1:23" x14ac:dyDescent="0.25">
      <c r="A210" s="1">
        <v>45323.788310185184</v>
      </c>
      <c r="B210" s="1">
        <f>INT(smart_dataset[[#This Row],[Timestamp]])</f>
        <v>45323</v>
      </c>
      <c r="C210" s="7">
        <f>MOD(smart_dataset[[#This Row],[Timestamp]],1)</f>
        <v>0.78831018518394558</v>
      </c>
      <c r="D210">
        <f>YEAR(smart_dataset[[#This Row],[Date]])</f>
        <v>2024</v>
      </c>
      <c r="E210">
        <f>MONTH(smart_dataset[[#This Row],[Timestamp]])</f>
        <v>2</v>
      </c>
      <c r="F210" t="s">
        <v>33</v>
      </c>
      <c r="G210">
        <v>35.652200000000001</v>
      </c>
      <c r="H210">
        <v>-84.702500000000001</v>
      </c>
      <c r="I210">
        <v>159</v>
      </c>
      <c r="J210" t="s">
        <v>26</v>
      </c>
      <c r="K210">
        <v>26.9</v>
      </c>
      <c r="L210">
        <v>69.5</v>
      </c>
      <c r="M210" t="s">
        <v>28</v>
      </c>
      <c r="N210">
        <v>32</v>
      </c>
      <c r="O210">
        <v>272</v>
      </c>
      <c r="P210">
        <v>7</v>
      </c>
      <c r="Q210" t="s">
        <v>19</v>
      </c>
      <c r="R210">
        <v>69.7</v>
      </c>
      <c r="S210">
        <v>278</v>
      </c>
      <c r="T210">
        <v>0</v>
      </c>
      <c r="U210" t="str" cm="1">
        <f t="array" ref="U210">_xlfn.IFS(smart_dataset[[#This Row],[Waiting_Time]]&lt;=20,"Low",smart_dataset[[#This Row],[Waiting_Time]]&lt;=40,"Medium",TRUE,"High")</f>
        <v>Medium</v>
      </c>
      <c r="V210" t="str" cm="1">
        <f t="array" ref="V210">_xlfn.IFS(smart_dataset[[#This Row],[Temperature]]&lt;=20,"Cold",smart_dataset[[#This Row],[Temperature]]&lt;=28,"Normal",TRUE,"Hot")</f>
        <v>Normal</v>
      </c>
      <c r="W210" t="str" cm="1">
        <f t="array" ref="W210">_xlfn.IFS(smart_dataset[[#This Row],[Asset_Utilization]]&lt;=75,"Low",smart_dataset[[#This Row],[Asset_Utilization]]&lt;=90,"Medium",TRUE,"High")</f>
        <v>Low</v>
      </c>
    </row>
    <row r="211" spans="1:23" hidden="1" x14ac:dyDescent="0.25">
      <c r="A211" s="1">
        <v>45400.503240740742</v>
      </c>
      <c r="B211" s="1">
        <f>INT(smart_dataset[[#This Row],[Timestamp]])</f>
        <v>45400</v>
      </c>
      <c r="C211" s="1">
        <f>MOD(smart_dataset[[#This Row],[Timestamp]],1)</f>
        <v>0.50324074074160308</v>
      </c>
      <c r="D211" s="1">
        <f>YEAR(smart_dataset[[#This Row],[Date]])</f>
        <v>2024</v>
      </c>
      <c r="E211" s="1">
        <f>MONTH(smart_dataset[[#This Row],[Timestamp]])</f>
        <v>4</v>
      </c>
      <c r="F211" t="s">
        <v>32</v>
      </c>
      <c r="G211">
        <v>-86.156999999999996</v>
      </c>
      <c r="H211">
        <v>-92.465199999999996</v>
      </c>
      <c r="I211">
        <v>378</v>
      </c>
      <c r="J211" t="s">
        <v>17</v>
      </c>
      <c r="K211">
        <v>29.5</v>
      </c>
      <c r="L211">
        <v>61.7</v>
      </c>
      <c r="M211" t="s">
        <v>18</v>
      </c>
      <c r="N211">
        <v>13</v>
      </c>
      <c r="O211">
        <v>305</v>
      </c>
      <c r="P211">
        <v>8</v>
      </c>
      <c r="Q211" t="s">
        <v>31</v>
      </c>
      <c r="R211">
        <v>98.5</v>
      </c>
      <c r="S211">
        <v>211</v>
      </c>
      <c r="T211">
        <v>1</v>
      </c>
      <c r="U211" t="str" cm="1">
        <f t="array" ref="U211">_xlfn.IFS(smart_dataset[[#This Row],[Waiting_Time]]&lt;=20,"Low",smart_dataset[[#This Row],[Waiting_Time]]&lt;=40,"Medium",TRUE,"High")</f>
        <v>Low</v>
      </c>
      <c r="V211" t="str" cm="1">
        <f t="array" ref="V211">_xlfn.IFS(smart_dataset[[#This Row],[Temperature]]&lt;=20,"Cold",smart_dataset[[#This Row],[Temperature]]&lt;=28,"Normal",TRUE,"Hot")</f>
        <v>Hot</v>
      </c>
      <c r="W211" t="str" cm="1">
        <f t="array" ref="W211">_xlfn.IFS(smart_dataset[[#This Row],[Asset_Utilization]]&lt;=75,"Low",smart_dataset[[#This Row],[Asset_Utilization]]&lt;=90,"Medium",TRUE,"High")</f>
        <v>High</v>
      </c>
    </row>
    <row r="212" spans="1:23" hidden="1" x14ac:dyDescent="0.25">
      <c r="A212" s="1">
        <v>45438.604247685187</v>
      </c>
      <c r="B212" s="1">
        <f>INT(smart_dataset[[#This Row],[Timestamp]])</f>
        <v>45438</v>
      </c>
      <c r="C212" s="1">
        <f>MOD(smart_dataset[[#This Row],[Timestamp]],1)</f>
        <v>0.604247685187147</v>
      </c>
      <c r="D212" s="1">
        <f>YEAR(smart_dataset[[#This Row],[Date]])</f>
        <v>2024</v>
      </c>
      <c r="E212" s="1">
        <f>MONTH(smart_dataset[[#This Row],[Timestamp]])</f>
        <v>5</v>
      </c>
      <c r="F212" t="s">
        <v>35</v>
      </c>
      <c r="G212">
        <v>25.1355</v>
      </c>
      <c r="H212">
        <v>-2.6802000000000001</v>
      </c>
      <c r="I212">
        <v>469</v>
      </c>
      <c r="J212" t="s">
        <v>21</v>
      </c>
      <c r="K212">
        <v>26.2</v>
      </c>
      <c r="L212">
        <v>65</v>
      </c>
      <c r="M212" t="s">
        <v>28</v>
      </c>
      <c r="N212">
        <v>19</v>
      </c>
      <c r="O212">
        <v>477</v>
      </c>
      <c r="P212">
        <v>2</v>
      </c>
      <c r="Q212" t="s">
        <v>31</v>
      </c>
      <c r="R212">
        <v>96.9</v>
      </c>
      <c r="S212">
        <v>206</v>
      </c>
      <c r="T212">
        <v>0</v>
      </c>
      <c r="U212" t="str" cm="1">
        <f t="array" ref="U212">_xlfn.IFS(smart_dataset[[#This Row],[Waiting_Time]]&lt;=20,"Low",smart_dataset[[#This Row],[Waiting_Time]]&lt;=40,"Medium",TRUE,"High")</f>
        <v>Low</v>
      </c>
      <c r="V212" t="str" cm="1">
        <f t="array" ref="V212">_xlfn.IFS(smart_dataset[[#This Row],[Temperature]]&lt;=20,"Cold",smart_dataset[[#This Row],[Temperature]]&lt;=28,"Normal",TRUE,"Hot")</f>
        <v>Normal</v>
      </c>
      <c r="W212" t="str" cm="1">
        <f t="array" ref="W212">_xlfn.IFS(smart_dataset[[#This Row],[Asset_Utilization]]&lt;=75,"Low",smart_dataset[[#This Row],[Asset_Utilization]]&lt;=90,"Medium",TRUE,"High")</f>
        <v>High</v>
      </c>
    </row>
    <row r="213" spans="1:23" hidden="1" x14ac:dyDescent="0.25">
      <c r="A213" s="1">
        <v>45502.704780092594</v>
      </c>
      <c r="B213" s="1">
        <f>INT(smart_dataset[[#This Row],[Timestamp]])</f>
        <v>45502</v>
      </c>
      <c r="C213" s="1">
        <f>MOD(smart_dataset[[#This Row],[Timestamp]],1)</f>
        <v>0.70478009259386454</v>
      </c>
      <c r="D213" s="1">
        <f>YEAR(smart_dataset[[#This Row],[Date]])</f>
        <v>2024</v>
      </c>
      <c r="E213" s="1">
        <f>MONTH(smart_dataset[[#This Row],[Timestamp]])</f>
        <v>7</v>
      </c>
      <c r="F213" t="s">
        <v>32</v>
      </c>
      <c r="G213">
        <v>12.0938</v>
      </c>
      <c r="H213">
        <v>96.899600000000007</v>
      </c>
      <c r="I213">
        <v>106</v>
      </c>
      <c r="J213" t="s">
        <v>21</v>
      </c>
      <c r="K213">
        <v>27</v>
      </c>
      <c r="L213">
        <v>56.8</v>
      </c>
      <c r="M213" t="s">
        <v>18</v>
      </c>
      <c r="N213">
        <v>31</v>
      </c>
      <c r="O213">
        <v>120</v>
      </c>
      <c r="P213">
        <v>4</v>
      </c>
      <c r="Q213" t="s">
        <v>23</v>
      </c>
      <c r="R213">
        <v>95.7</v>
      </c>
      <c r="S213">
        <v>286</v>
      </c>
      <c r="T213">
        <v>0</v>
      </c>
      <c r="U213" t="str" cm="1">
        <f t="array" ref="U213">_xlfn.IFS(smart_dataset[[#This Row],[Waiting_Time]]&lt;=20,"Low",smart_dataset[[#This Row],[Waiting_Time]]&lt;=40,"Medium",TRUE,"High")</f>
        <v>Medium</v>
      </c>
      <c r="V213" t="str" cm="1">
        <f t="array" ref="V213">_xlfn.IFS(smart_dataset[[#This Row],[Temperature]]&lt;=20,"Cold",smart_dataset[[#This Row],[Temperature]]&lt;=28,"Normal",TRUE,"Hot")</f>
        <v>Normal</v>
      </c>
      <c r="W213" t="str" cm="1">
        <f t="array" ref="W213">_xlfn.IFS(smart_dataset[[#This Row],[Asset_Utilization]]&lt;=75,"Low",smart_dataset[[#This Row],[Asset_Utilization]]&lt;=90,"Medium",TRUE,"High")</f>
        <v>High</v>
      </c>
    </row>
    <row r="214" spans="1:23" hidden="1" x14ac:dyDescent="0.25">
      <c r="A214" s="1">
        <v>45635.570439814815</v>
      </c>
      <c r="B214" s="1">
        <f>INT(smart_dataset[[#This Row],[Timestamp]])</f>
        <v>45635</v>
      </c>
      <c r="C214" s="1">
        <f>MOD(smart_dataset[[#This Row],[Timestamp]],1)</f>
        <v>0.57043981481547235</v>
      </c>
      <c r="D214" s="1">
        <f>YEAR(smart_dataset[[#This Row],[Date]])</f>
        <v>2024</v>
      </c>
      <c r="E214" s="1">
        <f>MONTH(smart_dataset[[#This Row],[Timestamp]])</f>
        <v>12</v>
      </c>
      <c r="F214" t="s">
        <v>33</v>
      </c>
      <c r="G214">
        <v>-77.086200000000005</v>
      </c>
      <c r="H214">
        <v>137.9042</v>
      </c>
      <c r="I214">
        <v>486</v>
      </c>
      <c r="J214" t="s">
        <v>21</v>
      </c>
      <c r="K214">
        <v>21.7</v>
      </c>
      <c r="L214">
        <v>76</v>
      </c>
      <c r="M214" t="s">
        <v>28</v>
      </c>
      <c r="N214">
        <v>42</v>
      </c>
      <c r="O214">
        <v>282</v>
      </c>
      <c r="P214">
        <v>9</v>
      </c>
      <c r="Q214" t="s">
        <v>31</v>
      </c>
      <c r="R214">
        <v>80.5</v>
      </c>
      <c r="S214">
        <v>139</v>
      </c>
      <c r="T214">
        <v>0</v>
      </c>
      <c r="U214" t="str" cm="1">
        <f t="array" ref="U214">_xlfn.IFS(smart_dataset[[#This Row],[Waiting_Time]]&lt;=20,"Low",smart_dataset[[#This Row],[Waiting_Time]]&lt;=40,"Medium",TRUE,"High")</f>
        <v>High</v>
      </c>
      <c r="V214" t="str" cm="1">
        <f t="array" ref="V214">_xlfn.IFS(smart_dataset[[#This Row],[Temperature]]&lt;=20,"Cold",smart_dataset[[#This Row],[Temperature]]&lt;=28,"Normal",TRUE,"Hot")</f>
        <v>Normal</v>
      </c>
      <c r="W214" t="str" cm="1">
        <f t="array" ref="W214">_xlfn.IFS(smart_dataset[[#This Row],[Asset_Utilization]]&lt;=75,"Low",smart_dataset[[#This Row],[Asset_Utilization]]&lt;=90,"Medium",TRUE,"High")</f>
        <v>Medium</v>
      </c>
    </row>
    <row r="215" spans="1:23" hidden="1" x14ac:dyDescent="0.25">
      <c r="A215" s="1">
        <v>45549.377708333333</v>
      </c>
      <c r="B215" s="1">
        <f>INT(smart_dataset[[#This Row],[Timestamp]])</f>
        <v>45549</v>
      </c>
      <c r="C215" s="1">
        <f>MOD(smart_dataset[[#This Row],[Timestamp]],1)</f>
        <v>0.37770833333343035</v>
      </c>
      <c r="D215" s="1">
        <f>YEAR(smart_dataset[[#This Row],[Date]])</f>
        <v>2024</v>
      </c>
      <c r="E215" s="1">
        <f>MONTH(smart_dataset[[#This Row],[Timestamp]])</f>
        <v>9</v>
      </c>
      <c r="F215" t="s">
        <v>30</v>
      </c>
      <c r="G215">
        <v>-17.1205</v>
      </c>
      <c r="H215">
        <v>-47.0657</v>
      </c>
      <c r="I215">
        <v>248</v>
      </c>
      <c r="J215" t="s">
        <v>21</v>
      </c>
      <c r="K215">
        <v>26.3</v>
      </c>
      <c r="L215">
        <v>53.7</v>
      </c>
      <c r="M215" t="s">
        <v>18</v>
      </c>
      <c r="N215">
        <v>40</v>
      </c>
      <c r="O215">
        <v>146</v>
      </c>
      <c r="P215">
        <v>10</v>
      </c>
      <c r="Q215" t="s">
        <v>23</v>
      </c>
      <c r="R215">
        <v>71.7</v>
      </c>
      <c r="S215">
        <v>246</v>
      </c>
      <c r="T215">
        <v>0</v>
      </c>
      <c r="U215" t="str" cm="1">
        <f t="array" ref="U215">_xlfn.IFS(smart_dataset[[#This Row],[Waiting_Time]]&lt;=20,"Low",smart_dataset[[#This Row],[Waiting_Time]]&lt;=40,"Medium",TRUE,"High")</f>
        <v>Medium</v>
      </c>
      <c r="V215" t="str" cm="1">
        <f t="array" ref="V215">_xlfn.IFS(smart_dataset[[#This Row],[Temperature]]&lt;=20,"Cold",smart_dataset[[#This Row],[Temperature]]&lt;=28,"Normal",TRUE,"Hot")</f>
        <v>Normal</v>
      </c>
      <c r="W215" t="str" cm="1">
        <f t="array" ref="W215">_xlfn.IFS(smart_dataset[[#This Row],[Asset_Utilization]]&lt;=75,"Low",smart_dataset[[#This Row],[Asset_Utilization]]&lt;=90,"Medium",TRUE,"High")</f>
        <v>Low</v>
      </c>
    </row>
    <row r="216" spans="1:23" hidden="1" x14ac:dyDescent="0.25">
      <c r="A216" s="1">
        <v>45627.078125</v>
      </c>
      <c r="B216" s="1">
        <f>INT(smart_dataset[[#This Row],[Timestamp]])</f>
        <v>45627</v>
      </c>
      <c r="C216" s="1">
        <f>MOD(smart_dataset[[#This Row],[Timestamp]],1)</f>
        <v>7.8125E-2</v>
      </c>
      <c r="D216" s="1">
        <f>YEAR(smart_dataset[[#This Row],[Date]])</f>
        <v>2024</v>
      </c>
      <c r="E216" s="1">
        <f>MONTH(smart_dataset[[#This Row],[Timestamp]])</f>
        <v>12</v>
      </c>
      <c r="F216" t="s">
        <v>33</v>
      </c>
      <c r="G216">
        <v>-52.8874</v>
      </c>
      <c r="H216">
        <v>162.74639999999999</v>
      </c>
      <c r="I216">
        <v>157</v>
      </c>
      <c r="J216" t="s">
        <v>21</v>
      </c>
      <c r="K216">
        <v>25.4</v>
      </c>
      <c r="L216">
        <v>79.099999999999994</v>
      </c>
      <c r="M216" t="s">
        <v>18</v>
      </c>
      <c r="N216">
        <v>17</v>
      </c>
      <c r="O216">
        <v>311</v>
      </c>
      <c r="P216">
        <v>9</v>
      </c>
      <c r="Q216" t="s">
        <v>23</v>
      </c>
      <c r="R216">
        <v>69.900000000000006</v>
      </c>
      <c r="S216">
        <v>233</v>
      </c>
      <c r="T216">
        <v>0</v>
      </c>
      <c r="U216" t="str" cm="1">
        <f t="array" ref="U216">_xlfn.IFS(smart_dataset[[#This Row],[Waiting_Time]]&lt;=20,"Low",smart_dataset[[#This Row],[Waiting_Time]]&lt;=40,"Medium",TRUE,"High")</f>
        <v>Low</v>
      </c>
      <c r="V216" t="str" cm="1">
        <f t="array" ref="V216">_xlfn.IFS(smart_dataset[[#This Row],[Temperature]]&lt;=20,"Cold",smart_dataset[[#This Row],[Temperature]]&lt;=28,"Normal",TRUE,"Hot")</f>
        <v>Normal</v>
      </c>
      <c r="W216" t="str" cm="1">
        <f t="array" ref="W216">_xlfn.IFS(smart_dataset[[#This Row],[Asset_Utilization]]&lt;=75,"Low",smart_dataset[[#This Row],[Asset_Utilization]]&lt;=90,"Medium",TRUE,"High")</f>
        <v>Low</v>
      </c>
    </row>
    <row r="217" spans="1:23" hidden="1" x14ac:dyDescent="0.25">
      <c r="A217" s="1">
        <v>45523.714861111112</v>
      </c>
      <c r="B217" s="1">
        <f>INT(smart_dataset[[#This Row],[Timestamp]])</f>
        <v>45523</v>
      </c>
      <c r="C217" s="1">
        <f>MOD(smart_dataset[[#This Row],[Timestamp]],1)</f>
        <v>0.7148611111115315</v>
      </c>
      <c r="D217" s="1">
        <f>YEAR(smart_dataset[[#This Row],[Date]])</f>
        <v>2024</v>
      </c>
      <c r="E217" s="1">
        <f>MONTH(smart_dataset[[#This Row],[Timestamp]])</f>
        <v>8</v>
      </c>
      <c r="F217" t="s">
        <v>20</v>
      </c>
      <c r="G217">
        <v>-3.6577999999999999</v>
      </c>
      <c r="H217">
        <v>176.29900000000001</v>
      </c>
      <c r="I217">
        <v>235</v>
      </c>
      <c r="J217" t="s">
        <v>21</v>
      </c>
      <c r="K217">
        <v>23.2</v>
      </c>
      <c r="L217">
        <v>54.6</v>
      </c>
      <c r="M217" t="s">
        <v>28</v>
      </c>
      <c r="N217">
        <v>28</v>
      </c>
      <c r="O217">
        <v>467</v>
      </c>
      <c r="P217">
        <v>9</v>
      </c>
      <c r="Q217" t="s">
        <v>31</v>
      </c>
      <c r="R217">
        <v>68.2</v>
      </c>
      <c r="S217">
        <v>206</v>
      </c>
      <c r="T217">
        <v>0</v>
      </c>
      <c r="U217" t="str" cm="1">
        <f t="array" ref="U217">_xlfn.IFS(smart_dataset[[#This Row],[Waiting_Time]]&lt;=20,"Low",smart_dataset[[#This Row],[Waiting_Time]]&lt;=40,"Medium",TRUE,"High")</f>
        <v>Medium</v>
      </c>
      <c r="V217" t="str" cm="1">
        <f t="array" ref="V217">_xlfn.IFS(smart_dataset[[#This Row],[Temperature]]&lt;=20,"Cold",smart_dataset[[#This Row],[Temperature]]&lt;=28,"Normal",TRUE,"Hot")</f>
        <v>Normal</v>
      </c>
      <c r="W217" t="str" cm="1">
        <f t="array" ref="W217">_xlfn.IFS(smart_dataset[[#This Row],[Asset_Utilization]]&lt;=75,"Low",smart_dataset[[#This Row],[Asset_Utilization]]&lt;=90,"Medium",TRUE,"High")</f>
        <v>Low</v>
      </c>
    </row>
    <row r="218" spans="1:23" hidden="1" x14ac:dyDescent="0.25">
      <c r="A218" s="1">
        <v>45397.790381944447</v>
      </c>
      <c r="B218" s="1">
        <f>INT(smart_dataset[[#This Row],[Timestamp]])</f>
        <v>45397</v>
      </c>
      <c r="C218" s="1">
        <f>MOD(smart_dataset[[#This Row],[Timestamp]],1)</f>
        <v>0.79038194444729015</v>
      </c>
      <c r="D218" s="1">
        <f>YEAR(smart_dataset[[#This Row],[Date]])</f>
        <v>2024</v>
      </c>
      <c r="E218" s="1">
        <f>MONTH(smart_dataset[[#This Row],[Timestamp]])</f>
        <v>4</v>
      </c>
      <c r="F218" t="s">
        <v>16</v>
      </c>
      <c r="G218">
        <v>-7.6641000000000004</v>
      </c>
      <c r="H218">
        <v>-25.371700000000001</v>
      </c>
      <c r="I218">
        <v>170</v>
      </c>
      <c r="J218" t="s">
        <v>17</v>
      </c>
      <c r="K218">
        <v>25.4</v>
      </c>
      <c r="L218">
        <v>55.8</v>
      </c>
      <c r="M218" t="s">
        <v>22</v>
      </c>
      <c r="N218">
        <v>55</v>
      </c>
      <c r="O218">
        <v>463</v>
      </c>
      <c r="P218">
        <v>10</v>
      </c>
      <c r="Q218" t="s">
        <v>23</v>
      </c>
      <c r="R218">
        <v>60.1</v>
      </c>
      <c r="S218">
        <v>112</v>
      </c>
      <c r="T218">
        <v>1</v>
      </c>
      <c r="U218" t="str" cm="1">
        <f t="array" ref="U218">_xlfn.IFS(smart_dataset[[#This Row],[Waiting_Time]]&lt;=20,"Low",smart_dataset[[#This Row],[Waiting_Time]]&lt;=40,"Medium",TRUE,"High")</f>
        <v>High</v>
      </c>
      <c r="V218" t="str" cm="1">
        <f t="array" ref="V218">_xlfn.IFS(smart_dataset[[#This Row],[Temperature]]&lt;=20,"Cold",smart_dataset[[#This Row],[Temperature]]&lt;=28,"Normal",TRUE,"Hot")</f>
        <v>Normal</v>
      </c>
      <c r="W218" t="str" cm="1">
        <f t="array" ref="W218">_xlfn.IFS(smart_dataset[[#This Row],[Asset_Utilization]]&lt;=75,"Low",smart_dataset[[#This Row],[Asset_Utilization]]&lt;=90,"Medium",TRUE,"High")</f>
        <v>Low</v>
      </c>
    </row>
    <row r="219" spans="1:23" hidden="1" x14ac:dyDescent="0.25">
      <c r="A219" s="1">
        <v>45394.457187499997</v>
      </c>
      <c r="B219" s="1">
        <f>INT(smart_dataset[[#This Row],[Timestamp]])</f>
        <v>45394</v>
      </c>
      <c r="C219" s="1">
        <f>MOD(smart_dataset[[#This Row],[Timestamp]],1)</f>
        <v>0.45718749999650754</v>
      </c>
      <c r="D219" s="1">
        <f>YEAR(smart_dataset[[#This Row],[Date]])</f>
        <v>2024</v>
      </c>
      <c r="E219" s="1">
        <f>MONTH(smart_dataset[[#This Row],[Timestamp]])</f>
        <v>4</v>
      </c>
      <c r="F219" t="s">
        <v>20</v>
      </c>
      <c r="G219">
        <v>-82.141599999999997</v>
      </c>
      <c r="H219">
        <v>-91.892499999999998</v>
      </c>
      <c r="I219">
        <v>342</v>
      </c>
      <c r="J219" t="s">
        <v>26</v>
      </c>
      <c r="K219">
        <v>25.1</v>
      </c>
      <c r="L219">
        <v>52.4</v>
      </c>
      <c r="M219" t="s">
        <v>28</v>
      </c>
      <c r="N219">
        <v>24</v>
      </c>
      <c r="O219">
        <v>103</v>
      </c>
      <c r="P219">
        <v>2</v>
      </c>
      <c r="Q219" t="s">
        <v>31</v>
      </c>
      <c r="R219">
        <v>88</v>
      </c>
      <c r="S219">
        <v>209</v>
      </c>
      <c r="T219">
        <v>0</v>
      </c>
      <c r="U219" t="str" cm="1">
        <f t="array" ref="U219">_xlfn.IFS(smart_dataset[[#This Row],[Waiting_Time]]&lt;=20,"Low",smart_dataset[[#This Row],[Waiting_Time]]&lt;=40,"Medium",TRUE,"High")</f>
        <v>Medium</v>
      </c>
      <c r="V219" t="str" cm="1">
        <f t="array" ref="V219">_xlfn.IFS(smart_dataset[[#This Row],[Temperature]]&lt;=20,"Cold",smart_dataset[[#This Row],[Temperature]]&lt;=28,"Normal",TRUE,"Hot")</f>
        <v>Normal</v>
      </c>
      <c r="W219" t="str" cm="1">
        <f t="array" ref="W219">_xlfn.IFS(smart_dataset[[#This Row],[Asset_Utilization]]&lt;=75,"Low",smart_dataset[[#This Row],[Asset_Utilization]]&lt;=90,"Medium",TRUE,"High")</f>
        <v>Medium</v>
      </c>
    </row>
    <row r="220" spans="1:23" hidden="1" x14ac:dyDescent="0.25">
      <c r="A220" s="1">
        <v>45345.395358796297</v>
      </c>
      <c r="B220" s="1">
        <f>INT(smart_dataset[[#This Row],[Timestamp]])</f>
        <v>45345</v>
      </c>
      <c r="C220" s="1">
        <f>MOD(smart_dataset[[#This Row],[Timestamp]],1)</f>
        <v>0.39535879629693227</v>
      </c>
      <c r="D220" s="1">
        <f>YEAR(smart_dataset[[#This Row],[Date]])</f>
        <v>2024</v>
      </c>
      <c r="E220" s="1">
        <f>MONTH(smart_dataset[[#This Row],[Timestamp]])</f>
        <v>2</v>
      </c>
      <c r="F220" t="s">
        <v>33</v>
      </c>
      <c r="G220">
        <v>87.507900000000006</v>
      </c>
      <c r="H220">
        <v>-125.53189999999999</v>
      </c>
      <c r="I220">
        <v>290</v>
      </c>
      <c r="J220" t="s">
        <v>21</v>
      </c>
      <c r="K220">
        <v>20.5</v>
      </c>
      <c r="L220">
        <v>51.4</v>
      </c>
      <c r="M220" t="s">
        <v>28</v>
      </c>
      <c r="N220">
        <v>22</v>
      </c>
      <c r="O220">
        <v>170</v>
      </c>
      <c r="P220">
        <v>4</v>
      </c>
      <c r="Q220" t="s">
        <v>31</v>
      </c>
      <c r="R220">
        <v>74.7</v>
      </c>
      <c r="S220">
        <v>147</v>
      </c>
      <c r="T220">
        <v>0</v>
      </c>
      <c r="U220" t="str" cm="1">
        <f t="array" ref="U220">_xlfn.IFS(smart_dataset[[#This Row],[Waiting_Time]]&lt;=20,"Low",smart_dataset[[#This Row],[Waiting_Time]]&lt;=40,"Medium",TRUE,"High")</f>
        <v>Medium</v>
      </c>
      <c r="V220" t="str" cm="1">
        <f t="array" ref="V220">_xlfn.IFS(smart_dataset[[#This Row],[Temperature]]&lt;=20,"Cold",smart_dataset[[#This Row],[Temperature]]&lt;=28,"Normal",TRUE,"Hot")</f>
        <v>Normal</v>
      </c>
      <c r="W220" t="str" cm="1">
        <f t="array" ref="W220">_xlfn.IFS(smart_dataset[[#This Row],[Asset_Utilization]]&lt;=75,"Low",smart_dataset[[#This Row],[Asset_Utilization]]&lt;=90,"Medium",TRUE,"High")</f>
        <v>Low</v>
      </c>
    </row>
    <row r="221" spans="1:23" hidden="1" x14ac:dyDescent="0.25">
      <c r="A221" s="1">
        <v>45349.220555555556</v>
      </c>
      <c r="B221" s="1">
        <f>INT(smart_dataset[[#This Row],[Timestamp]])</f>
        <v>45349</v>
      </c>
      <c r="C221" s="1">
        <f>MOD(smart_dataset[[#This Row],[Timestamp]],1)</f>
        <v>0.22055555555562023</v>
      </c>
      <c r="D221" s="1">
        <f>YEAR(smart_dataset[[#This Row],[Date]])</f>
        <v>2024</v>
      </c>
      <c r="E221" s="1">
        <f>MONTH(smart_dataset[[#This Row],[Timestamp]])</f>
        <v>2</v>
      </c>
      <c r="F221" t="s">
        <v>35</v>
      </c>
      <c r="G221">
        <v>-76.877099999999999</v>
      </c>
      <c r="H221">
        <v>94.616600000000005</v>
      </c>
      <c r="I221">
        <v>260</v>
      </c>
      <c r="J221" t="s">
        <v>17</v>
      </c>
      <c r="K221">
        <v>22.8</v>
      </c>
      <c r="L221">
        <v>71.7</v>
      </c>
      <c r="M221" t="s">
        <v>22</v>
      </c>
      <c r="N221">
        <v>44</v>
      </c>
      <c r="O221">
        <v>393</v>
      </c>
      <c r="P221">
        <v>5</v>
      </c>
      <c r="Q221" t="s">
        <v>31</v>
      </c>
      <c r="R221">
        <v>94.1</v>
      </c>
      <c r="S221">
        <v>154</v>
      </c>
      <c r="T221">
        <v>1</v>
      </c>
      <c r="U221" t="str" cm="1">
        <f t="array" ref="U221">_xlfn.IFS(smart_dataset[[#This Row],[Waiting_Time]]&lt;=20,"Low",smart_dataset[[#This Row],[Waiting_Time]]&lt;=40,"Medium",TRUE,"High")</f>
        <v>High</v>
      </c>
      <c r="V221" t="str" cm="1">
        <f t="array" ref="V221">_xlfn.IFS(smart_dataset[[#This Row],[Temperature]]&lt;=20,"Cold",smart_dataset[[#This Row],[Temperature]]&lt;=28,"Normal",TRUE,"Hot")</f>
        <v>Normal</v>
      </c>
      <c r="W221" t="str" cm="1">
        <f t="array" ref="W221">_xlfn.IFS(smart_dataset[[#This Row],[Asset_Utilization]]&lt;=75,"Low",smart_dataset[[#This Row],[Asset_Utilization]]&lt;=90,"Medium",TRUE,"High")</f>
        <v>High</v>
      </c>
    </row>
    <row r="222" spans="1:23" hidden="1" x14ac:dyDescent="0.25">
      <c r="A222" s="1">
        <v>45499.799108796295</v>
      </c>
      <c r="B222" s="1">
        <f>INT(smart_dataset[[#This Row],[Timestamp]])</f>
        <v>45499</v>
      </c>
      <c r="C222" s="1">
        <f>MOD(smart_dataset[[#This Row],[Timestamp]],1)</f>
        <v>0.79910879629460396</v>
      </c>
      <c r="D222" s="1">
        <f>YEAR(smart_dataset[[#This Row],[Date]])</f>
        <v>2024</v>
      </c>
      <c r="E222" s="1">
        <f>MONTH(smart_dataset[[#This Row],[Timestamp]])</f>
        <v>7</v>
      </c>
      <c r="F222" t="s">
        <v>34</v>
      </c>
      <c r="G222">
        <v>89.276499999999999</v>
      </c>
      <c r="H222">
        <v>166.65479999999999</v>
      </c>
      <c r="I222">
        <v>378</v>
      </c>
      <c r="J222" t="s">
        <v>17</v>
      </c>
      <c r="K222">
        <v>18.899999999999999</v>
      </c>
      <c r="L222">
        <v>55.5</v>
      </c>
      <c r="M222" t="s">
        <v>22</v>
      </c>
      <c r="N222">
        <v>35</v>
      </c>
      <c r="O222">
        <v>367</v>
      </c>
      <c r="P222">
        <v>4</v>
      </c>
      <c r="Q222" t="s">
        <v>23</v>
      </c>
      <c r="R222">
        <v>74.400000000000006</v>
      </c>
      <c r="S222">
        <v>229</v>
      </c>
      <c r="T222">
        <v>1</v>
      </c>
      <c r="U222" t="str" cm="1">
        <f t="array" ref="U222">_xlfn.IFS(smart_dataset[[#This Row],[Waiting_Time]]&lt;=20,"Low",smart_dataset[[#This Row],[Waiting_Time]]&lt;=40,"Medium",TRUE,"High")</f>
        <v>Medium</v>
      </c>
      <c r="V222" t="str" cm="1">
        <f t="array" ref="V222">_xlfn.IFS(smart_dataset[[#This Row],[Temperature]]&lt;=20,"Cold",smart_dataset[[#This Row],[Temperature]]&lt;=28,"Normal",TRUE,"Hot")</f>
        <v>Cold</v>
      </c>
      <c r="W222" t="str" cm="1">
        <f t="array" ref="W222">_xlfn.IFS(smart_dataset[[#This Row],[Asset_Utilization]]&lt;=75,"Low",smart_dataset[[#This Row],[Asset_Utilization]]&lt;=90,"Medium",TRUE,"High")</f>
        <v>Low</v>
      </c>
    </row>
    <row r="223" spans="1:23" hidden="1" x14ac:dyDescent="0.25">
      <c r="A223" s="1">
        <v>45472.222500000003</v>
      </c>
      <c r="B223" s="1">
        <f>INT(smart_dataset[[#This Row],[Timestamp]])</f>
        <v>45472</v>
      </c>
      <c r="C223" s="1">
        <f>MOD(smart_dataset[[#This Row],[Timestamp]],1)</f>
        <v>0.22250000000349246</v>
      </c>
      <c r="D223" s="1">
        <f>YEAR(smart_dataset[[#This Row],[Date]])</f>
        <v>2024</v>
      </c>
      <c r="E223" s="1">
        <f>MONTH(smart_dataset[[#This Row],[Timestamp]])</f>
        <v>6</v>
      </c>
      <c r="F223" t="s">
        <v>30</v>
      </c>
      <c r="G223">
        <v>-82.854600000000005</v>
      </c>
      <c r="H223">
        <v>7.8760000000000003</v>
      </c>
      <c r="I223">
        <v>177</v>
      </c>
      <c r="J223" t="s">
        <v>17</v>
      </c>
      <c r="K223">
        <v>19.2</v>
      </c>
      <c r="L223">
        <v>70.099999999999994</v>
      </c>
      <c r="M223" t="s">
        <v>28</v>
      </c>
      <c r="N223">
        <v>57</v>
      </c>
      <c r="O223">
        <v>141</v>
      </c>
      <c r="P223">
        <v>4</v>
      </c>
      <c r="Q223" t="s">
        <v>23</v>
      </c>
      <c r="R223">
        <v>86.6</v>
      </c>
      <c r="S223">
        <v>249</v>
      </c>
      <c r="T223">
        <v>1</v>
      </c>
      <c r="U223" t="str" cm="1">
        <f t="array" ref="U223">_xlfn.IFS(smart_dataset[[#This Row],[Waiting_Time]]&lt;=20,"Low",smart_dataset[[#This Row],[Waiting_Time]]&lt;=40,"Medium",TRUE,"High")</f>
        <v>High</v>
      </c>
      <c r="V223" t="str" cm="1">
        <f t="array" ref="V223">_xlfn.IFS(smart_dataset[[#This Row],[Temperature]]&lt;=20,"Cold",smart_dataset[[#This Row],[Temperature]]&lt;=28,"Normal",TRUE,"Hot")</f>
        <v>Cold</v>
      </c>
      <c r="W223" t="str" cm="1">
        <f t="array" ref="W223">_xlfn.IFS(smart_dataset[[#This Row],[Asset_Utilization]]&lt;=75,"Low",smart_dataset[[#This Row],[Asset_Utilization]]&lt;=90,"Medium",TRUE,"High")</f>
        <v>Medium</v>
      </c>
    </row>
    <row r="224" spans="1:23" hidden="1" x14ac:dyDescent="0.25">
      <c r="A224" s="1">
        <v>45397.194525462961</v>
      </c>
      <c r="B224" s="1">
        <f>INT(smart_dataset[[#This Row],[Timestamp]])</f>
        <v>45397</v>
      </c>
      <c r="C224" s="1">
        <f>MOD(smart_dataset[[#This Row],[Timestamp]],1)</f>
        <v>0.19452546296088258</v>
      </c>
      <c r="D224" s="1">
        <f>YEAR(smart_dataset[[#This Row],[Date]])</f>
        <v>2024</v>
      </c>
      <c r="E224" s="1">
        <f>MONTH(smart_dataset[[#This Row],[Timestamp]])</f>
        <v>4</v>
      </c>
      <c r="F224" t="s">
        <v>30</v>
      </c>
      <c r="G224">
        <v>-40.283999999999999</v>
      </c>
      <c r="H224">
        <v>-86.808899999999994</v>
      </c>
      <c r="I224">
        <v>310</v>
      </c>
      <c r="J224" t="s">
        <v>21</v>
      </c>
      <c r="K224">
        <v>22.8</v>
      </c>
      <c r="L224">
        <v>64.400000000000006</v>
      </c>
      <c r="M224" t="s">
        <v>22</v>
      </c>
      <c r="N224">
        <v>33</v>
      </c>
      <c r="O224">
        <v>104</v>
      </c>
      <c r="P224">
        <v>2</v>
      </c>
      <c r="Q224" t="s">
        <v>31</v>
      </c>
      <c r="R224">
        <v>98.9</v>
      </c>
      <c r="S224">
        <v>110</v>
      </c>
      <c r="T224">
        <v>1</v>
      </c>
      <c r="U224" t="str" cm="1">
        <f t="array" ref="U224">_xlfn.IFS(smart_dataset[[#This Row],[Waiting_Time]]&lt;=20,"Low",smart_dataset[[#This Row],[Waiting_Time]]&lt;=40,"Medium",TRUE,"High")</f>
        <v>Medium</v>
      </c>
      <c r="V224" t="str" cm="1">
        <f t="array" ref="V224">_xlfn.IFS(smart_dataset[[#This Row],[Temperature]]&lt;=20,"Cold",smart_dataset[[#This Row],[Temperature]]&lt;=28,"Normal",TRUE,"Hot")</f>
        <v>Normal</v>
      </c>
      <c r="W224" t="str" cm="1">
        <f t="array" ref="W224">_xlfn.IFS(smart_dataset[[#This Row],[Asset_Utilization]]&lt;=75,"Low",smart_dataset[[#This Row],[Asset_Utilization]]&lt;=90,"Medium",TRUE,"High")</f>
        <v>High</v>
      </c>
    </row>
    <row r="225" spans="1:23" hidden="1" x14ac:dyDescent="0.25">
      <c r="A225" s="1">
        <v>45497.172939814816</v>
      </c>
      <c r="B225" s="1">
        <f>INT(smart_dataset[[#This Row],[Timestamp]])</f>
        <v>45497</v>
      </c>
      <c r="C225" s="1">
        <f>MOD(smart_dataset[[#This Row],[Timestamp]],1)</f>
        <v>0.17293981481634546</v>
      </c>
      <c r="D225" s="1">
        <f>YEAR(smart_dataset[[#This Row],[Date]])</f>
        <v>2024</v>
      </c>
      <c r="E225" s="1">
        <f>MONTH(smart_dataset[[#This Row],[Timestamp]])</f>
        <v>7</v>
      </c>
      <c r="F225" t="s">
        <v>33</v>
      </c>
      <c r="G225">
        <v>2.2208000000000001</v>
      </c>
      <c r="H225">
        <v>-170.26410000000001</v>
      </c>
      <c r="I225">
        <v>132</v>
      </c>
      <c r="J225" t="s">
        <v>26</v>
      </c>
      <c r="K225">
        <v>27.5</v>
      </c>
      <c r="L225">
        <v>57.2</v>
      </c>
      <c r="M225" t="s">
        <v>22</v>
      </c>
      <c r="N225">
        <v>36</v>
      </c>
      <c r="O225">
        <v>481</v>
      </c>
      <c r="P225">
        <v>5</v>
      </c>
      <c r="Q225" t="s">
        <v>27</v>
      </c>
      <c r="R225">
        <v>65.2</v>
      </c>
      <c r="S225">
        <v>140</v>
      </c>
      <c r="T225">
        <v>1</v>
      </c>
      <c r="U225" t="str" cm="1">
        <f t="array" ref="U225">_xlfn.IFS(smart_dataset[[#This Row],[Waiting_Time]]&lt;=20,"Low",smart_dataset[[#This Row],[Waiting_Time]]&lt;=40,"Medium",TRUE,"High")</f>
        <v>Medium</v>
      </c>
      <c r="V225" t="str" cm="1">
        <f t="array" ref="V225">_xlfn.IFS(smart_dataset[[#This Row],[Temperature]]&lt;=20,"Cold",smart_dataset[[#This Row],[Temperature]]&lt;=28,"Normal",TRUE,"Hot")</f>
        <v>Normal</v>
      </c>
      <c r="W225" t="str" cm="1">
        <f t="array" ref="W225">_xlfn.IFS(smart_dataset[[#This Row],[Asset_Utilization]]&lt;=75,"Low",smart_dataset[[#This Row],[Asset_Utilization]]&lt;=90,"Medium",TRUE,"High")</f>
        <v>Low</v>
      </c>
    </row>
    <row r="226" spans="1:23" hidden="1" x14ac:dyDescent="0.25">
      <c r="A226" s="1">
        <v>45492.046076388891</v>
      </c>
      <c r="B226" s="1">
        <f>INT(smart_dataset[[#This Row],[Timestamp]])</f>
        <v>45492</v>
      </c>
      <c r="C226" s="1">
        <f>MOD(smart_dataset[[#This Row],[Timestamp]],1)</f>
        <v>4.6076388891378883E-2</v>
      </c>
      <c r="D226" s="1">
        <f>YEAR(smart_dataset[[#This Row],[Date]])</f>
        <v>2024</v>
      </c>
      <c r="E226" s="1">
        <f>MONTH(smart_dataset[[#This Row],[Timestamp]])</f>
        <v>7</v>
      </c>
      <c r="F226" t="s">
        <v>32</v>
      </c>
      <c r="G226">
        <v>54.842300000000002</v>
      </c>
      <c r="H226">
        <v>175.5701</v>
      </c>
      <c r="I226">
        <v>331</v>
      </c>
      <c r="J226" t="s">
        <v>17</v>
      </c>
      <c r="K226">
        <v>25.6</v>
      </c>
      <c r="L226">
        <v>77.8</v>
      </c>
      <c r="M226" t="s">
        <v>22</v>
      </c>
      <c r="N226">
        <v>26</v>
      </c>
      <c r="O226">
        <v>213</v>
      </c>
      <c r="P226">
        <v>9</v>
      </c>
      <c r="Q226" t="s">
        <v>27</v>
      </c>
      <c r="R226">
        <v>90.7</v>
      </c>
      <c r="S226">
        <v>269</v>
      </c>
      <c r="T226">
        <v>1</v>
      </c>
      <c r="U226" t="str" cm="1">
        <f t="array" ref="U226">_xlfn.IFS(smart_dataset[[#This Row],[Waiting_Time]]&lt;=20,"Low",smart_dataset[[#This Row],[Waiting_Time]]&lt;=40,"Medium",TRUE,"High")</f>
        <v>Medium</v>
      </c>
      <c r="V226" t="str" cm="1">
        <f t="array" ref="V226">_xlfn.IFS(smart_dataset[[#This Row],[Temperature]]&lt;=20,"Cold",smart_dataset[[#This Row],[Temperature]]&lt;=28,"Normal",TRUE,"Hot")</f>
        <v>Normal</v>
      </c>
      <c r="W226" t="str" cm="1">
        <f t="array" ref="W226">_xlfn.IFS(smart_dataset[[#This Row],[Asset_Utilization]]&lt;=75,"Low",smart_dataset[[#This Row],[Asset_Utilization]]&lt;=90,"Medium",TRUE,"High")</f>
        <v>High</v>
      </c>
    </row>
    <row r="227" spans="1:23" hidden="1" x14ac:dyDescent="0.25">
      <c r="A227" s="1">
        <v>45405.701909722222</v>
      </c>
      <c r="B227" s="1">
        <f>INT(smart_dataset[[#This Row],[Timestamp]])</f>
        <v>45405</v>
      </c>
      <c r="C227" s="1">
        <f>MOD(smart_dataset[[#This Row],[Timestamp]],1)</f>
        <v>0.70190972222189885</v>
      </c>
      <c r="D227" s="1">
        <f>YEAR(smart_dataset[[#This Row],[Date]])</f>
        <v>2024</v>
      </c>
      <c r="E227" s="1">
        <f>MONTH(smart_dataset[[#This Row],[Timestamp]])</f>
        <v>4</v>
      </c>
      <c r="F227" t="s">
        <v>35</v>
      </c>
      <c r="G227">
        <v>-78.472300000000004</v>
      </c>
      <c r="H227">
        <v>-82.614999999999995</v>
      </c>
      <c r="I227">
        <v>294</v>
      </c>
      <c r="J227" t="s">
        <v>26</v>
      </c>
      <c r="K227">
        <v>24.4</v>
      </c>
      <c r="L227">
        <v>65.2</v>
      </c>
      <c r="M227" t="s">
        <v>18</v>
      </c>
      <c r="N227">
        <v>23</v>
      </c>
      <c r="O227">
        <v>439</v>
      </c>
      <c r="P227">
        <v>8</v>
      </c>
      <c r="Q227" t="s">
        <v>27</v>
      </c>
      <c r="R227">
        <v>65</v>
      </c>
      <c r="S227">
        <v>213</v>
      </c>
      <c r="T227">
        <v>0</v>
      </c>
      <c r="U227" t="str" cm="1">
        <f t="array" ref="U227">_xlfn.IFS(smart_dataset[[#This Row],[Waiting_Time]]&lt;=20,"Low",smart_dataset[[#This Row],[Waiting_Time]]&lt;=40,"Medium",TRUE,"High")</f>
        <v>Medium</v>
      </c>
      <c r="V227" t="str" cm="1">
        <f t="array" ref="V227">_xlfn.IFS(smart_dataset[[#This Row],[Temperature]]&lt;=20,"Cold",smart_dataset[[#This Row],[Temperature]]&lt;=28,"Normal",TRUE,"Hot")</f>
        <v>Normal</v>
      </c>
      <c r="W227" t="str" cm="1">
        <f t="array" ref="W227">_xlfn.IFS(smart_dataset[[#This Row],[Asset_Utilization]]&lt;=75,"Low",smart_dataset[[#This Row],[Asset_Utilization]]&lt;=90,"Medium",TRUE,"High")</f>
        <v>Low</v>
      </c>
    </row>
    <row r="228" spans="1:23" hidden="1" x14ac:dyDescent="0.25">
      <c r="A228" s="1">
        <v>45461.539641203701</v>
      </c>
      <c r="B228" s="1">
        <f>INT(smart_dataset[[#This Row],[Timestamp]])</f>
        <v>45461</v>
      </c>
      <c r="C228" s="1">
        <f>MOD(smart_dataset[[#This Row],[Timestamp]],1)</f>
        <v>0.53964120370073942</v>
      </c>
      <c r="D228" s="1">
        <f>YEAR(smart_dataset[[#This Row],[Date]])</f>
        <v>2024</v>
      </c>
      <c r="E228" s="1">
        <f>MONTH(smart_dataset[[#This Row],[Timestamp]])</f>
        <v>6</v>
      </c>
      <c r="F228" t="s">
        <v>20</v>
      </c>
      <c r="G228">
        <v>4.8495999999999997</v>
      </c>
      <c r="H228">
        <v>-60.7988</v>
      </c>
      <c r="I228">
        <v>277</v>
      </c>
      <c r="J228" t="s">
        <v>26</v>
      </c>
      <c r="K228">
        <v>29.3</v>
      </c>
      <c r="L228">
        <v>50.7</v>
      </c>
      <c r="M228" t="s">
        <v>22</v>
      </c>
      <c r="N228">
        <v>24</v>
      </c>
      <c r="O228">
        <v>242</v>
      </c>
      <c r="P228">
        <v>2</v>
      </c>
      <c r="Q228" t="s">
        <v>31</v>
      </c>
      <c r="R228">
        <v>93.4</v>
      </c>
      <c r="S228">
        <v>271</v>
      </c>
      <c r="T228">
        <v>1</v>
      </c>
      <c r="U228" t="str" cm="1">
        <f t="array" ref="U228">_xlfn.IFS(smart_dataset[[#This Row],[Waiting_Time]]&lt;=20,"Low",smart_dataset[[#This Row],[Waiting_Time]]&lt;=40,"Medium",TRUE,"High")</f>
        <v>Medium</v>
      </c>
      <c r="V228" t="str" cm="1">
        <f t="array" ref="V228">_xlfn.IFS(smart_dataset[[#This Row],[Temperature]]&lt;=20,"Cold",smart_dataset[[#This Row],[Temperature]]&lt;=28,"Normal",TRUE,"Hot")</f>
        <v>Hot</v>
      </c>
      <c r="W228" t="str" cm="1">
        <f t="array" ref="W228">_xlfn.IFS(smart_dataset[[#This Row],[Asset_Utilization]]&lt;=75,"Low",smart_dataset[[#This Row],[Asset_Utilization]]&lt;=90,"Medium",TRUE,"High")</f>
        <v>High</v>
      </c>
    </row>
    <row r="229" spans="1:23" hidden="1" x14ac:dyDescent="0.25">
      <c r="A229" s="1">
        <v>45643.174525462964</v>
      </c>
      <c r="B229" s="1">
        <f>INT(smart_dataset[[#This Row],[Timestamp]])</f>
        <v>45643</v>
      </c>
      <c r="C229" s="1">
        <f>MOD(smart_dataset[[#This Row],[Timestamp]],1)</f>
        <v>0.174525462964084</v>
      </c>
      <c r="D229" s="1">
        <f>YEAR(smart_dataset[[#This Row],[Date]])</f>
        <v>2024</v>
      </c>
      <c r="E229" s="1">
        <f>MONTH(smart_dataset[[#This Row],[Timestamp]])</f>
        <v>12</v>
      </c>
      <c r="F229" t="s">
        <v>34</v>
      </c>
      <c r="G229">
        <v>54.034199999999998</v>
      </c>
      <c r="H229">
        <v>-98.308300000000003</v>
      </c>
      <c r="I229">
        <v>329</v>
      </c>
      <c r="J229" t="s">
        <v>17</v>
      </c>
      <c r="K229">
        <v>29.7</v>
      </c>
      <c r="L229">
        <v>77.900000000000006</v>
      </c>
      <c r="M229" t="s">
        <v>22</v>
      </c>
      <c r="N229">
        <v>33</v>
      </c>
      <c r="O229">
        <v>232</v>
      </c>
      <c r="P229">
        <v>5</v>
      </c>
      <c r="Q229" t="s">
        <v>23</v>
      </c>
      <c r="R229">
        <v>91.9</v>
      </c>
      <c r="S229">
        <v>124</v>
      </c>
      <c r="T229">
        <v>1</v>
      </c>
      <c r="U229" t="str" cm="1">
        <f t="array" ref="U229">_xlfn.IFS(smart_dataset[[#This Row],[Waiting_Time]]&lt;=20,"Low",smart_dataset[[#This Row],[Waiting_Time]]&lt;=40,"Medium",TRUE,"High")</f>
        <v>Medium</v>
      </c>
      <c r="V229" t="str" cm="1">
        <f t="array" ref="V229">_xlfn.IFS(smart_dataset[[#This Row],[Temperature]]&lt;=20,"Cold",smart_dataset[[#This Row],[Temperature]]&lt;=28,"Normal",TRUE,"Hot")</f>
        <v>Hot</v>
      </c>
      <c r="W229" t="str" cm="1">
        <f t="array" ref="W229">_xlfn.IFS(smart_dataset[[#This Row],[Asset_Utilization]]&lt;=75,"Low",smart_dataset[[#This Row],[Asset_Utilization]]&lt;=90,"Medium",TRUE,"High")</f>
        <v>High</v>
      </c>
    </row>
    <row r="230" spans="1:23" hidden="1" x14ac:dyDescent="0.25">
      <c r="A230" s="1">
        <v>45613.195347222223</v>
      </c>
      <c r="B230" s="1">
        <f>INT(smart_dataset[[#This Row],[Timestamp]])</f>
        <v>45613</v>
      </c>
      <c r="C230" s="1">
        <f>MOD(smart_dataset[[#This Row],[Timestamp]],1)</f>
        <v>0.195347222223063</v>
      </c>
      <c r="D230" s="1">
        <f>YEAR(smart_dataset[[#This Row],[Date]])</f>
        <v>2024</v>
      </c>
      <c r="E230" s="1">
        <f>MONTH(smart_dataset[[#This Row],[Timestamp]])</f>
        <v>11</v>
      </c>
      <c r="F230" t="s">
        <v>32</v>
      </c>
      <c r="G230">
        <v>41.43</v>
      </c>
      <c r="H230">
        <v>-128.1678</v>
      </c>
      <c r="I230">
        <v>204</v>
      </c>
      <c r="J230" t="s">
        <v>26</v>
      </c>
      <c r="K230">
        <v>18.7</v>
      </c>
      <c r="L230">
        <v>68.5</v>
      </c>
      <c r="M230" t="s">
        <v>22</v>
      </c>
      <c r="N230">
        <v>27</v>
      </c>
      <c r="O230">
        <v>473</v>
      </c>
      <c r="P230">
        <v>2</v>
      </c>
      <c r="Q230" t="s">
        <v>27</v>
      </c>
      <c r="R230">
        <v>76.900000000000006</v>
      </c>
      <c r="S230">
        <v>217</v>
      </c>
      <c r="T230">
        <v>1</v>
      </c>
      <c r="U230" t="str" cm="1">
        <f t="array" ref="U230">_xlfn.IFS(smart_dataset[[#This Row],[Waiting_Time]]&lt;=20,"Low",smart_dataset[[#This Row],[Waiting_Time]]&lt;=40,"Medium",TRUE,"High")</f>
        <v>Medium</v>
      </c>
      <c r="V230" t="str" cm="1">
        <f t="array" ref="V230">_xlfn.IFS(smart_dataset[[#This Row],[Temperature]]&lt;=20,"Cold",smart_dataset[[#This Row],[Temperature]]&lt;=28,"Normal",TRUE,"Hot")</f>
        <v>Cold</v>
      </c>
      <c r="W230" t="str" cm="1">
        <f t="array" ref="W230">_xlfn.IFS(smart_dataset[[#This Row],[Asset_Utilization]]&lt;=75,"Low",smart_dataset[[#This Row],[Asset_Utilization]]&lt;=90,"Medium",TRUE,"High")</f>
        <v>Medium</v>
      </c>
    </row>
    <row r="231" spans="1:23" x14ac:dyDescent="0.25">
      <c r="A231" s="1">
        <v>45463.471365740741</v>
      </c>
      <c r="B231" s="1">
        <f>INT(smart_dataset[[#This Row],[Timestamp]])</f>
        <v>45463</v>
      </c>
      <c r="C231" s="7">
        <f>MOD(smart_dataset[[#This Row],[Timestamp]],1)</f>
        <v>0.471365740741021</v>
      </c>
      <c r="D231">
        <f>YEAR(smart_dataset[[#This Row],[Date]])</f>
        <v>2024</v>
      </c>
      <c r="E231">
        <f>MONTH(smart_dataset[[#This Row],[Timestamp]])</f>
        <v>6</v>
      </c>
      <c r="F231" t="s">
        <v>35</v>
      </c>
      <c r="G231">
        <v>-56.067399999999999</v>
      </c>
      <c r="H231">
        <v>82.943100000000001</v>
      </c>
      <c r="I231">
        <v>410</v>
      </c>
      <c r="J231" t="s">
        <v>26</v>
      </c>
      <c r="K231">
        <v>28.9</v>
      </c>
      <c r="L231">
        <v>60.3</v>
      </c>
      <c r="M231" t="s">
        <v>28</v>
      </c>
      <c r="N231">
        <v>32</v>
      </c>
      <c r="O231">
        <v>436</v>
      </c>
      <c r="P231">
        <v>1</v>
      </c>
      <c r="Q231" t="s">
        <v>19</v>
      </c>
      <c r="R231">
        <v>77.2</v>
      </c>
      <c r="S231">
        <v>272</v>
      </c>
      <c r="T231">
        <v>0</v>
      </c>
      <c r="U231" t="str" cm="1">
        <f t="array" ref="U231">_xlfn.IFS(smart_dataset[[#This Row],[Waiting_Time]]&lt;=20,"Low",smart_dataset[[#This Row],[Waiting_Time]]&lt;=40,"Medium",TRUE,"High")</f>
        <v>Medium</v>
      </c>
      <c r="V231" t="str" cm="1">
        <f t="array" ref="V231">_xlfn.IFS(smart_dataset[[#This Row],[Temperature]]&lt;=20,"Cold",smart_dataset[[#This Row],[Temperature]]&lt;=28,"Normal",TRUE,"Hot")</f>
        <v>Hot</v>
      </c>
      <c r="W231" t="str" cm="1">
        <f t="array" ref="W231">_xlfn.IFS(smart_dataset[[#This Row],[Asset_Utilization]]&lt;=75,"Low",smart_dataset[[#This Row],[Asset_Utilization]]&lt;=90,"Medium",TRUE,"High")</f>
        <v>Medium</v>
      </c>
    </row>
    <row r="232" spans="1:23" hidden="1" x14ac:dyDescent="0.25">
      <c r="A232" s="1">
        <v>45472.46974537037</v>
      </c>
      <c r="B232" s="1">
        <f>INT(smart_dataset[[#This Row],[Timestamp]])</f>
        <v>45472</v>
      </c>
      <c r="C232" s="1">
        <f>MOD(smart_dataset[[#This Row],[Timestamp]],1)</f>
        <v>0.46974537037021946</v>
      </c>
      <c r="D232" s="1">
        <f>YEAR(smart_dataset[[#This Row],[Date]])</f>
        <v>2024</v>
      </c>
      <c r="E232" s="1">
        <f>MONTH(smart_dataset[[#This Row],[Timestamp]])</f>
        <v>6</v>
      </c>
      <c r="F232" t="s">
        <v>16</v>
      </c>
      <c r="G232">
        <v>-0.85389999999999999</v>
      </c>
      <c r="H232">
        <v>-177.5496</v>
      </c>
      <c r="I232">
        <v>417</v>
      </c>
      <c r="J232" t="s">
        <v>17</v>
      </c>
      <c r="K232">
        <v>26.9</v>
      </c>
      <c r="L232">
        <v>70.8</v>
      </c>
      <c r="M232" t="s">
        <v>28</v>
      </c>
      <c r="N232">
        <v>44</v>
      </c>
      <c r="O232">
        <v>103</v>
      </c>
      <c r="P232">
        <v>7</v>
      </c>
      <c r="Q232" t="s">
        <v>31</v>
      </c>
      <c r="R232">
        <v>94.7</v>
      </c>
      <c r="S232">
        <v>181</v>
      </c>
      <c r="T232">
        <v>1</v>
      </c>
      <c r="U232" t="str" cm="1">
        <f t="array" ref="U232">_xlfn.IFS(smart_dataset[[#This Row],[Waiting_Time]]&lt;=20,"Low",smart_dataset[[#This Row],[Waiting_Time]]&lt;=40,"Medium",TRUE,"High")</f>
        <v>High</v>
      </c>
      <c r="V232" t="str" cm="1">
        <f t="array" ref="V232">_xlfn.IFS(smart_dataset[[#This Row],[Temperature]]&lt;=20,"Cold",smart_dataset[[#This Row],[Temperature]]&lt;=28,"Normal",TRUE,"Hot")</f>
        <v>Normal</v>
      </c>
      <c r="W232" t="str" cm="1">
        <f t="array" ref="W232">_xlfn.IFS(smart_dataset[[#This Row],[Asset_Utilization]]&lt;=75,"Low",smart_dataset[[#This Row],[Asset_Utilization]]&lt;=90,"Medium",TRUE,"High")</f>
        <v>High</v>
      </c>
    </row>
    <row r="233" spans="1:23" x14ac:dyDescent="0.25">
      <c r="A233" s="1">
        <v>45478.385277777779</v>
      </c>
      <c r="B233" s="1">
        <f>INT(smart_dataset[[#This Row],[Timestamp]])</f>
        <v>45478</v>
      </c>
      <c r="C233" s="7">
        <f>MOD(smart_dataset[[#This Row],[Timestamp]],1)</f>
        <v>0.38527777777926531</v>
      </c>
      <c r="D233">
        <f>YEAR(smart_dataset[[#This Row],[Date]])</f>
        <v>2024</v>
      </c>
      <c r="E233">
        <f>MONTH(smart_dataset[[#This Row],[Timestamp]])</f>
        <v>7</v>
      </c>
      <c r="F233" t="s">
        <v>20</v>
      </c>
      <c r="G233">
        <v>54.597299999999997</v>
      </c>
      <c r="H233">
        <v>-128.4974</v>
      </c>
      <c r="I233">
        <v>324</v>
      </c>
      <c r="J233" t="s">
        <v>26</v>
      </c>
      <c r="K233">
        <v>20.7</v>
      </c>
      <c r="L233">
        <v>72.400000000000006</v>
      </c>
      <c r="M233" t="s">
        <v>28</v>
      </c>
      <c r="N233">
        <v>12</v>
      </c>
      <c r="O233">
        <v>173</v>
      </c>
      <c r="P233">
        <v>7</v>
      </c>
      <c r="Q233" t="s">
        <v>19</v>
      </c>
      <c r="R233">
        <v>95.1</v>
      </c>
      <c r="S233">
        <v>243</v>
      </c>
      <c r="T233">
        <v>0</v>
      </c>
      <c r="U233" t="str" cm="1">
        <f t="array" ref="U233">_xlfn.IFS(smart_dataset[[#This Row],[Waiting_Time]]&lt;=20,"Low",smart_dataset[[#This Row],[Waiting_Time]]&lt;=40,"Medium",TRUE,"High")</f>
        <v>Low</v>
      </c>
      <c r="V233" t="str" cm="1">
        <f t="array" ref="V233">_xlfn.IFS(smart_dataset[[#This Row],[Temperature]]&lt;=20,"Cold",smart_dataset[[#This Row],[Temperature]]&lt;=28,"Normal",TRUE,"Hot")</f>
        <v>Normal</v>
      </c>
      <c r="W233" t="str" cm="1">
        <f t="array" ref="W233">_xlfn.IFS(smart_dataset[[#This Row],[Asset_Utilization]]&lt;=75,"Low",smart_dataset[[#This Row],[Asset_Utilization]]&lt;=90,"Medium",TRUE,"High")</f>
        <v>High</v>
      </c>
    </row>
    <row r="234" spans="1:23" hidden="1" x14ac:dyDescent="0.25">
      <c r="A234" s="1">
        <v>45492.840902777774</v>
      </c>
      <c r="B234" s="1">
        <f>INT(smart_dataset[[#This Row],[Timestamp]])</f>
        <v>45492</v>
      </c>
      <c r="C234" s="1">
        <f>MOD(smart_dataset[[#This Row],[Timestamp]],1)</f>
        <v>0.84090277777431766</v>
      </c>
      <c r="D234" s="1">
        <f>YEAR(smart_dataset[[#This Row],[Date]])</f>
        <v>2024</v>
      </c>
      <c r="E234" s="1">
        <f>MONTH(smart_dataset[[#This Row],[Timestamp]])</f>
        <v>7</v>
      </c>
      <c r="F234" t="s">
        <v>32</v>
      </c>
      <c r="G234">
        <v>-46.145699999999998</v>
      </c>
      <c r="H234">
        <v>161.02539999999999</v>
      </c>
      <c r="I234">
        <v>218</v>
      </c>
      <c r="J234" t="s">
        <v>17</v>
      </c>
      <c r="K234">
        <v>23.8</v>
      </c>
      <c r="L234">
        <v>52.3</v>
      </c>
      <c r="M234" t="s">
        <v>18</v>
      </c>
      <c r="N234">
        <v>52</v>
      </c>
      <c r="O234">
        <v>389</v>
      </c>
      <c r="P234">
        <v>2</v>
      </c>
      <c r="Q234" t="s">
        <v>27</v>
      </c>
      <c r="R234">
        <v>79.5</v>
      </c>
      <c r="S234">
        <v>231</v>
      </c>
      <c r="T234">
        <v>1</v>
      </c>
      <c r="U234" t="str" cm="1">
        <f t="array" ref="U234">_xlfn.IFS(smart_dataset[[#This Row],[Waiting_Time]]&lt;=20,"Low",smart_dataset[[#This Row],[Waiting_Time]]&lt;=40,"Medium",TRUE,"High")</f>
        <v>High</v>
      </c>
      <c r="V234" t="str" cm="1">
        <f t="array" ref="V234">_xlfn.IFS(smart_dataset[[#This Row],[Temperature]]&lt;=20,"Cold",smart_dataset[[#This Row],[Temperature]]&lt;=28,"Normal",TRUE,"Hot")</f>
        <v>Normal</v>
      </c>
      <c r="W234" t="str" cm="1">
        <f t="array" ref="W234">_xlfn.IFS(smart_dataset[[#This Row],[Asset_Utilization]]&lt;=75,"Low",smart_dataset[[#This Row],[Asset_Utilization]]&lt;=90,"Medium",TRUE,"High")</f>
        <v>Medium</v>
      </c>
    </row>
    <row r="235" spans="1:23" hidden="1" x14ac:dyDescent="0.25">
      <c r="A235" s="1">
        <v>45531.934930555559</v>
      </c>
      <c r="B235" s="1">
        <f>INT(smart_dataset[[#This Row],[Timestamp]])</f>
        <v>45531</v>
      </c>
      <c r="C235" s="1">
        <f>MOD(smart_dataset[[#This Row],[Timestamp]],1)</f>
        <v>0.93493055555882165</v>
      </c>
      <c r="D235" s="1">
        <f>YEAR(smart_dataset[[#This Row],[Date]])</f>
        <v>2024</v>
      </c>
      <c r="E235" s="1">
        <f>MONTH(smart_dataset[[#This Row],[Timestamp]])</f>
        <v>8</v>
      </c>
      <c r="F235" t="s">
        <v>34</v>
      </c>
      <c r="G235">
        <v>76.839100000000002</v>
      </c>
      <c r="H235">
        <v>140.30109999999999</v>
      </c>
      <c r="I235">
        <v>137</v>
      </c>
      <c r="J235" t="s">
        <v>17</v>
      </c>
      <c r="K235">
        <v>23.6</v>
      </c>
      <c r="L235">
        <v>51.7</v>
      </c>
      <c r="M235" t="s">
        <v>18</v>
      </c>
      <c r="N235">
        <v>24</v>
      </c>
      <c r="O235">
        <v>124</v>
      </c>
      <c r="P235">
        <v>6</v>
      </c>
      <c r="Q235" t="s">
        <v>27</v>
      </c>
      <c r="R235">
        <v>70.599999999999994</v>
      </c>
      <c r="S235">
        <v>279</v>
      </c>
      <c r="T235">
        <v>1</v>
      </c>
      <c r="U235" t="str" cm="1">
        <f t="array" ref="U235">_xlfn.IFS(smart_dataset[[#This Row],[Waiting_Time]]&lt;=20,"Low",smart_dataset[[#This Row],[Waiting_Time]]&lt;=40,"Medium",TRUE,"High")</f>
        <v>Medium</v>
      </c>
      <c r="V235" t="str" cm="1">
        <f t="array" ref="V235">_xlfn.IFS(smart_dataset[[#This Row],[Temperature]]&lt;=20,"Cold",smart_dataset[[#This Row],[Temperature]]&lt;=28,"Normal",TRUE,"Hot")</f>
        <v>Normal</v>
      </c>
      <c r="W235" t="str" cm="1">
        <f t="array" ref="W235">_xlfn.IFS(smart_dataset[[#This Row],[Asset_Utilization]]&lt;=75,"Low",smart_dataset[[#This Row],[Asset_Utilization]]&lt;=90,"Medium",TRUE,"High")</f>
        <v>Low</v>
      </c>
    </row>
    <row r="236" spans="1:23" hidden="1" x14ac:dyDescent="0.25">
      <c r="A236" s="1">
        <v>45460.113553240742</v>
      </c>
      <c r="B236" s="1">
        <f>INT(smart_dataset[[#This Row],[Timestamp]])</f>
        <v>45460</v>
      </c>
      <c r="C236" s="1">
        <f>MOD(smart_dataset[[#This Row],[Timestamp]],1)</f>
        <v>0.11355324074247619</v>
      </c>
      <c r="D236" s="1">
        <f>YEAR(smart_dataset[[#This Row],[Date]])</f>
        <v>2024</v>
      </c>
      <c r="E236" s="1">
        <f>MONTH(smart_dataset[[#This Row],[Timestamp]])</f>
        <v>6</v>
      </c>
      <c r="F236" t="s">
        <v>29</v>
      </c>
      <c r="G236">
        <v>-59.191400000000002</v>
      </c>
      <c r="H236">
        <v>-125.4515</v>
      </c>
      <c r="I236">
        <v>414</v>
      </c>
      <c r="J236" t="s">
        <v>17</v>
      </c>
      <c r="K236">
        <v>18.3</v>
      </c>
      <c r="L236">
        <v>76.400000000000006</v>
      </c>
      <c r="M236" t="s">
        <v>18</v>
      </c>
      <c r="N236">
        <v>42</v>
      </c>
      <c r="O236">
        <v>332</v>
      </c>
      <c r="P236">
        <v>10</v>
      </c>
      <c r="Q236" t="s">
        <v>27</v>
      </c>
      <c r="R236">
        <v>66.3</v>
      </c>
      <c r="S236">
        <v>249</v>
      </c>
      <c r="T236">
        <v>1</v>
      </c>
      <c r="U236" t="str" cm="1">
        <f t="array" ref="U236">_xlfn.IFS(smart_dataset[[#This Row],[Waiting_Time]]&lt;=20,"Low",smart_dataset[[#This Row],[Waiting_Time]]&lt;=40,"Medium",TRUE,"High")</f>
        <v>High</v>
      </c>
      <c r="V236" t="str" cm="1">
        <f t="array" ref="V236">_xlfn.IFS(smart_dataset[[#This Row],[Temperature]]&lt;=20,"Cold",smart_dataset[[#This Row],[Temperature]]&lt;=28,"Normal",TRUE,"Hot")</f>
        <v>Cold</v>
      </c>
      <c r="W236" t="str" cm="1">
        <f t="array" ref="W236">_xlfn.IFS(smart_dataset[[#This Row],[Asset_Utilization]]&lt;=75,"Low",smart_dataset[[#This Row],[Asset_Utilization]]&lt;=90,"Medium",TRUE,"High")</f>
        <v>Low</v>
      </c>
    </row>
    <row r="237" spans="1:23" hidden="1" x14ac:dyDescent="0.25">
      <c r="A237" s="1">
        <v>45433.104375000003</v>
      </c>
      <c r="B237" s="1">
        <f>INT(smart_dataset[[#This Row],[Timestamp]])</f>
        <v>45433</v>
      </c>
      <c r="C237" s="1">
        <f>MOD(smart_dataset[[#This Row],[Timestamp]],1)</f>
        <v>0.10437500000261934</v>
      </c>
      <c r="D237" s="1">
        <f>YEAR(smart_dataset[[#This Row],[Date]])</f>
        <v>2024</v>
      </c>
      <c r="E237" s="1">
        <f>MONTH(smart_dataset[[#This Row],[Timestamp]])</f>
        <v>5</v>
      </c>
      <c r="F237" t="s">
        <v>35</v>
      </c>
      <c r="G237">
        <v>-75.617699999999999</v>
      </c>
      <c r="H237">
        <v>-156.976</v>
      </c>
      <c r="I237">
        <v>216</v>
      </c>
      <c r="J237" t="s">
        <v>21</v>
      </c>
      <c r="K237">
        <v>26.9</v>
      </c>
      <c r="L237">
        <v>67.2</v>
      </c>
      <c r="M237" t="s">
        <v>18</v>
      </c>
      <c r="N237">
        <v>35</v>
      </c>
      <c r="O237">
        <v>181</v>
      </c>
      <c r="P237">
        <v>10</v>
      </c>
      <c r="Q237" t="s">
        <v>23</v>
      </c>
      <c r="R237">
        <v>86.2</v>
      </c>
      <c r="S237">
        <v>185</v>
      </c>
      <c r="T237">
        <v>0</v>
      </c>
      <c r="U237" t="str" cm="1">
        <f t="array" ref="U237">_xlfn.IFS(smart_dataset[[#This Row],[Waiting_Time]]&lt;=20,"Low",smart_dataset[[#This Row],[Waiting_Time]]&lt;=40,"Medium",TRUE,"High")</f>
        <v>Medium</v>
      </c>
      <c r="V237" t="str" cm="1">
        <f t="array" ref="V237">_xlfn.IFS(smart_dataset[[#This Row],[Temperature]]&lt;=20,"Cold",smart_dataset[[#This Row],[Temperature]]&lt;=28,"Normal",TRUE,"Hot")</f>
        <v>Normal</v>
      </c>
      <c r="W237" t="str" cm="1">
        <f t="array" ref="W237">_xlfn.IFS(smart_dataset[[#This Row],[Asset_Utilization]]&lt;=75,"Low",smart_dataset[[#This Row],[Asset_Utilization]]&lt;=90,"Medium",TRUE,"High")</f>
        <v>Medium</v>
      </c>
    </row>
    <row r="238" spans="1:23" x14ac:dyDescent="0.25">
      <c r="A238" s="1">
        <v>45420.092928240738</v>
      </c>
      <c r="B238" s="1">
        <f>INT(smart_dataset[[#This Row],[Timestamp]])</f>
        <v>45420</v>
      </c>
      <c r="C238" s="7">
        <f>MOD(smart_dataset[[#This Row],[Timestamp]],1)</f>
        <v>9.2928240737819578E-2</v>
      </c>
      <c r="D238">
        <f>YEAR(smart_dataset[[#This Row],[Date]])</f>
        <v>2024</v>
      </c>
      <c r="E238">
        <f>MONTH(smart_dataset[[#This Row],[Timestamp]])</f>
        <v>5</v>
      </c>
      <c r="F238" t="s">
        <v>32</v>
      </c>
      <c r="G238">
        <v>-24.1694</v>
      </c>
      <c r="H238">
        <v>30.0335</v>
      </c>
      <c r="I238">
        <v>170</v>
      </c>
      <c r="J238" t="s">
        <v>17</v>
      </c>
      <c r="K238">
        <v>26.4</v>
      </c>
      <c r="L238">
        <v>51.6</v>
      </c>
      <c r="M238" t="s">
        <v>18</v>
      </c>
      <c r="N238">
        <v>47</v>
      </c>
      <c r="O238">
        <v>278</v>
      </c>
      <c r="P238">
        <v>3</v>
      </c>
      <c r="Q238" t="s">
        <v>19</v>
      </c>
      <c r="R238">
        <v>96.4</v>
      </c>
      <c r="S238">
        <v>105</v>
      </c>
      <c r="T238">
        <v>1</v>
      </c>
      <c r="U238" t="str" cm="1">
        <f t="array" ref="U238">_xlfn.IFS(smart_dataset[[#This Row],[Waiting_Time]]&lt;=20,"Low",smart_dataset[[#This Row],[Waiting_Time]]&lt;=40,"Medium",TRUE,"High")</f>
        <v>High</v>
      </c>
      <c r="V238" t="str" cm="1">
        <f t="array" ref="V238">_xlfn.IFS(smart_dataset[[#This Row],[Temperature]]&lt;=20,"Cold",smart_dataset[[#This Row],[Temperature]]&lt;=28,"Normal",TRUE,"Hot")</f>
        <v>Normal</v>
      </c>
      <c r="W238" t="str" cm="1">
        <f t="array" ref="W238">_xlfn.IFS(smart_dataset[[#This Row],[Asset_Utilization]]&lt;=75,"Low",smart_dataset[[#This Row],[Asset_Utilization]]&lt;=90,"Medium",TRUE,"High")</f>
        <v>High</v>
      </c>
    </row>
    <row r="239" spans="1:23" hidden="1" x14ac:dyDescent="0.25">
      <c r="A239" s="1">
        <v>45414.409456018519</v>
      </c>
      <c r="B239" s="1">
        <f>INT(smart_dataset[[#This Row],[Timestamp]])</f>
        <v>45414</v>
      </c>
      <c r="C239" s="1">
        <f>MOD(smart_dataset[[#This Row],[Timestamp]],1)</f>
        <v>0.40945601851854008</v>
      </c>
      <c r="D239" s="1">
        <f>YEAR(smart_dataset[[#This Row],[Date]])</f>
        <v>2024</v>
      </c>
      <c r="E239" s="1">
        <f>MONTH(smart_dataset[[#This Row],[Timestamp]])</f>
        <v>5</v>
      </c>
      <c r="F239" t="s">
        <v>30</v>
      </c>
      <c r="G239">
        <v>-6.8583999999999996</v>
      </c>
      <c r="H239">
        <v>150.61269999999999</v>
      </c>
      <c r="I239">
        <v>154</v>
      </c>
      <c r="J239" t="s">
        <v>26</v>
      </c>
      <c r="K239">
        <v>28.6</v>
      </c>
      <c r="L239">
        <v>66.8</v>
      </c>
      <c r="M239" t="s">
        <v>28</v>
      </c>
      <c r="N239">
        <v>18</v>
      </c>
      <c r="O239">
        <v>384</v>
      </c>
      <c r="P239">
        <v>9</v>
      </c>
      <c r="Q239" t="s">
        <v>23</v>
      </c>
      <c r="R239">
        <v>60.4</v>
      </c>
      <c r="S239">
        <v>263</v>
      </c>
      <c r="T239">
        <v>0</v>
      </c>
      <c r="U239" t="str" cm="1">
        <f t="array" ref="U239">_xlfn.IFS(smart_dataset[[#This Row],[Waiting_Time]]&lt;=20,"Low",smart_dataset[[#This Row],[Waiting_Time]]&lt;=40,"Medium",TRUE,"High")</f>
        <v>Low</v>
      </c>
      <c r="V239" t="str" cm="1">
        <f t="array" ref="V239">_xlfn.IFS(smart_dataset[[#This Row],[Temperature]]&lt;=20,"Cold",smart_dataset[[#This Row],[Temperature]]&lt;=28,"Normal",TRUE,"Hot")</f>
        <v>Hot</v>
      </c>
      <c r="W239" t="str" cm="1">
        <f t="array" ref="W239">_xlfn.IFS(smart_dataset[[#This Row],[Asset_Utilization]]&lt;=75,"Low",smart_dataset[[#This Row],[Asset_Utilization]]&lt;=90,"Medium",TRUE,"High")</f>
        <v>Low</v>
      </c>
    </row>
    <row r="240" spans="1:23" x14ac:dyDescent="0.25">
      <c r="A240" s="1">
        <v>45316.843900462962</v>
      </c>
      <c r="B240" s="1">
        <f>INT(smart_dataset[[#This Row],[Timestamp]])</f>
        <v>45316</v>
      </c>
      <c r="C240" s="7">
        <f>MOD(smart_dataset[[#This Row],[Timestamp]],1)</f>
        <v>0.84390046296175569</v>
      </c>
      <c r="D240">
        <f>YEAR(smart_dataset[[#This Row],[Date]])</f>
        <v>2024</v>
      </c>
      <c r="E240">
        <f>MONTH(smart_dataset[[#This Row],[Timestamp]])</f>
        <v>1</v>
      </c>
      <c r="F240" t="s">
        <v>30</v>
      </c>
      <c r="G240">
        <v>-32.214599999999997</v>
      </c>
      <c r="H240">
        <v>166.79409999999999</v>
      </c>
      <c r="I240">
        <v>213</v>
      </c>
      <c r="J240" t="s">
        <v>26</v>
      </c>
      <c r="K240">
        <v>25</v>
      </c>
      <c r="L240">
        <v>72.7</v>
      </c>
      <c r="M240" t="s">
        <v>18</v>
      </c>
      <c r="N240">
        <v>51</v>
      </c>
      <c r="O240">
        <v>353</v>
      </c>
      <c r="P240">
        <v>8</v>
      </c>
      <c r="Q240" t="s">
        <v>19</v>
      </c>
      <c r="R240">
        <v>82.6</v>
      </c>
      <c r="S240">
        <v>227</v>
      </c>
      <c r="T240">
        <v>0</v>
      </c>
      <c r="U240" t="str" cm="1">
        <f t="array" ref="U240">_xlfn.IFS(smart_dataset[[#This Row],[Waiting_Time]]&lt;=20,"Low",smart_dataset[[#This Row],[Waiting_Time]]&lt;=40,"Medium",TRUE,"High")</f>
        <v>High</v>
      </c>
      <c r="V240" t="str" cm="1">
        <f t="array" ref="V240">_xlfn.IFS(smart_dataset[[#This Row],[Temperature]]&lt;=20,"Cold",smart_dataset[[#This Row],[Temperature]]&lt;=28,"Normal",TRUE,"Hot")</f>
        <v>Normal</v>
      </c>
      <c r="W240" t="str" cm="1">
        <f t="array" ref="W240">_xlfn.IFS(smart_dataset[[#This Row],[Asset_Utilization]]&lt;=75,"Low",smart_dataset[[#This Row],[Asset_Utilization]]&lt;=90,"Medium",TRUE,"High")</f>
        <v>Medium</v>
      </c>
    </row>
    <row r="241" spans="1:23" hidden="1" x14ac:dyDescent="0.25">
      <c r="A241" s="1">
        <v>45298.534166666665</v>
      </c>
      <c r="B241" s="1">
        <f>INT(smart_dataset[[#This Row],[Timestamp]])</f>
        <v>45298</v>
      </c>
      <c r="C241" s="1">
        <f>MOD(smart_dataset[[#This Row],[Timestamp]],1)</f>
        <v>0.53416666666453239</v>
      </c>
      <c r="D241" s="1">
        <f>YEAR(smart_dataset[[#This Row],[Date]])</f>
        <v>2024</v>
      </c>
      <c r="E241" s="1">
        <f>MONTH(smart_dataset[[#This Row],[Timestamp]])</f>
        <v>1</v>
      </c>
      <c r="F241" t="s">
        <v>29</v>
      </c>
      <c r="G241">
        <v>-46.305100000000003</v>
      </c>
      <c r="H241">
        <v>-93.1541</v>
      </c>
      <c r="I241">
        <v>276</v>
      </c>
      <c r="J241" t="s">
        <v>26</v>
      </c>
      <c r="K241">
        <v>24.9</v>
      </c>
      <c r="L241">
        <v>77</v>
      </c>
      <c r="M241" t="s">
        <v>18</v>
      </c>
      <c r="N241">
        <v>60</v>
      </c>
      <c r="O241">
        <v>467</v>
      </c>
      <c r="P241">
        <v>4</v>
      </c>
      <c r="Q241" t="s">
        <v>23</v>
      </c>
      <c r="R241">
        <v>84.6</v>
      </c>
      <c r="S241">
        <v>292</v>
      </c>
      <c r="T241">
        <v>0</v>
      </c>
      <c r="U241" t="str" cm="1">
        <f t="array" ref="U241">_xlfn.IFS(smart_dataset[[#This Row],[Waiting_Time]]&lt;=20,"Low",smart_dataset[[#This Row],[Waiting_Time]]&lt;=40,"Medium",TRUE,"High")</f>
        <v>High</v>
      </c>
      <c r="V241" t="str" cm="1">
        <f t="array" ref="V241">_xlfn.IFS(smart_dataset[[#This Row],[Temperature]]&lt;=20,"Cold",smart_dataset[[#This Row],[Temperature]]&lt;=28,"Normal",TRUE,"Hot")</f>
        <v>Normal</v>
      </c>
      <c r="W241" t="str" cm="1">
        <f t="array" ref="W241">_xlfn.IFS(smart_dataset[[#This Row],[Asset_Utilization]]&lt;=75,"Low",smart_dataset[[#This Row],[Asset_Utilization]]&lt;=90,"Medium",TRUE,"High")</f>
        <v>Medium</v>
      </c>
    </row>
    <row r="242" spans="1:23" hidden="1" x14ac:dyDescent="0.25">
      <c r="A242" s="1">
        <v>45359.423344907409</v>
      </c>
      <c r="B242" s="1">
        <f>INT(smart_dataset[[#This Row],[Timestamp]])</f>
        <v>45359</v>
      </c>
      <c r="C242" s="1">
        <f>MOD(smart_dataset[[#This Row],[Timestamp]],1)</f>
        <v>0.42334490740904585</v>
      </c>
      <c r="D242" s="1">
        <f>YEAR(smart_dataset[[#This Row],[Date]])</f>
        <v>2024</v>
      </c>
      <c r="E242" s="1">
        <f>MONTH(smart_dataset[[#This Row],[Timestamp]])</f>
        <v>3</v>
      </c>
      <c r="F242" t="s">
        <v>24</v>
      </c>
      <c r="G242">
        <v>-85.085899999999995</v>
      </c>
      <c r="H242">
        <v>41.137999999999998</v>
      </c>
      <c r="I242">
        <v>382</v>
      </c>
      <c r="J242" t="s">
        <v>21</v>
      </c>
      <c r="K242">
        <v>22</v>
      </c>
      <c r="L242">
        <v>77.8</v>
      </c>
      <c r="M242" t="s">
        <v>28</v>
      </c>
      <c r="N242">
        <v>47</v>
      </c>
      <c r="O242">
        <v>448</v>
      </c>
      <c r="P242">
        <v>5</v>
      </c>
      <c r="Q242" t="s">
        <v>23</v>
      </c>
      <c r="R242">
        <v>81.400000000000006</v>
      </c>
      <c r="S242">
        <v>246</v>
      </c>
      <c r="T242">
        <v>0</v>
      </c>
      <c r="U242" t="str" cm="1">
        <f t="array" ref="U242">_xlfn.IFS(smart_dataset[[#This Row],[Waiting_Time]]&lt;=20,"Low",smart_dataset[[#This Row],[Waiting_Time]]&lt;=40,"Medium",TRUE,"High")</f>
        <v>High</v>
      </c>
      <c r="V242" t="str" cm="1">
        <f t="array" ref="V242">_xlfn.IFS(smart_dataset[[#This Row],[Temperature]]&lt;=20,"Cold",smart_dataset[[#This Row],[Temperature]]&lt;=28,"Normal",TRUE,"Hot")</f>
        <v>Normal</v>
      </c>
      <c r="W242" t="str" cm="1">
        <f t="array" ref="W242">_xlfn.IFS(smart_dataset[[#This Row],[Asset_Utilization]]&lt;=75,"Low",smart_dataset[[#This Row],[Asset_Utilization]]&lt;=90,"Medium",TRUE,"High")</f>
        <v>Medium</v>
      </c>
    </row>
    <row r="243" spans="1:23" hidden="1" x14ac:dyDescent="0.25">
      <c r="A243" s="1">
        <v>45648.625914351855</v>
      </c>
      <c r="B243" s="1">
        <f>INT(smart_dataset[[#This Row],[Timestamp]])</f>
        <v>45648</v>
      </c>
      <c r="C243" s="1">
        <f>MOD(smart_dataset[[#This Row],[Timestamp]],1)</f>
        <v>0.62591435185458977</v>
      </c>
      <c r="D243" s="1">
        <f>YEAR(smart_dataset[[#This Row],[Date]])</f>
        <v>2024</v>
      </c>
      <c r="E243" s="1">
        <f>MONTH(smart_dataset[[#This Row],[Timestamp]])</f>
        <v>12</v>
      </c>
      <c r="F243" t="s">
        <v>32</v>
      </c>
      <c r="G243">
        <v>89.1858</v>
      </c>
      <c r="H243">
        <v>-159.32419999999999</v>
      </c>
      <c r="I243">
        <v>383</v>
      </c>
      <c r="J243" t="s">
        <v>21</v>
      </c>
      <c r="K243">
        <v>19.100000000000001</v>
      </c>
      <c r="L243">
        <v>69</v>
      </c>
      <c r="M243" t="s">
        <v>18</v>
      </c>
      <c r="N243">
        <v>16</v>
      </c>
      <c r="O243">
        <v>238</v>
      </c>
      <c r="P243">
        <v>3</v>
      </c>
      <c r="Q243" t="s">
        <v>23</v>
      </c>
      <c r="R243">
        <v>90.7</v>
      </c>
      <c r="S243">
        <v>290</v>
      </c>
      <c r="T243">
        <v>0</v>
      </c>
      <c r="U243" t="str" cm="1">
        <f t="array" ref="U243">_xlfn.IFS(smart_dataset[[#This Row],[Waiting_Time]]&lt;=20,"Low",smart_dataset[[#This Row],[Waiting_Time]]&lt;=40,"Medium",TRUE,"High")</f>
        <v>Low</v>
      </c>
      <c r="V243" t="str" cm="1">
        <f t="array" ref="V243">_xlfn.IFS(smart_dataset[[#This Row],[Temperature]]&lt;=20,"Cold",smart_dataset[[#This Row],[Temperature]]&lt;=28,"Normal",TRUE,"Hot")</f>
        <v>Cold</v>
      </c>
      <c r="W243" t="str" cm="1">
        <f t="array" ref="W243">_xlfn.IFS(smart_dataset[[#This Row],[Asset_Utilization]]&lt;=75,"Low",smart_dataset[[#This Row],[Asset_Utilization]]&lt;=90,"Medium",TRUE,"High")</f>
        <v>High</v>
      </c>
    </row>
    <row r="244" spans="1:23" hidden="1" x14ac:dyDescent="0.25">
      <c r="A244" s="1">
        <v>45312.553506944445</v>
      </c>
      <c r="B244" s="1">
        <f>INT(smart_dataset[[#This Row],[Timestamp]])</f>
        <v>45312</v>
      </c>
      <c r="C244" s="1">
        <f>MOD(smart_dataset[[#This Row],[Timestamp]],1)</f>
        <v>0.55350694444496185</v>
      </c>
      <c r="D244" s="1">
        <f>YEAR(smart_dataset[[#This Row],[Date]])</f>
        <v>2024</v>
      </c>
      <c r="E244" s="1">
        <f>MONTH(smart_dataset[[#This Row],[Timestamp]])</f>
        <v>1</v>
      </c>
      <c r="F244" t="s">
        <v>35</v>
      </c>
      <c r="G244">
        <v>1.429</v>
      </c>
      <c r="H244">
        <v>-119.0925</v>
      </c>
      <c r="I244">
        <v>334</v>
      </c>
      <c r="J244" t="s">
        <v>17</v>
      </c>
      <c r="K244">
        <v>26.6</v>
      </c>
      <c r="L244">
        <v>74.099999999999994</v>
      </c>
      <c r="M244" t="s">
        <v>18</v>
      </c>
      <c r="N244">
        <v>10</v>
      </c>
      <c r="O244">
        <v>317</v>
      </c>
      <c r="P244">
        <v>3</v>
      </c>
      <c r="Q244" t="s">
        <v>27</v>
      </c>
      <c r="R244">
        <v>73</v>
      </c>
      <c r="S244">
        <v>184</v>
      </c>
      <c r="T244">
        <v>1</v>
      </c>
      <c r="U244" t="str" cm="1">
        <f t="array" ref="U244">_xlfn.IFS(smart_dataset[[#This Row],[Waiting_Time]]&lt;=20,"Low",smart_dataset[[#This Row],[Waiting_Time]]&lt;=40,"Medium",TRUE,"High")</f>
        <v>Low</v>
      </c>
      <c r="V244" t="str" cm="1">
        <f t="array" ref="V244">_xlfn.IFS(smart_dataset[[#This Row],[Temperature]]&lt;=20,"Cold",smart_dataset[[#This Row],[Temperature]]&lt;=28,"Normal",TRUE,"Hot")</f>
        <v>Normal</v>
      </c>
      <c r="W244" t="str" cm="1">
        <f t="array" ref="W244">_xlfn.IFS(smart_dataset[[#This Row],[Asset_Utilization]]&lt;=75,"Low",smart_dataset[[#This Row],[Asset_Utilization]]&lt;=90,"Medium",TRUE,"High")</f>
        <v>Low</v>
      </c>
    </row>
    <row r="245" spans="1:23" x14ac:dyDescent="0.25">
      <c r="A245" s="1">
        <v>45468.107800925929</v>
      </c>
      <c r="B245" s="1">
        <f>INT(smart_dataset[[#This Row],[Timestamp]])</f>
        <v>45468</v>
      </c>
      <c r="C245" s="7">
        <f>MOD(smart_dataset[[#This Row],[Timestamp]],1)</f>
        <v>0.10780092592904111</v>
      </c>
      <c r="D245">
        <f>YEAR(smart_dataset[[#This Row],[Date]])</f>
        <v>2024</v>
      </c>
      <c r="E245">
        <f>MONTH(smart_dataset[[#This Row],[Timestamp]])</f>
        <v>6</v>
      </c>
      <c r="F245" t="s">
        <v>25</v>
      </c>
      <c r="G245">
        <v>78.325199999999995</v>
      </c>
      <c r="H245">
        <v>15.2758</v>
      </c>
      <c r="I245">
        <v>421</v>
      </c>
      <c r="J245" t="s">
        <v>17</v>
      </c>
      <c r="K245">
        <v>26.3</v>
      </c>
      <c r="L245">
        <v>68.8</v>
      </c>
      <c r="M245" t="s">
        <v>22</v>
      </c>
      <c r="N245">
        <v>53</v>
      </c>
      <c r="O245">
        <v>128</v>
      </c>
      <c r="P245">
        <v>6</v>
      </c>
      <c r="Q245" t="s">
        <v>19</v>
      </c>
      <c r="R245">
        <v>76.599999999999994</v>
      </c>
      <c r="S245">
        <v>100</v>
      </c>
      <c r="T245">
        <v>1</v>
      </c>
      <c r="U245" t="str" cm="1">
        <f t="array" ref="U245">_xlfn.IFS(smart_dataset[[#This Row],[Waiting_Time]]&lt;=20,"Low",smart_dataset[[#This Row],[Waiting_Time]]&lt;=40,"Medium",TRUE,"High")</f>
        <v>High</v>
      </c>
      <c r="V245" t="str" cm="1">
        <f t="array" ref="V245">_xlfn.IFS(smart_dataset[[#This Row],[Temperature]]&lt;=20,"Cold",smart_dataset[[#This Row],[Temperature]]&lt;=28,"Normal",TRUE,"Hot")</f>
        <v>Normal</v>
      </c>
      <c r="W245" t="str" cm="1">
        <f t="array" ref="W245">_xlfn.IFS(smart_dataset[[#This Row],[Asset_Utilization]]&lt;=75,"Low",smart_dataset[[#This Row],[Asset_Utilization]]&lt;=90,"Medium",TRUE,"High")</f>
        <v>Medium</v>
      </c>
    </row>
    <row r="246" spans="1:23" hidden="1" x14ac:dyDescent="0.25">
      <c r="A246" s="1">
        <v>45439.217743055553</v>
      </c>
      <c r="B246" s="1">
        <f>INT(smart_dataset[[#This Row],[Timestamp]])</f>
        <v>45439</v>
      </c>
      <c r="C246" s="1">
        <f>MOD(smart_dataset[[#This Row],[Timestamp]],1)</f>
        <v>0.21774305555300089</v>
      </c>
      <c r="D246" s="1">
        <f>YEAR(smart_dataset[[#This Row],[Date]])</f>
        <v>2024</v>
      </c>
      <c r="E246" s="1">
        <f>MONTH(smart_dataset[[#This Row],[Timestamp]])</f>
        <v>5</v>
      </c>
      <c r="F246" t="s">
        <v>30</v>
      </c>
      <c r="G246">
        <v>-9.2286999999999999</v>
      </c>
      <c r="H246">
        <v>107.9306</v>
      </c>
      <c r="I246">
        <v>329</v>
      </c>
      <c r="J246" t="s">
        <v>26</v>
      </c>
      <c r="K246">
        <v>25</v>
      </c>
      <c r="L246">
        <v>51.2</v>
      </c>
      <c r="M246" t="s">
        <v>18</v>
      </c>
      <c r="N246">
        <v>53</v>
      </c>
      <c r="O246">
        <v>233</v>
      </c>
      <c r="P246">
        <v>5</v>
      </c>
      <c r="Q246" t="s">
        <v>31</v>
      </c>
      <c r="R246">
        <v>67.2</v>
      </c>
      <c r="S246">
        <v>188</v>
      </c>
      <c r="T246">
        <v>0</v>
      </c>
      <c r="U246" t="str" cm="1">
        <f t="array" ref="U246">_xlfn.IFS(smart_dataset[[#This Row],[Waiting_Time]]&lt;=20,"Low",smart_dataset[[#This Row],[Waiting_Time]]&lt;=40,"Medium",TRUE,"High")</f>
        <v>High</v>
      </c>
      <c r="V246" t="str" cm="1">
        <f t="array" ref="V246">_xlfn.IFS(smart_dataset[[#This Row],[Temperature]]&lt;=20,"Cold",smart_dataset[[#This Row],[Temperature]]&lt;=28,"Normal",TRUE,"Hot")</f>
        <v>Normal</v>
      </c>
      <c r="W246" t="str" cm="1">
        <f t="array" ref="W246">_xlfn.IFS(smart_dataset[[#This Row],[Asset_Utilization]]&lt;=75,"Low",smart_dataset[[#This Row],[Asset_Utilization]]&lt;=90,"Medium",TRUE,"High")</f>
        <v>Low</v>
      </c>
    </row>
    <row r="247" spans="1:23" x14ac:dyDescent="0.25">
      <c r="A247" s="1">
        <v>45318.045578703706</v>
      </c>
      <c r="B247" s="1">
        <f>INT(smart_dataset[[#This Row],[Timestamp]])</f>
        <v>45318</v>
      </c>
      <c r="C247" s="7">
        <f>MOD(smart_dataset[[#This Row],[Timestamp]],1)</f>
        <v>4.5578703706269152E-2</v>
      </c>
      <c r="D247">
        <f>YEAR(smart_dataset[[#This Row],[Date]])</f>
        <v>2024</v>
      </c>
      <c r="E247">
        <f>MONTH(smart_dataset[[#This Row],[Timestamp]])</f>
        <v>1</v>
      </c>
      <c r="F247" t="s">
        <v>24</v>
      </c>
      <c r="G247">
        <v>71.432699999999997</v>
      </c>
      <c r="H247">
        <v>127.3664</v>
      </c>
      <c r="I247">
        <v>284</v>
      </c>
      <c r="J247" t="s">
        <v>21</v>
      </c>
      <c r="K247">
        <v>22.1</v>
      </c>
      <c r="L247">
        <v>77.2</v>
      </c>
      <c r="M247" t="s">
        <v>22</v>
      </c>
      <c r="N247">
        <v>16</v>
      </c>
      <c r="O247">
        <v>226</v>
      </c>
      <c r="P247">
        <v>4</v>
      </c>
      <c r="Q247" t="s">
        <v>19</v>
      </c>
      <c r="R247">
        <v>95.8</v>
      </c>
      <c r="S247">
        <v>206</v>
      </c>
      <c r="T247">
        <v>1</v>
      </c>
      <c r="U247" t="str" cm="1">
        <f t="array" ref="U247">_xlfn.IFS(smart_dataset[[#This Row],[Waiting_Time]]&lt;=20,"Low",smart_dataset[[#This Row],[Waiting_Time]]&lt;=40,"Medium",TRUE,"High")</f>
        <v>Low</v>
      </c>
      <c r="V247" t="str" cm="1">
        <f t="array" ref="V247">_xlfn.IFS(smart_dataset[[#This Row],[Temperature]]&lt;=20,"Cold",smart_dataset[[#This Row],[Temperature]]&lt;=28,"Normal",TRUE,"Hot")</f>
        <v>Normal</v>
      </c>
      <c r="W247" t="str" cm="1">
        <f t="array" ref="W247">_xlfn.IFS(smart_dataset[[#This Row],[Asset_Utilization]]&lt;=75,"Low",smart_dataset[[#This Row],[Asset_Utilization]]&lt;=90,"Medium",TRUE,"High")</f>
        <v>High</v>
      </c>
    </row>
    <row r="248" spans="1:23" hidden="1" x14ac:dyDescent="0.25">
      <c r="A248" s="1">
        <v>45312.133275462962</v>
      </c>
      <c r="B248" s="1">
        <f>INT(smart_dataset[[#This Row],[Timestamp]])</f>
        <v>45312</v>
      </c>
      <c r="C248" s="1">
        <f>MOD(smart_dataset[[#This Row],[Timestamp]],1)</f>
        <v>0.13327546296204673</v>
      </c>
      <c r="D248" s="1">
        <f>YEAR(smart_dataset[[#This Row],[Date]])</f>
        <v>2024</v>
      </c>
      <c r="E248" s="1">
        <f>MONTH(smart_dataset[[#This Row],[Timestamp]])</f>
        <v>1</v>
      </c>
      <c r="F248" t="s">
        <v>30</v>
      </c>
      <c r="G248">
        <v>-84.004900000000006</v>
      </c>
      <c r="H248">
        <v>111.8327</v>
      </c>
      <c r="I248">
        <v>184</v>
      </c>
      <c r="J248" t="s">
        <v>17</v>
      </c>
      <c r="K248">
        <v>19.2</v>
      </c>
      <c r="L248">
        <v>59.8</v>
      </c>
      <c r="M248" t="s">
        <v>22</v>
      </c>
      <c r="N248">
        <v>23</v>
      </c>
      <c r="O248">
        <v>126</v>
      </c>
      <c r="P248">
        <v>4</v>
      </c>
      <c r="Q248" t="s">
        <v>31</v>
      </c>
      <c r="R248">
        <v>90.4</v>
      </c>
      <c r="S248">
        <v>200</v>
      </c>
      <c r="T248">
        <v>1</v>
      </c>
      <c r="U248" t="str" cm="1">
        <f t="array" ref="U248">_xlfn.IFS(smart_dataset[[#This Row],[Waiting_Time]]&lt;=20,"Low",smart_dataset[[#This Row],[Waiting_Time]]&lt;=40,"Medium",TRUE,"High")</f>
        <v>Medium</v>
      </c>
      <c r="V248" t="str" cm="1">
        <f t="array" ref="V248">_xlfn.IFS(smart_dataset[[#This Row],[Temperature]]&lt;=20,"Cold",smart_dataset[[#This Row],[Temperature]]&lt;=28,"Normal",TRUE,"Hot")</f>
        <v>Cold</v>
      </c>
      <c r="W248" t="str" cm="1">
        <f t="array" ref="W248">_xlfn.IFS(smart_dataset[[#This Row],[Asset_Utilization]]&lt;=75,"Low",smart_dataset[[#This Row],[Asset_Utilization]]&lt;=90,"Medium",TRUE,"High")</f>
        <v>High</v>
      </c>
    </row>
    <row r="249" spans="1:23" x14ac:dyDescent="0.25">
      <c r="A249" s="1">
        <v>45507.560034722221</v>
      </c>
      <c r="B249" s="1">
        <f>INT(smart_dataset[[#This Row],[Timestamp]])</f>
        <v>45507</v>
      </c>
      <c r="C249" s="7">
        <f>MOD(smart_dataset[[#This Row],[Timestamp]],1)</f>
        <v>0.56003472222073469</v>
      </c>
      <c r="D249">
        <f>YEAR(smart_dataset[[#This Row],[Date]])</f>
        <v>2024</v>
      </c>
      <c r="E249">
        <f>MONTH(smart_dataset[[#This Row],[Timestamp]])</f>
        <v>8</v>
      </c>
      <c r="F249" t="s">
        <v>34</v>
      </c>
      <c r="G249">
        <v>7.0778999999999996</v>
      </c>
      <c r="H249">
        <v>-165.136</v>
      </c>
      <c r="I249">
        <v>403</v>
      </c>
      <c r="J249" t="s">
        <v>26</v>
      </c>
      <c r="K249">
        <v>20.6</v>
      </c>
      <c r="L249">
        <v>66.099999999999994</v>
      </c>
      <c r="M249" t="s">
        <v>28</v>
      </c>
      <c r="N249">
        <v>15</v>
      </c>
      <c r="O249">
        <v>461</v>
      </c>
      <c r="P249">
        <v>4</v>
      </c>
      <c r="Q249" t="s">
        <v>19</v>
      </c>
      <c r="R249">
        <v>77.099999999999994</v>
      </c>
      <c r="S249">
        <v>263</v>
      </c>
      <c r="T249">
        <v>0</v>
      </c>
      <c r="U249" t="str" cm="1">
        <f t="array" ref="U249">_xlfn.IFS(smart_dataset[[#This Row],[Waiting_Time]]&lt;=20,"Low",smart_dataset[[#This Row],[Waiting_Time]]&lt;=40,"Medium",TRUE,"High")</f>
        <v>Low</v>
      </c>
      <c r="V249" t="str" cm="1">
        <f t="array" ref="V249">_xlfn.IFS(smart_dataset[[#This Row],[Temperature]]&lt;=20,"Cold",smart_dataset[[#This Row],[Temperature]]&lt;=28,"Normal",TRUE,"Hot")</f>
        <v>Normal</v>
      </c>
      <c r="W249" t="str" cm="1">
        <f t="array" ref="W249">_xlfn.IFS(smart_dataset[[#This Row],[Asset_Utilization]]&lt;=75,"Low",smart_dataset[[#This Row],[Asset_Utilization]]&lt;=90,"Medium",TRUE,"High")</f>
        <v>Medium</v>
      </c>
    </row>
    <row r="250" spans="1:23" x14ac:dyDescent="0.25">
      <c r="A250" s="1">
        <v>45448.756643518522</v>
      </c>
      <c r="B250" s="1">
        <f>INT(smart_dataset[[#This Row],[Timestamp]])</f>
        <v>45448</v>
      </c>
      <c r="C250" s="7">
        <f>MOD(smart_dataset[[#This Row],[Timestamp]],1)</f>
        <v>0.7566435185217415</v>
      </c>
      <c r="D250">
        <f>YEAR(smart_dataset[[#This Row],[Date]])</f>
        <v>2024</v>
      </c>
      <c r="E250">
        <f>MONTH(smart_dataset[[#This Row],[Timestamp]])</f>
        <v>6</v>
      </c>
      <c r="F250" t="s">
        <v>20</v>
      </c>
      <c r="G250">
        <v>-86.085800000000006</v>
      </c>
      <c r="H250">
        <v>117.86969999999999</v>
      </c>
      <c r="I250">
        <v>100</v>
      </c>
      <c r="J250" t="s">
        <v>21</v>
      </c>
      <c r="K250">
        <v>22.3</v>
      </c>
      <c r="L250">
        <v>72.3</v>
      </c>
      <c r="M250" t="s">
        <v>18</v>
      </c>
      <c r="N250">
        <v>43</v>
      </c>
      <c r="O250">
        <v>256</v>
      </c>
      <c r="P250">
        <v>5</v>
      </c>
      <c r="Q250" t="s">
        <v>19</v>
      </c>
      <c r="R250">
        <v>92.8</v>
      </c>
      <c r="S250">
        <v>101</v>
      </c>
      <c r="T250">
        <v>0</v>
      </c>
      <c r="U250" t="str" cm="1">
        <f t="array" ref="U250">_xlfn.IFS(smart_dataset[[#This Row],[Waiting_Time]]&lt;=20,"Low",smart_dataset[[#This Row],[Waiting_Time]]&lt;=40,"Medium",TRUE,"High")</f>
        <v>High</v>
      </c>
      <c r="V250" t="str" cm="1">
        <f t="array" ref="V250">_xlfn.IFS(smart_dataset[[#This Row],[Temperature]]&lt;=20,"Cold",smart_dataset[[#This Row],[Temperature]]&lt;=28,"Normal",TRUE,"Hot")</f>
        <v>Normal</v>
      </c>
      <c r="W250" t="str" cm="1">
        <f t="array" ref="W250">_xlfn.IFS(smart_dataset[[#This Row],[Asset_Utilization]]&lt;=75,"Low",smart_dataset[[#This Row],[Asset_Utilization]]&lt;=90,"Medium",TRUE,"High")</f>
        <v>High</v>
      </c>
    </row>
    <row r="251" spans="1:23" x14ac:dyDescent="0.25">
      <c r="A251" s="1">
        <v>45592.50644675926</v>
      </c>
      <c r="B251" s="1">
        <f>INT(smart_dataset[[#This Row],[Timestamp]])</f>
        <v>45592</v>
      </c>
      <c r="C251" s="7">
        <f>MOD(smart_dataset[[#This Row],[Timestamp]],1)</f>
        <v>0.50644675926014315</v>
      </c>
      <c r="D251">
        <f>YEAR(smart_dataset[[#This Row],[Date]])</f>
        <v>2024</v>
      </c>
      <c r="E251">
        <f>MONTH(smart_dataset[[#This Row],[Timestamp]])</f>
        <v>10</v>
      </c>
      <c r="F251" t="s">
        <v>33</v>
      </c>
      <c r="G251">
        <v>59.243200000000002</v>
      </c>
      <c r="H251">
        <v>175.9873</v>
      </c>
      <c r="I251">
        <v>135</v>
      </c>
      <c r="J251" t="s">
        <v>17</v>
      </c>
      <c r="K251">
        <v>18.899999999999999</v>
      </c>
      <c r="L251">
        <v>55.5</v>
      </c>
      <c r="M251" t="s">
        <v>22</v>
      </c>
      <c r="N251">
        <v>57</v>
      </c>
      <c r="O251">
        <v>162</v>
      </c>
      <c r="P251">
        <v>9</v>
      </c>
      <c r="Q251" t="s">
        <v>19</v>
      </c>
      <c r="R251">
        <v>75.3</v>
      </c>
      <c r="S251">
        <v>127</v>
      </c>
      <c r="T251">
        <v>1</v>
      </c>
      <c r="U251" t="str" cm="1">
        <f t="array" ref="U251">_xlfn.IFS(smart_dataset[[#This Row],[Waiting_Time]]&lt;=20,"Low",smart_dataset[[#This Row],[Waiting_Time]]&lt;=40,"Medium",TRUE,"High")</f>
        <v>High</v>
      </c>
      <c r="V251" t="str" cm="1">
        <f t="array" ref="V251">_xlfn.IFS(smart_dataset[[#This Row],[Temperature]]&lt;=20,"Cold",smart_dataset[[#This Row],[Temperature]]&lt;=28,"Normal",TRUE,"Hot")</f>
        <v>Cold</v>
      </c>
      <c r="W251" t="str" cm="1">
        <f t="array" ref="W251">_xlfn.IFS(smart_dataset[[#This Row],[Asset_Utilization]]&lt;=75,"Low",smart_dataset[[#This Row],[Asset_Utilization]]&lt;=90,"Medium",TRUE,"High")</f>
        <v>Medium</v>
      </c>
    </row>
    <row r="252" spans="1:23" hidden="1" x14ac:dyDescent="0.25">
      <c r="A252" s="1">
        <v>45587.603321759256</v>
      </c>
      <c r="B252" s="1">
        <f>INT(smart_dataset[[#This Row],[Timestamp]])</f>
        <v>45587</v>
      </c>
      <c r="C252" s="1">
        <f>MOD(smart_dataset[[#This Row],[Timestamp]],1)</f>
        <v>0.60332175925577758</v>
      </c>
      <c r="D252" s="1">
        <f>YEAR(smart_dataset[[#This Row],[Date]])</f>
        <v>2024</v>
      </c>
      <c r="E252" s="1">
        <f>MONTH(smart_dataset[[#This Row],[Timestamp]])</f>
        <v>10</v>
      </c>
      <c r="F252" t="s">
        <v>35</v>
      </c>
      <c r="G252">
        <v>-39.3003</v>
      </c>
      <c r="H252">
        <v>-121.6771</v>
      </c>
      <c r="I252">
        <v>220</v>
      </c>
      <c r="J252" t="s">
        <v>21</v>
      </c>
      <c r="K252">
        <v>25</v>
      </c>
      <c r="L252">
        <v>79</v>
      </c>
      <c r="M252" t="s">
        <v>22</v>
      </c>
      <c r="N252">
        <v>51</v>
      </c>
      <c r="O252">
        <v>481</v>
      </c>
      <c r="P252">
        <v>2</v>
      </c>
      <c r="Q252" t="s">
        <v>23</v>
      </c>
      <c r="R252">
        <v>64.3</v>
      </c>
      <c r="S252">
        <v>268</v>
      </c>
      <c r="T252">
        <v>1</v>
      </c>
      <c r="U252" t="str" cm="1">
        <f t="array" ref="U252">_xlfn.IFS(smart_dataset[[#This Row],[Waiting_Time]]&lt;=20,"Low",smart_dataset[[#This Row],[Waiting_Time]]&lt;=40,"Medium",TRUE,"High")</f>
        <v>High</v>
      </c>
      <c r="V252" t="str" cm="1">
        <f t="array" ref="V252">_xlfn.IFS(smart_dataset[[#This Row],[Temperature]]&lt;=20,"Cold",smart_dataset[[#This Row],[Temperature]]&lt;=28,"Normal",TRUE,"Hot")</f>
        <v>Normal</v>
      </c>
      <c r="W252" t="str" cm="1">
        <f t="array" ref="W252">_xlfn.IFS(smart_dataset[[#This Row],[Asset_Utilization]]&lt;=75,"Low",smart_dataset[[#This Row],[Asset_Utilization]]&lt;=90,"Medium",TRUE,"High")</f>
        <v>Low</v>
      </c>
    </row>
    <row r="253" spans="1:23" hidden="1" x14ac:dyDescent="0.25">
      <c r="A253" s="1">
        <v>45538.404143518521</v>
      </c>
      <c r="B253" s="1">
        <f>INT(smart_dataset[[#This Row],[Timestamp]])</f>
        <v>45538</v>
      </c>
      <c r="C253" s="1">
        <f>MOD(smart_dataset[[#This Row],[Timestamp]],1)</f>
        <v>0.40414351852086838</v>
      </c>
      <c r="D253" s="1">
        <f>YEAR(smart_dataset[[#This Row],[Date]])</f>
        <v>2024</v>
      </c>
      <c r="E253" s="1">
        <f>MONTH(smart_dataset[[#This Row],[Timestamp]])</f>
        <v>9</v>
      </c>
      <c r="F253" t="s">
        <v>32</v>
      </c>
      <c r="G253">
        <v>-83.671999999999997</v>
      </c>
      <c r="H253">
        <v>164.25219999999999</v>
      </c>
      <c r="I253">
        <v>318</v>
      </c>
      <c r="J253" t="s">
        <v>21</v>
      </c>
      <c r="K253">
        <v>29.8</v>
      </c>
      <c r="L253">
        <v>51.4</v>
      </c>
      <c r="M253" t="s">
        <v>28</v>
      </c>
      <c r="N253">
        <v>24</v>
      </c>
      <c r="O253">
        <v>216</v>
      </c>
      <c r="P253">
        <v>3</v>
      </c>
      <c r="Q253" t="s">
        <v>23</v>
      </c>
      <c r="R253">
        <v>83.8</v>
      </c>
      <c r="S253">
        <v>221</v>
      </c>
      <c r="T253">
        <v>0</v>
      </c>
      <c r="U253" t="str" cm="1">
        <f t="array" ref="U253">_xlfn.IFS(smart_dataset[[#This Row],[Waiting_Time]]&lt;=20,"Low",smart_dataset[[#This Row],[Waiting_Time]]&lt;=40,"Medium",TRUE,"High")</f>
        <v>Medium</v>
      </c>
      <c r="V253" t="str" cm="1">
        <f t="array" ref="V253">_xlfn.IFS(smart_dataset[[#This Row],[Temperature]]&lt;=20,"Cold",smart_dataset[[#This Row],[Temperature]]&lt;=28,"Normal",TRUE,"Hot")</f>
        <v>Hot</v>
      </c>
      <c r="W253" t="str" cm="1">
        <f t="array" ref="W253">_xlfn.IFS(smart_dataset[[#This Row],[Asset_Utilization]]&lt;=75,"Low",smart_dataset[[#This Row],[Asset_Utilization]]&lt;=90,"Medium",TRUE,"High")</f>
        <v>Medium</v>
      </c>
    </row>
    <row r="254" spans="1:23" hidden="1" x14ac:dyDescent="0.25">
      <c r="A254" s="1">
        <v>45294.472604166665</v>
      </c>
      <c r="B254" s="1">
        <f>INT(smart_dataset[[#This Row],[Timestamp]])</f>
        <v>45294</v>
      </c>
      <c r="C254" s="1">
        <f>MOD(smart_dataset[[#This Row],[Timestamp]],1)</f>
        <v>0.4726041666654055</v>
      </c>
      <c r="D254" s="1">
        <f>YEAR(smart_dataset[[#This Row],[Date]])</f>
        <v>2024</v>
      </c>
      <c r="E254" s="1">
        <f>MONTH(smart_dataset[[#This Row],[Timestamp]])</f>
        <v>1</v>
      </c>
      <c r="F254" t="s">
        <v>16</v>
      </c>
      <c r="G254">
        <v>5.9541000000000004</v>
      </c>
      <c r="H254">
        <v>-156.4873</v>
      </c>
      <c r="I254">
        <v>237</v>
      </c>
      <c r="J254" t="s">
        <v>26</v>
      </c>
      <c r="K254">
        <v>29.2</v>
      </c>
      <c r="L254">
        <v>56.2</v>
      </c>
      <c r="M254" t="s">
        <v>18</v>
      </c>
      <c r="N254">
        <v>15</v>
      </c>
      <c r="O254">
        <v>251</v>
      </c>
      <c r="P254">
        <v>3</v>
      </c>
      <c r="Q254" t="s">
        <v>23</v>
      </c>
      <c r="R254">
        <v>76.3</v>
      </c>
      <c r="S254">
        <v>198</v>
      </c>
      <c r="T254">
        <v>0</v>
      </c>
      <c r="U254" t="str" cm="1">
        <f t="array" ref="U254">_xlfn.IFS(smart_dataset[[#This Row],[Waiting_Time]]&lt;=20,"Low",smart_dataset[[#This Row],[Waiting_Time]]&lt;=40,"Medium",TRUE,"High")</f>
        <v>Low</v>
      </c>
      <c r="V254" t="str" cm="1">
        <f t="array" ref="V254">_xlfn.IFS(smart_dataset[[#This Row],[Temperature]]&lt;=20,"Cold",smart_dataset[[#This Row],[Temperature]]&lt;=28,"Normal",TRUE,"Hot")</f>
        <v>Hot</v>
      </c>
      <c r="W254" t="str" cm="1">
        <f t="array" ref="W254">_xlfn.IFS(smart_dataset[[#This Row],[Asset_Utilization]]&lt;=75,"Low",smart_dataset[[#This Row],[Asset_Utilization]]&lt;=90,"Medium",TRUE,"High")</f>
        <v>Medium</v>
      </c>
    </row>
    <row r="255" spans="1:23" x14ac:dyDescent="0.25">
      <c r="A255" s="1">
        <v>45454.985335648147</v>
      </c>
      <c r="B255" s="1">
        <f>INT(smart_dataset[[#This Row],[Timestamp]])</f>
        <v>45454</v>
      </c>
      <c r="C255" s="7">
        <f>MOD(smart_dataset[[#This Row],[Timestamp]],1)</f>
        <v>0.98533564814715646</v>
      </c>
      <c r="D255">
        <f>YEAR(smart_dataset[[#This Row],[Date]])</f>
        <v>2024</v>
      </c>
      <c r="E255">
        <f>MONTH(smart_dataset[[#This Row],[Timestamp]])</f>
        <v>6</v>
      </c>
      <c r="F255" t="s">
        <v>30</v>
      </c>
      <c r="G255">
        <v>-16.380400000000002</v>
      </c>
      <c r="H255">
        <v>-119.05459999999999</v>
      </c>
      <c r="I255">
        <v>459</v>
      </c>
      <c r="J255" t="s">
        <v>21</v>
      </c>
      <c r="K255">
        <v>27.2</v>
      </c>
      <c r="L255">
        <v>78.5</v>
      </c>
      <c r="M255" t="s">
        <v>22</v>
      </c>
      <c r="N255">
        <v>22</v>
      </c>
      <c r="O255">
        <v>323</v>
      </c>
      <c r="P255">
        <v>7</v>
      </c>
      <c r="Q255" t="s">
        <v>19</v>
      </c>
      <c r="R255">
        <v>87.3</v>
      </c>
      <c r="S255">
        <v>271</v>
      </c>
      <c r="T255">
        <v>1</v>
      </c>
      <c r="U255" t="str" cm="1">
        <f t="array" ref="U255">_xlfn.IFS(smart_dataset[[#This Row],[Waiting_Time]]&lt;=20,"Low",smart_dataset[[#This Row],[Waiting_Time]]&lt;=40,"Medium",TRUE,"High")</f>
        <v>Medium</v>
      </c>
      <c r="V255" t="str" cm="1">
        <f t="array" ref="V255">_xlfn.IFS(smart_dataset[[#This Row],[Temperature]]&lt;=20,"Cold",smart_dataset[[#This Row],[Temperature]]&lt;=28,"Normal",TRUE,"Hot")</f>
        <v>Normal</v>
      </c>
      <c r="W255" t="str" cm="1">
        <f t="array" ref="W255">_xlfn.IFS(smart_dataset[[#This Row],[Asset_Utilization]]&lt;=75,"Low",smart_dataset[[#This Row],[Asset_Utilization]]&lt;=90,"Medium",TRUE,"High")</f>
        <v>Medium</v>
      </c>
    </row>
    <row r="256" spans="1:23" hidden="1" x14ac:dyDescent="0.25">
      <c r="A256" s="1">
        <v>45295.98101851852</v>
      </c>
      <c r="B256" s="1">
        <f>INT(smart_dataset[[#This Row],[Timestamp]])</f>
        <v>45295</v>
      </c>
      <c r="C256" s="1">
        <f>MOD(smart_dataset[[#This Row],[Timestamp]],1)</f>
        <v>0.98101851851970423</v>
      </c>
      <c r="D256" s="1">
        <f>YEAR(smart_dataset[[#This Row],[Date]])</f>
        <v>2024</v>
      </c>
      <c r="E256" s="1">
        <f>MONTH(smart_dataset[[#This Row],[Timestamp]])</f>
        <v>1</v>
      </c>
      <c r="F256" t="s">
        <v>20</v>
      </c>
      <c r="G256">
        <v>-27.491299999999999</v>
      </c>
      <c r="H256">
        <v>-1.8571</v>
      </c>
      <c r="I256">
        <v>332</v>
      </c>
      <c r="J256" t="s">
        <v>21</v>
      </c>
      <c r="K256">
        <v>21.7</v>
      </c>
      <c r="L256">
        <v>58.9</v>
      </c>
      <c r="M256" t="s">
        <v>22</v>
      </c>
      <c r="N256">
        <v>33</v>
      </c>
      <c r="O256">
        <v>363</v>
      </c>
      <c r="P256">
        <v>6</v>
      </c>
      <c r="Q256" t="s">
        <v>23</v>
      </c>
      <c r="R256">
        <v>90.1</v>
      </c>
      <c r="S256">
        <v>131</v>
      </c>
      <c r="T256">
        <v>1</v>
      </c>
      <c r="U256" t="str" cm="1">
        <f t="array" ref="U256">_xlfn.IFS(smart_dataset[[#This Row],[Waiting_Time]]&lt;=20,"Low",smart_dataset[[#This Row],[Waiting_Time]]&lt;=40,"Medium",TRUE,"High")</f>
        <v>Medium</v>
      </c>
      <c r="V256" t="str" cm="1">
        <f t="array" ref="V256">_xlfn.IFS(smart_dataset[[#This Row],[Temperature]]&lt;=20,"Cold",smart_dataset[[#This Row],[Temperature]]&lt;=28,"Normal",TRUE,"Hot")</f>
        <v>Normal</v>
      </c>
      <c r="W256" t="str" cm="1">
        <f t="array" ref="W256">_xlfn.IFS(smart_dataset[[#This Row],[Asset_Utilization]]&lt;=75,"Low",smart_dataset[[#This Row],[Asset_Utilization]]&lt;=90,"Medium",TRUE,"High")</f>
        <v>High</v>
      </c>
    </row>
    <row r="257" spans="1:23" hidden="1" x14ac:dyDescent="0.25">
      <c r="A257" s="1">
        <v>45506.290520833332</v>
      </c>
      <c r="B257" s="1">
        <f>INT(smart_dataset[[#This Row],[Timestamp]])</f>
        <v>45506</v>
      </c>
      <c r="C257" s="1">
        <f>MOD(smart_dataset[[#This Row],[Timestamp]],1)</f>
        <v>0.29052083333226619</v>
      </c>
      <c r="D257" s="1">
        <f>YEAR(smart_dataset[[#This Row],[Date]])</f>
        <v>2024</v>
      </c>
      <c r="E257" s="1">
        <f>MONTH(smart_dataset[[#This Row],[Timestamp]])</f>
        <v>8</v>
      </c>
      <c r="F257" t="s">
        <v>32</v>
      </c>
      <c r="G257">
        <v>67.700199999999995</v>
      </c>
      <c r="H257">
        <v>43.853000000000002</v>
      </c>
      <c r="I257">
        <v>133</v>
      </c>
      <c r="J257" t="s">
        <v>21</v>
      </c>
      <c r="K257">
        <v>28.7</v>
      </c>
      <c r="L257">
        <v>69.5</v>
      </c>
      <c r="M257" t="s">
        <v>18</v>
      </c>
      <c r="N257">
        <v>57</v>
      </c>
      <c r="O257">
        <v>342</v>
      </c>
      <c r="P257">
        <v>6</v>
      </c>
      <c r="Q257" t="s">
        <v>27</v>
      </c>
      <c r="R257">
        <v>99.9</v>
      </c>
      <c r="S257">
        <v>261</v>
      </c>
      <c r="T257">
        <v>0</v>
      </c>
      <c r="U257" t="str" cm="1">
        <f t="array" ref="U257">_xlfn.IFS(smart_dataset[[#This Row],[Waiting_Time]]&lt;=20,"Low",smart_dataset[[#This Row],[Waiting_Time]]&lt;=40,"Medium",TRUE,"High")</f>
        <v>High</v>
      </c>
      <c r="V257" t="str" cm="1">
        <f t="array" ref="V257">_xlfn.IFS(smart_dataset[[#This Row],[Temperature]]&lt;=20,"Cold",smart_dataset[[#This Row],[Temperature]]&lt;=28,"Normal",TRUE,"Hot")</f>
        <v>Hot</v>
      </c>
      <c r="W257" t="str" cm="1">
        <f t="array" ref="W257">_xlfn.IFS(smart_dataset[[#This Row],[Asset_Utilization]]&lt;=75,"Low",smart_dataset[[#This Row],[Asset_Utilization]]&lt;=90,"Medium",TRUE,"High")</f>
        <v>High</v>
      </c>
    </row>
    <row r="258" spans="1:23" hidden="1" x14ac:dyDescent="0.25">
      <c r="A258" s="1">
        <v>45533.088379629633</v>
      </c>
      <c r="B258" s="1">
        <f>INT(smart_dataset[[#This Row],[Timestamp]])</f>
        <v>45533</v>
      </c>
      <c r="C258" s="1">
        <f>MOD(smart_dataset[[#This Row],[Timestamp]],1)</f>
        <v>8.837962963298196E-2</v>
      </c>
      <c r="D258" s="1">
        <f>YEAR(smart_dataset[[#This Row],[Date]])</f>
        <v>2024</v>
      </c>
      <c r="E258" s="1">
        <f>MONTH(smart_dataset[[#This Row],[Timestamp]])</f>
        <v>8</v>
      </c>
      <c r="F258" t="s">
        <v>32</v>
      </c>
      <c r="G258">
        <v>30.5045</v>
      </c>
      <c r="H258">
        <v>52.255899999999997</v>
      </c>
      <c r="I258">
        <v>499</v>
      </c>
      <c r="J258" t="s">
        <v>17</v>
      </c>
      <c r="K258">
        <v>18.3</v>
      </c>
      <c r="L258">
        <v>75.099999999999994</v>
      </c>
      <c r="M258" t="s">
        <v>28</v>
      </c>
      <c r="N258">
        <v>22</v>
      </c>
      <c r="O258">
        <v>251</v>
      </c>
      <c r="P258">
        <v>1</v>
      </c>
      <c r="Q258" t="s">
        <v>31</v>
      </c>
      <c r="R258">
        <v>79.2</v>
      </c>
      <c r="S258">
        <v>139</v>
      </c>
      <c r="T258">
        <v>1</v>
      </c>
      <c r="U258" t="str" cm="1">
        <f t="array" ref="U258">_xlfn.IFS(smart_dataset[[#This Row],[Waiting_Time]]&lt;=20,"Low",smart_dataset[[#This Row],[Waiting_Time]]&lt;=40,"Medium",TRUE,"High")</f>
        <v>Medium</v>
      </c>
      <c r="V258" t="str" cm="1">
        <f t="array" ref="V258">_xlfn.IFS(smart_dataset[[#This Row],[Temperature]]&lt;=20,"Cold",smart_dataset[[#This Row],[Temperature]]&lt;=28,"Normal",TRUE,"Hot")</f>
        <v>Cold</v>
      </c>
      <c r="W258" t="str" cm="1">
        <f t="array" ref="W258">_xlfn.IFS(smart_dataset[[#This Row],[Asset_Utilization]]&lt;=75,"Low",smart_dataset[[#This Row],[Asset_Utilization]]&lt;=90,"Medium",TRUE,"High")</f>
        <v>Medium</v>
      </c>
    </row>
    <row r="259" spans="1:23" x14ac:dyDescent="0.25">
      <c r="A259" s="1">
        <v>45344.751388888886</v>
      </c>
      <c r="B259" s="1">
        <f>INT(smart_dataset[[#This Row],[Timestamp]])</f>
        <v>45344</v>
      </c>
      <c r="C259" s="7">
        <f>MOD(smart_dataset[[#This Row],[Timestamp]],1)</f>
        <v>0.75138888888614019</v>
      </c>
      <c r="D259">
        <f>YEAR(smart_dataset[[#This Row],[Date]])</f>
        <v>2024</v>
      </c>
      <c r="E259">
        <f>MONTH(smart_dataset[[#This Row],[Timestamp]])</f>
        <v>2</v>
      </c>
      <c r="F259" t="s">
        <v>24</v>
      </c>
      <c r="G259">
        <v>4.8619000000000003</v>
      </c>
      <c r="H259">
        <v>61.422400000000003</v>
      </c>
      <c r="I259">
        <v>350</v>
      </c>
      <c r="J259" t="s">
        <v>26</v>
      </c>
      <c r="K259">
        <v>25.3</v>
      </c>
      <c r="L259">
        <v>71.2</v>
      </c>
      <c r="M259" t="s">
        <v>18</v>
      </c>
      <c r="N259">
        <v>19</v>
      </c>
      <c r="O259">
        <v>177</v>
      </c>
      <c r="P259">
        <v>1</v>
      </c>
      <c r="Q259" t="s">
        <v>19</v>
      </c>
      <c r="R259">
        <v>67</v>
      </c>
      <c r="S259">
        <v>209</v>
      </c>
      <c r="T259">
        <v>0</v>
      </c>
      <c r="U259" t="str" cm="1">
        <f t="array" ref="U259">_xlfn.IFS(smart_dataset[[#This Row],[Waiting_Time]]&lt;=20,"Low",smart_dataset[[#This Row],[Waiting_Time]]&lt;=40,"Medium",TRUE,"High")</f>
        <v>Low</v>
      </c>
      <c r="V259" t="str" cm="1">
        <f t="array" ref="V259">_xlfn.IFS(smart_dataset[[#This Row],[Temperature]]&lt;=20,"Cold",smart_dataset[[#This Row],[Temperature]]&lt;=28,"Normal",TRUE,"Hot")</f>
        <v>Normal</v>
      </c>
      <c r="W259" t="str" cm="1">
        <f t="array" ref="W259">_xlfn.IFS(smart_dataset[[#This Row],[Asset_Utilization]]&lt;=75,"Low",smart_dataset[[#This Row],[Asset_Utilization]]&lt;=90,"Medium",TRUE,"High")</f>
        <v>Low</v>
      </c>
    </row>
    <row r="260" spans="1:23" x14ac:dyDescent="0.25">
      <c r="A260" s="1">
        <v>45464.855254629627</v>
      </c>
      <c r="B260" s="1">
        <f>INT(smart_dataset[[#This Row],[Timestamp]])</f>
        <v>45464</v>
      </c>
      <c r="C260" s="7">
        <f>MOD(smart_dataset[[#This Row],[Timestamp]],1)</f>
        <v>0.85525462962687016</v>
      </c>
      <c r="D260">
        <f>YEAR(smart_dataset[[#This Row],[Date]])</f>
        <v>2024</v>
      </c>
      <c r="E260">
        <f>MONTH(smart_dataset[[#This Row],[Timestamp]])</f>
        <v>6</v>
      </c>
      <c r="F260" t="s">
        <v>16</v>
      </c>
      <c r="G260">
        <v>84.087199999999996</v>
      </c>
      <c r="H260">
        <v>85.238299999999995</v>
      </c>
      <c r="I260">
        <v>186</v>
      </c>
      <c r="J260" t="s">
        <v>17</v>
      </c>
      <c r="K260">
        <v>24.1</v>
      </c>
      <c r="L260">
        <v>72</v>
      </c>
      <c r="M260" t="s">
        <v>18</v>
      </c>
      <c r="N260">
        <v>26</v>
      </c>
      <c r="O260">
        <v>131</v>
      </c>
      <c r="P260">
        <v>4</v>
      </c>
      <c r="Q260" t="s">
        <v>19</v>
      </c>
      <c r="R260">
        <v>68.2</v>
      </c>
      <c r="S260">
        <v>189</v>
      </c>
      <c r="T260">
        <v>1</v>
      </c>
      <c r="U260" t="str" cm="1">
        <f t="array" ref="U260">_xlfn.IFS(smart_dataset[[#This Row],[Waiting_Time]]&lt;=20,"Low",smart_dataset[[#This Row],[Waiting_Time]]&lt;=40,"Medium",TRUE,"High")</f>
        <v>Medium</v>
      </c>
      <c r="V260" t="str" cm="1">
        <f t="array" ref="V260">_xlfn.IFS(smart_dataset[[#This Row],[Temperature]]&lt;=20,"Cold",smart_dataset[[#This Row],[Temperature]]&lt;=28,"Normal",TRUE,"Hot")</f>
        <v>Normal</v>
      </c>
      <c r="W260" t="str" cm="1">
        <f t="array" ref="W260">_xlfn.IFS(smart_dataset[[#This Row],[Asset_Utilization]]&lt;=75,"Low",smart_dataset[[#This Row],[Asset_Utilization]]&lt;=90,"Medium",TRUE,"High")</f>
        <v>Low</v>
      </c>
    </row>
    <row r="261" spans="1:23" hidden="1" x14ac:dyDescent="0.25">
      <c r="A261" s="1">
        <v>45318.650173611109</v>
      </c>
      <c r="B261" s="1">
        <f>INT(smart_dataset[[#This Row],[Timestamp]])</f>
        <v>45318</v>
      </c>
      <c r="C261" s="1">
        <f>MOD(smart_dataset[[#This Row],[Timestamp]],1)</f>
        <v>0.65017361110949423</v>
      </c>
      <c r="D261" s="1">
        <f>YEAR(smart_dataset[[#This Row],[Date]])</f>
        <v>2024</v>
      </c>
      <c r="E261" s="1">
        <f>MONTH(smart_dataset[[#This Row],[Timestamp]])</f>
        <v>1</v>
      </c>
      <c r="F261" t="s">
        <v>32</v>
      </c>
      <c r="G261">
        <v>11.5213</v>
      </c>
      <c r="H261">
        <v>-168.47409999999999</v>
      </c>
      <c r="I261">
        <v>403</v>
      </c>
      <c r="J261" t="s">
        <v>26</v>
      </c>
      <c r="K261">
        <v>23.1</v>
      </c>
      <c r="L261">
        <v>69.3</v>
      </c>
      <c r="M261" t="s">
        <v>18</v>
      </c>
      <c r="N261">
        <v>24</v>
      </c>
      <c r="O261">
        <v>487</v>
      </c>
      <c r="P261">
        <v>10</v>
      </c>
      <c r="Q261" t="s">
        <v>31</v>
      </c>
      <c r="R261">
        <v>69.599999999999994</v>
      </c>
      <c r="S261">
        <v>104</v>
      </c>
      <c r="T261">
        <v>0</v>
      </c>
      <c r="U261" t="str" cm="1">
        <f t="array" ref="U261">_xlfn.IFS(smart_dataset[[#This Row],[Waiting_Time]]&lt;=20,"Low",smart_dataset[[#This Row],[Waiting_Time]]&lt;=40,"Medium",TRUE,"High")</f>
        <v>Medium</v>
      </c>
      <c r="V261" t="str" cm="1">
        <f t="array" ref="V261">_xlfn.IFS(smart_dataset[[#This Row],[Temperature]]&lt;=20,"Cold",smart_dataset[[#This Row],[Temperature]]&lt;=28,"Normal",TRUE,"Hot")</f>
        <v>Normal</v>
      </c>
      <c r="W261" t="str" cm="1">
        <f t="array" ref="W261">_xlfn.IFS(smart_dataset[[#This Row],[Asset_Utilization]]&lt;=75,"Low",smart_dataset[[#This Row],[Asset_Utilization]]&lt;=90,"Medium",TRUE,"High")</f>
        <v>Low</v>
      </c>
    </row>
    <row r="262" spans="1:23" hidden="1" x14ac:dyDescent="0.25">
      <c r="A262" s="1">
        <v>45460.527928240743</v>
      </c>
      <c r="B262" s="1">
        <f>INT(smart_dataset[[#This Row],[Timestamp]])</f>
        <v>45460</v>
      </c>
      <c r="C262" s="1">
        <f>MOD(smart_dataset[[#This Row],[Timestamp]],1)</f>
        <v>0.52792824074276723</v>
      </c>
      <c r="D262" s="1">
        <f>YEAR(smart_dataset[[#This Row],[Date]])</f>
        <v>2024</v>
      </c>
      <c r="E262" s="1">
        <f>MONTH(smart_dataset[[#This Row],[Timestamp]])</f>
        <v>6</v>
      </c>
      <c r="F262" t="s">
        <v>20</v>
      </c>
      <c r="G262">
        <v>63.770099999999999</v>
      </c>
      <c r="H262">
        <v>163.26509999999999</v>
      </c>
      <c r="I262">
        <v>193</v>
      </c>
      <c r="J262" t="s">
        <v>17</v>
      </c>
      <c r="K262">
        <v>22.1</v>
      </c>
      <c r="L262">
        <v>68.2</v>
      </c>
      <c r="M262" t="s">
        <v>22</v>
      </c>
      <c r="N262">
        <v>29</v>
      </c>
      <c r="O262">
        <v>231</v>
      </c>
      <c r="P262">
        <v>3</v>
      </c>
      <c r="Q262" t="s">
        <v>23</v>
      </c>
      <c r="R262">
        <v>69.7</v>
      </c>
      <c r="S262">
        <v>198</v>
      </c>
      <c r="T262">
        <v>1</v>
      </c>
      <c r="U262" t="str" cm="1">
        <f t="array" ref="U262">_xlfn.IFS(smart_dataset[[#This Row],[Waiting_Time]]&lt;=20,"Low",smart_dataset[[#This Row],[Waiting_Time]]&lt;=40,"Medium",TRUE,"High")</f>
        <v>Medium</v>
      </c>
      <c r="V262" t="str" cm="1">
        <f t="array" ref="V262">_xlfn.IFS(smart_dataset[[#This Row],[Temperature]]&lt;=20,"Cold",smart_dataset[[#This Row],[Temperature]]&lt;=28,"Normal",TRUE,"Hot")</f>
        <v>Normal</v>
      </c>
      <c r="W262" t="str" cm="1">
        <f t="array" ref="W262">_xlfn.IFS(smart_dataset[[#This Row],[Asset_Utilization]]&lt;=75,"Low",smart_dataset[[#This Row],[Asset_Utilization]]&lt;=90,"Medium",TRUE,"High")</f>
        <v>Low</v>
      </c>
    </row>
    <row r="263" spans="1:23" hidden="1" x14ac:dyDescent="0.25">
      <c r="A263" s="1">
        <v>45382.604375000003</v>
      </c>
      <c r="B263" s="1">
        <f>INT(smart_dataset[[#This Row],[Timestamp]])</f>
        <v>45382</v>
      </c>
      <c r="C263" s="1">
        <f>MOD(smart_dataset[[#This Row],[Timestamp]],1)</f>
        <v>0.60437500000261934</v>
      </c>
      <c r="D263" s="1">
        <f>YEAR(smart_dataset[[#This Row],[Date]])</f>
        <v>2024</v>
      </c>
      <c r="E263" s="1">
        <f>MONTH(smart_dataset[[#This Row],[Timestamp]])</f>
        <v>3</v>
      </c>
      <c r="F263" t="s">
        <v>30</v>
      </c>
      <c r="G263">
        <v>57.575699999999998</v>
      </c>
      <c r="H263">
        <v>-35.043900000000001</v>
      </c>
      <c r="I263">
        <v>254</v>
      </c>
      <c r="J263" t="s">
        <v>26</v>
      </c>
      <c r="K263">
        <v>24</v>
      </c>
      <c r="L263">
        <v>78.599999999999994</v>
      </c>
      <c r="M263" t="s">
        <v>22</v>
      </c>
      <c r="N263">
        <v>24</v>
      </c>
      <c r="O263">
        <v>108</v>
      </c>
      <c r="P263">
        <v>3</v>
      </c>
      <c r="Q263" t="s">
        <v>23</v>
      </c>
      <c r="R263">
        <v>66.599999999999994</v>
      </c>
      <c r="S263">
        <v>219</v>
      </c>
      <c r="T263">
        <v>1</v>
      </c>
      <c r="U263" t="str" cm="1">
        <f t="array" ref="U263">_xlfn.IFS(smart_dataset[[#This Row],[Waiting_Time]]&lt;=20,"Low",smart_dataset[[#This Row],[Waiting_Time]]&lt;=40,"Medium",TRUE,"High")</f>
        <v>Medium</v>
      </c>
      <c r="V263" t="str" cm="1">
        <f t="array" ref="V263">_xlfn.IFS(smart_dataset[[#This Row],[Temperature]]&lt;=20,"Cold",smart_dataset[[#This Row],[Temperature]]&lt;=28,"Normal",TRUE,"Hot")</f>
        <v>Normal</v>
      </c>
      <c r="W263" t="str" cm="1">
        <f t="array" ref="W263">_xlfn.IFS(smart_dataset[[#This Row],[Asset_Utilization]]&lt;=75,"Low",smart_dataset[[#This Row],[Asset_Utilization]]&lt;=90,"Medium",TRUE,"High")</f>
        <v>Low</v>
      </c>
    </row>
    <row r="264" spans="1:23" hidden="1" x14ac:dyDescent="0.25">
      <c r="A264" s="1">
        <v>45374.340497685182</v>
      </c>
      <c r="B264" s="1">
        <f>INT(smart_dataset[[#This Row],[Timestamp]])</f>
        <v>45374</v>
      </c>
      <c r="C264" s="1">
        <f>MOD(smart_dataset[[#This Row],[Timestamp]],1)</f>
        <v>0.34049768518161727</v>
      </c>
      <c r="D264" s="1">
        <f>YEAR(smart_dataset[[#This Row],[Date]])</f>
        <v>2024</v>
      </c>
      <c r="E264" s="1">
        <f>MONTH(smart_dataset[[#This Row],[Timestamp]])</f>
        <v>3</v>
      </c>
      <c r="F264" t="s">
        <v>25</v>
      </c>
      <c r="G264">
        <v>-66.600899999999996</v>
      </c>
      <c r="H264">
        <v>-11.7155</v>
      </c>
      <c r="I264">
        <v>368</v>
      </c>
      <c r="J264" t="s">
        <v>26</v>
      </c>
      <c r="K264">
        <v>26.1</v>
      </c>
      <c r="L264">
        <v>71</v>
      </c>
      <c r="M264" t="s">
        <v>28</v>
      </c>
      <c r="N264">
        <v>58</v>
      </c>
      <c r="O264">
        <v>336</v>
      </c>
      <c r="P264">
        <v>2</v>
      </c>
      <c r="Q264" t="s">
        <v>31</v>
      </c>
      <c r="R264">
        <v>86.5</v>
      </c>
      <c r="S264">
        <v>259</v>
      </c>
      <c r="T264">
        <v>0</v>
      </c>
      <c r="U264" t="str" cm="1">
        <f t="array" ref="U264">_xlfn.IFS(smart_dataset[[#This Row],[Waiting_Time]]&lt;=20,"Low",smart_dataset[[#This Row],[Waiting_Time]]&lt;=40,"Medium",TRUE,"High")</f>
        <v>High</v>
      </c>
      <c r="V264" t="str" cm="1">
        <f t="array" ref="V264">_xlfn.IFS(smart_dataset[[#This Row],[Temperature]]&lt;=20,"Cold",smart_dataset[[#This Row],[Temperature]]&lt;=28,"Normal",TRUE,"Hot")</f>
        <v>Normal</v>
      </c>
      <c r="W264" t="str" cm="1">
        <f t="array" ref="W264">_xlfn.IFS(smart_dataset[[#This Row],[Asset_Utilization]]&lt;=75,"Low",smart_dataset[[#This Row],[Asset_Utilization]]&lt;=90,"Medium",TRUE,"High")</f>
        <v>Medium</v>
      </c>
    </row>
    <row r="265" spans="1:23" hidden="1" x14ac:dyDescent="0.25">
      <c r="A265" s="1">
        <v>45567.633333333331</v>
      </c>
      <c r="B265" s="1">
        <f>INT(smart_dataset[[#This Row],[Timestamp]])</f>
        <v>45567</v>
      </c>
      <c r="C265" s="1">
        <f>MOD(smart_dataset[[#This Row],[Timestamp]],1)</f>
        <v>0.63333333333139308</v>
      </c>
      <c r="D265" s="1">
        <f>YEAR(smart_dataset[[#This Row],[Date]])</f>
        <v>2024</v>
      </c>
      <c r="E265" s="1">
        <f>MONTH(smart_dataset[[#This Row],[Timestamp]])</f>
        <v>10</v>
      </c>
      <c r="F265" t="s">
        <v>20</v>
      </c>
      <c r="G265">
        <v>18.754999999999999</v>
      </c>
      <c r="H265">
        <v>-46.887099999999997</v>
      </c>
      <c r="I265">
        <v>283</v>
      </c>
      <c r="J265" t="s">
        <v>17</v>
      </c>
      <c r="K265">
        <v>28.5</v>
      </c>
      <c r="L265">
        <v>50.7</v>
      </c>
      <c r="M265" t="s">
        <v>18</v>
      </c>
      <c r="N265">
        <v>11</v>
      </c>
      <c r="O265">
        <v>495</v>
      </c>
      <c r="P265">
        <v>10</v>
      </c>
      <c r="Q265" t="s">
        <v>23</v>
      </c>
      <c r="R265">
        <v>88.1</v>
      </c>
      <c r="S265">
        <v>200</v>
      </c>
      <c r="T265">
        <v>1</v>
      </c>
      <c r="U265" t="str" cm="1">
        <f t="array" ref="U265">_xlfn.IFS(smart_dataset[[#This Row],[Waiting_Time]]&lt;=20,"Low",smart_dataset[[#This Row],[Waiting_Time]]&lt;=40,"Medium",TRUE,"High")</f>
        <v>Low</v>
      </c>
      <c r="V265" t="str" cm="1">
        <f t="array" ref="V265">_xlfn.IFS(smart_dataset[[#This Row],[Temperature]]&lt;=20,"Cold",smart_dataset[[#This Row],[Temperature]]&lt;=28,"Normal",TRUE,"Hot")</f>
        <v>Hot</v>
      </c>
      <c r="W265" t="str" cm="1">
        <f t="array" ref="W265">_xlfn.IFS(smart_dataset[[#This Row],[Asset_Utilization]]&lt;=75,"Low",smart_dataset[[#This Row],[Asset_Utilization]]&lt;=90,"Medium",TRUE,"High")</f>
        <v>Medium</v>
      </c>
    </row>
    <row r="266" spans="1:23" hidden="1" x14ac:dyDescent="0.25">
      <c r="A266" s="1">
        <v>45501.775057870371</v>
      </c>
      <c r="B266" s="1">
        <f>INT(smart_dataset[[#This Row],[Timestamp]])</f>
        <v>45501</v>
      </c>
      <c r="C266" s="1">
        <f>MOD(smart_dataset[[#This Row],[Timestamp]],1)</f>
        <v>0.77505787037080154</v>
      </c>
      <c r="D266" s="1">
        <f>YEAR(smart_dataset[[#This Row],[Date]])</f>
        <v>2024</v>
      </c>
      <c r="E266" s="1">
        <f>MONTH(smart_dataset[[#This Row],[Timestamp]])</f>
        <v>7</v>
      </c>
      <c r="F266" t="s">
        <v>24</v>
      </c>
      <c r="G266">
        <v>50.357399999999998</v>
      </c>
      <c r="H266">
        <v>128.56180000000001</v>
      </c>
      <c r="I266">
        <v>164</v>
      </c>
      <c r="J266" t="s">
        <v>26</v>
      </c>
      <c r="K266">
        <v>25.5</v>
      </c>
      <c r="L266">
        <v>67.599999999999994</v>
      </c>
      <c r="M266" t="s">
        <v>22</v>
      </c>
      <c r="N266">
        <v>20</v>
      </c>
      <c r="O266">
        <v>188</v>
      </c>
      <c r="P266">
        <v>7</v>
      </c>
      <c r="Q266" t="s">
        <v>31</v>
      </c>
      <c r="R266">
        <v>60.1</v>
      </c>
      <c r="S266">
        <v>268</v>
      </c>
      <c r="T266">
        <v>1</v>
      </c>
      <c r="U266" t="str" cm="1">
        <f t="array" ref="U266">_xlfn.IFS(smart_dataset[[#This Row],[Waiting_Time]]&lt;=20,"Low",smart_dataset[[#This Row],[Waiting_Time]]&lt;=40,"Medium",TRUE,"High")</f>
        <v>Low</v>
      </c>
      <c r="V266" t="str" cm="1">
        <f t="array" ref="V266">_xlfn.IFS(smart_dataset[[#This Row],[Temperature]]&lt;=20,"Cold",smart_dataset[[#This Row],[Temperature]]&lt;=28,"Normal",TRUE,"Hot")</f>
        <v>Normal</v>
      </c>
      <c r="W266" t="str" cm="1">
        <f t="array" ref="W266">_xlfn.IFS(smart_dataset[[#This Row],[Asset_Utilization]]&lt;=75,"Low",smart_dataset[[#This Row],[Asset_Utilization]]&lt;=90,"Medium",TRUE,"High")</f>
        <v>Low</v>
      </c>
    </row>
    <row r="267" spans="1:23" hidden="1" x14ac:dyDescent="0.25">
      <c r="A267" s="1">
        <v>45302.638807870368</v>
      </c>
      <c r="B267" s="1">
        <f>INT(smart_dataset[[#This Row],[Timestamp]])</f>
        <v>45302</v>
      </c>
      <c r="C267" s="1">
        <f>MOD(smart_dataset[[#This Row],[Timestamp]],1)</f>
        <v>0.63880787036760012</v>
      </c>
      <c r="D267" s="1">
        <f>YEAR(smart_dataset[[#This Row],[Date]])</f>
        <v>2024</v>
      </c>
      <c r="E267" s="1">
        <f>MONTH(smart_dataset[[#This Row],[Timestamp]])</f>
        <v>1</v>
      </c>
      <c r="F267" t="s">
        <v>34</v>
      </c>
      <c r="G267">
        <v>46.9009</v>
      </c>
      <c r="H267">
        <v>3.7490000000000001</v>
      </c>
      <c r="I267">
        <v>419</v>
      </c>
      <c r="J267" t="s">
        <v>26</v>
      </c>
      <c r="K267">
        <v>22.1</v>
      </c>
      <c r="L267">
        <v>74.7</v>
      </c>
      <c r="M267" t="s">
        <v>18</v>
      </c>
      <c r="N267">
        <v>31</v>
      </c>
      <c r="O267">
        <v>236</v>
      </c>
      <c r="P267">
        <v>10</v>
      </c>
      <c r="Q267" t="s">
        <v>27</v>
      </c>
      <c r="R267">
        <v>95.9</v>
      </c>
      <c r="S267">
        <v>182</v>
      </c>
      <c r="T267">
        <v>0</v>
      </c>
      <c r="U267" t="str" cm="1">
        <f t="array" ref="U267">_xlfn.IFS(smart_dataset[[#This Row],[Waiting_Time]]&lt;=20,"Low",smart_dataset[[#This Row],[Waiting_Time]]&lt;=40,"Medium",TRUE,"High")</f>
        <v>Medium</v>
      </c>
      <c r="V267" t="str" cm="1">
        <f t="array" ref="V267">_xlfn.IFS(smart_dataset[[#This Row],[Temperature]]&lt;=20,"Cold",smart_dataset[[#This Row],[Temperature]]&lt;=28,"Normal",TRUE,"Hot")</f>
        <v>Normal</v>
      </c>
      <c r="W267" t="str" cm="1">
        <f t="array" ref="W267">_xlfn.IFS(smart_dataset[[#This Row],[Asset_Utilization]]&lt;=75,"Low",smart_dataset[[#This Row],[Asset_Utilization]]&lt;=90,"Medium",TRUE,"High")</f>
        <v>High</v>
      </c>
    </row>
    <row r="268" spans="1:23" x14ac:dyDescent="0.25">
      <c r="A268" s="1">
        <v>45654.787164351852</v>
      </c>
      <c r="B268" s="1">
        <f>INT(smart_dataset[[#This Row],[Timestamp]])</f>
        <v>45654</v>
      </c>
      <c r="C268" s="7">
        <f>MOD(smart_dataset[[#This Row],[Timestamp]],1)</f>
        <v>0.78716435185197042</v>
      </c>
      <c r="D268">
        <f>YEAR(smart_dataset[[#This Row],[Date]])</f>
        <v>2024</v>
      </c>
      <c r="E268">
        <f>MONTH(smart_dataset[[#This Row],[Timestamp]])</f>
        <v>12</v>
      </c>
      <c r="F268" t="s">
        <v>25</v>
      </c>
      <c r="G268">
        <v>17.5319</v>
      </c>
      <c r="H268">
        <v>-65.076499999999996</v>
      </c>
      <c r="I268">
        <v>489</v>
      </c>
      <c r="J268" t="s">
        <v>26</v>
      </c>
      <c r="K268">
        <v>25</v>
      </c>
      <c r="L268">
        <v>69.400000000000006</v>
      </c>
      <c r="M268" t="s">
        <v>28</v>
      </c>
      <c r="N268">
        <v>30</v>
      </c>
      <c r="O268">
        <v>345</v>
      </c>
      <c r="P268">
        <v>8</v>
      </c>
      <c r="Q268" t="s">
        <v>19</v>
      </c>
      <c r="R268">
        <v>66.099999999999994</v>
      </c>
      <c r="S268">
        <v>128</v>
      </c>
      <c r="T268">
        <v>0</v>
      </c>
      <c r="U268" t="str" cm="1">
        <f t="array" ref="U268">_xlfn.IFS(smart_dataset[[#This Row],[Waiting_Time]]&lt;=20,"Low",smart_dataset[[#This Row],[Waiting_Time]]&lt;=40,"Medium",TRUE,"High")</f>
        <v>Medium</v>
      </c>
      <c r="V268" t="str" cm="1">
        <f t="array" ref="V268">_xlfn.IFS(smart_dataset[[#This Row],[Temperature]]&lt;=20,"Cold",smart_dataset[[#This Row],[Temperature]]&lt;=28,"Normal",TRUE,"Hot")</f>
        <v>Normal</v>
      </c>
      <c r="W268" t="str" cm="1">
        <f t="array" ref="W268">_xlfn.IFS(smart_dataset[[#This Row],[Asset_Utilization]]&lt;=75,"Low",smart_dataset[[#This Row],[Asset_Utilization]]&lt;=90,"Medium",TRUE,"High")</f>
        <v>Low</v>
      </c>
    </row>
    <row r="269" spans="1:23" hidden="1" x14ac:dyDescent="0.25">
      <c r="A269" s="1">
        <v>45542.534907407404</v>
      </c>
      <c r="B269" s="1">
        <f>INT(smart_dataset[[#This Row],[Timestamp]])</f>
        <v>45542</v>
      </c>
      <c r="C269" s="1">
        <f>MOD(smart_dataset[[#This Row],[Timestamp]],1)</f>
        <v>0.53490740740380716</v>
      </c>
      <c r="D269" s="1">
        <f>YEAR(smart_dataset[[#This Row],[Date]])</f>
        <v>2024</v>
      </c>
      <c r="E269" s="1">
        <f>MONTH(smart_dataset[[#This Row],[Timestamp]])</f>
        <v>9</v>
      </c>
      <c r="F269" t="s">
        <v>30</v>
      </c>
      <c r="G269">
        <v>4.8304999999999998</v>
      </c>
      <c r="H269">
        <v>-6.5757000000000003</v>
      </c>
      <c r="I269">
        <v>498</v>
      </c>
      <c r="J269" t="s">
        <v>17</v>
      </c>
      <c r="K269">
        <v>20.2</v>
      </c>
      <c r="L269">
        <v>55</v>
      </c>
      <c r="M269" t="s">
        <v>28</v>
      </c>
      <c r="N269">
        <v>51</v>
      </c>
      <c r="O269">
        <v>147</v>
      </c>
      <c r="P269">
        <v>8</v>
      </c>
      <c r="Q269" t="s">
        <v>23</v>
      </c>
      <c r="R269">
        <v>97.7</v>
      </c>
      <c r="S269">
        <v>247</v>
      </c>
      <c r="T269">
        <v>1</v>
      </c>
      <c r="U269" t="str" cm="1">
        <f t="array" ref="U269">_xlfn.IFS(smart_dataset[[#This Row],[Waiting_Time]]&lt;=20,"Low",smart_dataset[[#This Row],[Waiting_Time]]&lt;=40,"Medium",TRUE,"High")</f>
        <v>High</v>
      </c>
      <c r="V269" t="str" cm="1">
        <f t="array" ref="V269">_xlfn.IFS(smart_dataset[[#This Row],[Temperature]]&lt;=20,"Cold",smart_dataset[[#This Row],[Temperature]]&lt;=28,"Normal",TRUE,"Hot")</f>
        <v>Normal</v>
      </c>
      <c r="W269" t="str" cm="1">
        <f t="array" ref="W269">_xlfn.IFS(smart_dataset[[#This Row],[Asset_Utilization]]&lt;=75,"Low",smart_dataset[[#This Row],[Asset_Utilization]]&lt;=90,"Medium",TRUE,"High")</f>
        <v>High</v>
      </c>
    </row>
    <row r="270" spans="1:23" hidden="1" x14ac:dyDescent="0.25">
      <c r="A270" s="1">
        <v>45635.468773148146</v>
      </c>
      <c r="B270" s="1">
        <f>INT(smart_dataset[[#This Row],[Timestamp]])</f>
        <v>45635</v>
      </c>
      <c r="C270" s="1">
        <f>MOD(smart_dataset[[#This Row],[Timestamp]],1)</f>
        <v>0.46877314814628335</v>
      </c>
      <c r="D270" s="1">
        <f>YEAR(smart_dataset[[#This Row],[Date]])</f>
        <v>2024</v>
      </c>
      <c r="E270" s="1">
        <f>MONTH(smart_dataset[[#This Row],[Timestamp]])</f>
        <v>12</v>
      </c>
      <c r="F270" t="s">
        <v>24</v>
      </c>
      <c r="G270">
        <v>38.8917</v>
      </c>
      <c r="H270">
        <v>-38.803199999999997</v>
      </c>
      <c r="I270">
        <v>244</v>
      </c>
      <c r="J270" t="s">
        <v>17</v>
      </c>
      <c r="K270">
        <v>21.2</v>
      </c>
      <c r="L270">
        <v>61.8</v>
      </c>
      <c r="M270" t="s">
        <v>18</v>
      </c>
      <c r="N270">
        <v>24</v>
      </c>
      <c r="O270">
        <v>181</v>
      </c>
      <c r="P270">
        <v>2</v>
      </c>
      <c r="Q270" t="s">
        <v>27</v>
      </c>
      <c r="R270">
        <v>70.099999999999994</v>
      </c>
      <c r="S270">
        <v>238</v>
      </c>
      <c r="T270">
        <v>1</v>
      </c>
      <c r="U270" t="str" cm="1">
        <f t="array" ref="U270">_xlfn.IFS(smart_dataset[[#This Row],[Waiting_Time]]&lt;=20,"Low",smart_dataset[[#This Row],[Waiting_Time]]&lt;=40,"Medium",TRUE,"High")</f>
        <v>Medium</v>
      </c>
      <c r="V270" t="str" cm="1">
        <f t="array" ref="V270">_xlfn.IFS(smart_dataset[[#This Row],[Temperature]]&lt;=20,"Cold",smart_dataset[[#This Row],[Temperature]]&lt;=28,"Normal",TRUE,"Hot")</f>
        <v>Normal</v>
      </c>
      <c r="W270" t="str" cm="1">
        <f t="array" ref="W270">_xlfn.IFS(smart_dataset[[#This Row],[Asset_Utilization]]&lt;=75,"Low",smart_dataset[[#This Row],[Asset_Utilization]]&lt;=90,"Medium",TRUE,"High")</f>
        <v>Low</v>
      </c>
    </row>
    <row r="271" spans="1:23" hidden="1" x14ac:dyDescent="0.25">
      <c r="A271" s="1">
        <v>45570.773611111108</v>
      </c>
      <c r="B271" s="1">
        <f>INT(smart_dataset[[#This Row],[Timestamp]])</f>
        <v>45570</v>
      </c>
      <c r="C271" s="1">
        <f>MOD(smart_dataset[[#This Row],[Timestamp]],1)</f>
        <v>0.77361111110803904</v>
      </c>
      <c r="D271" s="1">
        <f>YEAR(smart_dataset[[#This Row],[Date]])</f>
        <v>2024</v>
      </c>
      <c r="E271" s="1">
        <f>MONTH(smart_dataset[[#This Row],[Timestamp]])</f>
        <v>10</v>
      </c>
      <c r="F271" t="s">
        <v>29</v>
      </c>
      <c r="G271">
        <v>-20.048200000000001</v>
      </c>
      <c r="H271">
        <v>-83.691500000000005</v>
      </c>
      <c r="I271">
        <v>488</v>
      </c>
      <c r="J271" t="s">
        <v>26</v>
      </c>
      <c r="K271">
        <v>21.5</v>
      </c>
      <c r="L271">
        <v>50.3</v>
      </c>
      <c r="M271" t="s">
        <v>22</v>
      </c>
      <c r="N271">
        <v>32</v>
      </c>
      <c r="O271">
        <v>120</v>
      </c>
      <c r="P271">
        <v>1</v>
      </c>
      <c r="Q271" t="s">
        <v>31</v>
      </c>
      <c r="R271">
        <v>79.099999999999994</v>
      </c>
      <c r="S271">
        <v>111</v>
      </c>
      <c r="T271">
        <v>1</v>
      </c>
      <c r="U271" t="str" cm="1">
        <f t="array" ref="U271">_xlfn.IFS(smart_dataset[[#This Row],[Waiting_Time]]&lt;=20,"Low",smart_dataset[[#This Row],[Waiting_Time]]&lt;=40,"Medium",TRUE,"High")</f>
        <v>Medium</v>
      </c>
      <c r="V271" t="str" cm="1">
        <f t="array" ref="V271">_xlfn.IFS(smart_dataset[[#This Row],[Temperature]]&lt;=20,"Cold",smart_dataset[[#This Row],[Temperature]]&lt;=28,"Normal",TRUE,"Hot")</f>
        <v>Normal</v>
      </c>
      <c r="W271" t="str" cm="1">
        <f t="array" ref="W271">_xlfn.IFS(smart_dataset[[#This Row],[Asset_Utilization]]&lt;=75,"Low",smart_dataset[[#This Row],[Asset_Utilization]]&lt;=90,"Medium",TRUE,"High")</f>
        <v>Medium</v>
      </c>
    </row>
    <row r="272" spans="1:23" x14ac:dyDescent="0.25">
      <c r="A272" s="1">
        <v>45404.455081018517</v>
      </c>
      <c r="B272" s="1">
        <f>INT(smart_dataset[[#This Row],[Timestamp]])</f>
        <v>45404</v>
      </c>
      <c r="C272" s="7">
        <f>MOD(smart_dataset[[#This Row],[Timestamp]],1)</f>
        <v>0.45508101851737592</v>
      </c>
      <c r="D272">
        <f>YEAR(smart_dataset[[#This Row],[Date]])</f>
        <v>2024</v>
      </c>
      <c r="E272">
        <f>MONTH(smart_dataset[[#This Row],[Timestamp]])</f>
        <v>4</v>
      </c>
      <c r="F272" t="s">
        <v>25</v>
      </c>
      <c r="G272">
        <v>-83.253399999999999</v>
      </c>
      <c r="H272">
        <v>-166.33090000000001</v>
      </c>
      <c r="I272">
        <v>152</v>
      </c>
      <c r="J272" t="s">
        <v>17</v>
      </c>
      <c r="K272">
        <v>21.2</v>
      </c>
      <c r="L272">
        <v>70.3</v>
      </c>
      <c r="M272" t="s">
        <v>28</v>
      </c>
      <c r="N272">
        <v>10</v>
      </c>
      <c r="O272">
        <v>467</v>
      </c>
      <c r="P272">
        <v>10</v>
      </c>
      <c r="Q272" t="s">
        <v>19</v>
      </c>
      <c r="R272">
        <v>61.5</v>
      </c>
      <c r="S272">
        <v>269</v>
      </c>
      <c r="T272">
        <v>1</v>
      </c>
      <c r="U272" t="str" cm="1">
        <f t="array" ref="U272">_xlfn.IFS(smart_dataset[[#This Row],[Waiting_Time]]&lt;=20,"Low",smart_dataset[[#This Row],[Waiting_Time]]&lt;=40,"Medium",TRUE,"High")</f>
        <v>Low</v>
      </c>
      <c r="V272" t="str" cm="1">
        <f t="array" ref="V272">_xlfn.IFS(smart_dataset[[#This Row],[Temperature]]&lt;=20,"Cold",smart_dataset[[#This Row],[Temperature]]&lt;=28,"Normal",TRUE,"Hot")</f>
        <v>Normal</v>
      </c>
      <c r="W272" t="str" cm="1">
        <f t="array" ref="W272">_xlfn.IFS(smart_dataset[[#This Row],[Asset_Utilization]]&lt;=75,"Low",smart_dataset[[#This Row],[Asset_Utilization]]&lt;=90,"Medium",TRUE,"High")</f>
        <v>Low</v>
      </c>
    </row>
    <row r="273" spans="1:23" hidden="1" x14ac:dyDescent="0.25">
      <c r="A273" s="1">
        <v>45349.906805555554</v>
      </c>
      <c r="B273" s="1">
        <f>INT(smart_dataset[[#This Row],[Timestamp]])</f>
        <v>45349</v>
      </c>
      <c r="C273" s="1">
        <f>MOD(smart_dataset[[#This Row],[Timestamp]],1)</f>
        <v>0.90680555555445608</v>
      </c>
      <c r="D273" s="1">
        <f>YEAR(smart_dataset[[#This Row],[Date]])</f>
        <v>2024</v>
      </c>
      <c r="E273" s="1">
        <f>MONTH(smart_dataset[[#This Row],[Timestamp]])</f>
        <v>2</v>
      </c>
      <c r="F273" t="s">
        <v>24</v>
      </c>
      <c r="G273">
        <v>-4.8643000000000001</v>
      </c>
      <c r="H273">
        <v>75.430400000000006</v>
      </c>
      <c r="I273">
        <v>168</v>
      </c>
      <c r="J273" t="s">
        <v>17</v>
      </c>
      <c r="K273">
        <v>23.2</v>
      </c>
      <c r="L273">
        <v>71.5</v>
      </c>
      <c r="M273" t="s">
        <v>28</v>
      </c>
      <c r="N273">
        <v>23</v>
      </c>
      <c r="O273">
        <v>292</v>
      </c>
      <c r="P273">
        <v>3</v>
      </c>
      <c r="Q273" t="s">
        <v>27</v>
      </c>
      <c r="R273">
        <v>98.8</v>
      </c>
      <c r="S273">
        <v>102</v>
      </c>
      <c r="T273">
        <v>1</v>
      </c>
      <c r="U273" t="str" cm="1">
        <f t="array" ref="U273">_xlfn.IFS(smart_dataset[[#This Row],[Waiting_Time]]&lt;=20,"Low",smart_dataset[[#This Row],[Waiting_Time]]&lt;=40,"Medium",TRUE,"High")</f>
        <v>Medium</v>
      </c>
      <c r="V273" t="str" cm="1">
        <f t="array" ref="V273">_xlfn.IFS(smart_dataset[[#This Row],[Temperature]]&lt;=20,"Cold",smart_dataset[[#This Row],[Temperature]]&lt;=28,"Normal",TRUE,"Hot")</f>
        <v>Normal</v>
      </c>
      <c r="W273" t="str" cm="1">
        <f t="array" ref="W273">_xlfn.IFS(smart_dataset[[#This Row],[Asset_Utilization]]&lt;=75,"Low",smart_dataset[[#This Row],[Asset_Utilization]]&lt;=90,"Medium",TRUE,"High")</f>
        <v>High</v>
      </c>
    </row>
    <row r="274" spans="1:23" hidden="1" x14ac:dyDescent="0.25">
      <c r="A274" s="1">
        <v>45435.919247685182</v>
      </c>
      <c r="B274" s="1">
        <f>INT(smart_dataset[[#This Row],[Timestamp]])</f>
        <v>45435</v>
      </c>
      <c r="C274" s="1">
        <f>MOD(smart_dataset[[#This Row],[Timestamp]],1)</f>
        <v>0.91924768518219935</v>
      </c>
      <c r="D274" s="1">
        <f>YEAR(smart_dataset[[#This Row],[Date]])</f>
        <v>2024</v>
      </c>
      <c r="E274" s="1">
        <f>MONTH(smart_dataset[[#This Row],[Timestamp]])</f>
        <v>5</v>
      </c>
      <c r="F274" t="s">
        <v>34</v>
      </c>
      <c r="G274">
        <v>46.7637</v>
      </c>
      <c r="H274">
        <v>-146.4348</v>
      </c>
      <c r="I274">
        <v>268</v>
      </c>
      <c r="J274" t="s">
        <v>26</v>
      </c>
      <c r="K274">
        <v>23.9</v>
      </c>
      <c r="L274">
        <v>79.2</v>
      </c>
      <c r="M274" t="s">
        <v>28</v>
      </c>
      <c r="N274">
        <v>41</v>
      </c>
      <c r="O274">
        <v>295</v>
      </c>
      <c r="P274">
        <v>9</v>
      </c>
      <c r="Q274" t="s">
        <v>31</v>
      </c>
      <c r="R274">
        <v>69.5</v>
      </c>
      <c r="S274">
        <v>146</v>
      </c>
      <c r="T274">
        <v>0</v>
      </c>
      <c r="U274" t="str" cm="1">
        <f t="array" ref="U274">_xlfn.IFS(smart_dataset[[#This Row],[Waiting_Time]]&lt;=20,"Low",smart_dataset[[#This Row],[Waiting_Time]]&lt;=40,"Medium",TRUE,"High")</f>
        <v>High</v>
      </c>
      <c r="V274" t="str" cm="1">
        <f t="array" ref="V274">_xlfn.IFS(smart_dataset[[#This Row],[Temperature]]&lt;=20,"Cold",smart_dataset[[#This Row],[Temperature]]&lt;=28,"Normal",TRUE,"Hot")</f>
        <v>Normal</v>
      </c>
      <c r="W274" t="str" cm="1">
        <f t="array" ref="W274">_xlfn.IFS(smart_dataset[[#This Row],[Asset_Utilization]]&lt;=75,"Low",smart_dataset[[#This Row],[Asset_Utilization]]&lt;=90,"Medium",TRUE,"High")</f>
        <v>Low</v>
      </c>
    </row>
    <row r="275" spans="1:23" x14ac:dyDescent="0.25">
      <c r="A275" s="1">
        <v>45293.930347222224</v>
      </c>
      <c r="B275" s="1">
        <f>INT(smart_dataset[[#This Row],[Timestamp]])</f>
        <v>45293</v>
      </c>
      <c r="C275" s="7">
        <f>MOD(smart_dataset[[#This Row],[Timestamp]],1)</f>
        <v>0.93034722222364508</v>
      </c>
      <c r="D275">
        <f>YEAR(smart_dataset[[#This Row],[Date]])</f>
        <v>2024</v>
      </c>
      <c r="E275">
        <f>MONTH(smart_dataset[[#This Row],[Timestamp]])</f>
        <v>1</v>
      </c>
      <c r="F275" t="s">
        <v>16</v>
      </c>
      <c r="G275">
        <v>-68.390900000000002</v>
      </c>
      <c r="H275">
        <v>-122.557</v>
      </c>
      <c r="I275">
        <v>341</v>
      </c>
      <c r="J275" t="s">
        <v>21</v>
      </c>
      <c r="K275">
        <v>21.3</v>
      </c>
      <c r="L275">
        <v>76.2</v>
      </c>
      <c r="M275" t="s">
        <v>22</v>
      </c>
      <c r="N275">
        <v>58</v>
      </c>
      <c r="O275">
        <v>429</v>
      </c>
      <c r="P275">
        <v>3</v>
      </c>
      <c r="Q275" t="s">
        <v>19</v>
      </c>
      <c r="R275">
        <v>78.599999999999994</v>
      </c>
      <c r="S275">
        <v>178</v>
      </c>
      <c r="T275">
        <v>1</v>
      </c>
      <c r="U275" t="str" cm="1">
        <f t="array" ref="U275">_xlfn.IFS(smart_dataset[[#This Row],[Waiting_Time]]&lt;=20,"Low",smart_dataset[[#This Row],[Waiting_Time]]&lt;=40,"Medium",TRUE,"High")</f>
        <v>High</v>
      </c>
      <c r="V275" t="str" cm="1">
        <f t="array" ref="V275">_xlfn.IFS(smart_dataset[[#This Row],[Temperature]]&lt;=20,"Cold",smart_dataset[[#This Row],[Temperature]]&lt;=28,"Normal",TRUE,"Hot")</f>
        <v>Normal</v>
      </c>
      <c r="W275" t="str" cm="1">
        <f t="array" ref="W275">_xlfn.IFS(smart_dataset[[#This Row],[Asset_Utilization]]&lt;=75,"Low",smart_dataset[[#This Row],[Asset_Utilization]]&lt;=90,"Medium",TRUE,"High")</f>
        <v>Medium</v>
      </c>
    </row>
    <row r="276" spans="1:23" hidden="1" x14ac:dyDescent="0.25">
      <c r="A276" s="1">
        <v>45564.272164351853</v>
      </c>
      <c r="B276" s="1">
        <f>INT(smart_dataset[[#This Row],[Timestamp]])</f>
        <v>45564</v>
      </c>
      <c r="C276" s="1">
        <f>MOD(smart_dataset[[#This Row],[Timestamp]],1)</f>
        <v>0.2721643518525525</v>
      </c>
      <c r="D276" s="1">
        <f>YEAR(smart_dataset[[#This Row],[Date]])</f>
        <v>2024</v>
      </c>
      <c r="E276" s="1">
        <f>MONTH(smart_dataset[[#This Row],[Timestamp]])</f>
        <v>9</v>
      </c>
      <c r="F276" t="s">
        <v>16</v>
      </c>
      <c r="G276">
        <v>62.345700000000001</v>
      </c>
      <c r="H276">
        <v>-54.203299999999999</v>
      </c>
      <c r="I276">
        <v>166</v>
      </c>
      <c r="J276" t="s">
        <v>26</v>
      </c>
      <c r="K276">
        <v>28.9</v>
      </c>
      <c r="L276">
        <v>50.6</v>
      </c>
      <c r="M276" t="s">
        <v>22</v>
      </c>
      <c r="N276">
        <v>58</v>
      </c>
      <c r="O276">
        <v>197</v>
      </c>
      <c r="P276">
        <v>3</v>
      </c>
      <c r="Q276" t="s">
        <v>27</v>
      </c>
      <c r="R276">
        <v>88.8</v>
      </c>
      <c r="S276">
        <v>282</v>
      </c>
      <c r="T276">
        <v>1</v>
      </c>
      <c r="U276" t="str" cm="1">
        <f t="array" ref="U276">_xlfn.IFS(smart_dataset[[#This Row],[Waiting_Time]]&lt;=20,"Low",smart_dataset[[#This Row],[Waiting_Time]]&lt;=40,"Medium",TRUE,"High")</f>
        <v>High</v>
      </c>
      <c r="V276" t="str" cm="1">
        <f t="array" ref="V276">_xlfn.IFS(smart_dataset[[#This Row],[Temperature]]&lt;=20,"Cold",smart_dataset[[#This Row],[Temperature]]&lt;=28,"Normal",TRUE,"Hot")</f>
        <v>Hot</v>
      </c>
      <c r="W276" t="str" cm="1">
        <f t="array" ref="W276">_xlfn.IFS(smart_dataset[[#This Row],[Asset_Utilization]]&lt;=75,"Low",smart_dataset[[#This Row],[Asset_Utilization]]&lt;=90,"Medium",TRUE,"High")</f>
        <v>Medium</v>
      </c>
    </row>
    <row r="277" spans="1:23" x14ac:dyDescent="0.25">
      <c r="A277" s="1">
        <v>45644.356921296298</v>
      </c>
      <c r="B277" s="1">
        <f>INT(smart_dataset[[#This Row],[Timestamp]])</f>
        <v>45644</v>
      </c>
      <c r="C277" s="7">
        <f>MOD(smart_dataset[[#This Row],[Timestamp]],1)</f>
        <v>0.35692129629751435</v>
      </c>
      <c r="D277">
        <f>YEAR(smart_dataset[[#This Row],[Date]])</f>
        <v>2024</v>
      </c>
      <c r="E277">
        <f>MONTH(smart_dataset[[#This Row],[Timestamp]])</f>
        <v>12</v>
      </c>
      <c r="F277" t="s">
        <v>16</v>
      </c>
      <c r="G277">
        <v>72.8857</v>
      </c>
      <c r="H277">
        <v>135.9494</v>
      </c>
      <c r="I277">
        <v>483</v>
      </c>
      <c r="J277" t="s">
        <v>17</v>
      </c>
      <c r="K277">
        <v>21.4</v>
      </c>
      <c r="L277">
        <v>51.2</v>
      </c>
      <c r="M277" t="s">
        <v>22</v>
      </c>
      <c r="N277">
        <v>33</v>
      </c>
      <c r="O277">
        <v>249</v>
      </c>
      <c r="P277">
        <v>2</v>
      </c>
      <c r="Q277" t="s">
        <v>19</v>
      </c>
      <c r="R277">
        <v>67.599999999999994</v>
      </c>
      <c r="S277">
        <v>165</v>
      </c>
      <c r="T277">
        <v>1</v>
      </c>
      <c r="U277" t="str" cm="1">
        <f t="array" ref="U277">_xlfn.IFS(smart_dataset[[#This Row],[Waiting_Time]]&lt;=20,"Low",smart_dataset[[#This Row],[Waiting_Time]]&lt;=40,"Medium",TRUE,"High")</f>
        <v>Medium</v>
      </c>
      <c r="V277" t="str" cm="1">
        <f t="array" ref="V277">_xlfn.IFS(smart_dataset[[#This Row],[Temperature]]&lt;=20,"Cold",smart_dataset[[#This Row],[Temperature]]&lt;=28,"Normal",TRUE,"Hot")</f>
        <v>Normal</v>
      </c>
      <c r="W277" t="str" cm="1">
        <f t="array" ref="W277">_xlfn.IFS(smart_dataset[[#This Row],[Asset_Utilization]]&lt;=75,"Low",smart_dataset[[#This Row],[Asset_Utilization]]&lt;=90,"Medium",TRUE,"High")</f>
        <v>Low</v>
      </c>
    </row>
    <row r="278" spans="1:23" x14ac:dyDescent="0.25">
      <c r="A278" s="1">
        <v>45515.436782407407</v>
      </c>
      <c r="B278" s="1">
        <f>INT(smart_dataset[[#This Row],[Timestamp]])</f>
        <v>45515</v>
      </c>
      <c r="C278" s="7">
        <f>MOD(smart_dataset[[#This Row],[Timestamp]],1)</f>
        <v>0.43678240740700858</v>
      </c>
      <c r="D278">
        <f>YEAR(smart_dataset[[#This Row],[Date]])</f>
        <v>2024</v>
      </c>
      <c r="E278">
        <f>MONTH(smart_dataset[[#This Row],[Timestamp]])</f>
        <v>8</v>
      </c>
      <c r="F278" t="s">
        <v>24</v>
      </c>
      <c r="G278">
        <v>2.2782</v>
      </c>
      <c r="H278">
        <v>-158.46279999999999</v>
      </c>
      <c r="I278">
        <v>232</v>
      </c>
      <c r="J278" t="s">
        <v>26</v>
      </c>
      <c r="K278">
        <v>22.3</v>
      </c>
      <c r="L278">
        <v>73.3</v>
      </c>
      <c r="M278" t="s">
        <v>22</v>
      </c>
      <c r="N278">
        <v>19</v>
      </c>
      <c r="O278">
        <v>332</v>
      </c>
      <c r="P278">
        <v>4</v>
      </c>
      <c r="Q278" t="s">
        <v>19</v>
      </c>
      <c r="R278">
        <v>78.599999999999994</v>
      </c>
      <c r="S278">
        <v>135</v>
      </c>
      <c r="T278">
        <v>1</v>
      </c>
      <c r="U278" t="str" cm="1">
        <f t="array" ref="U278">_xlfn.IFS(smart_dataset[[#This Row],[Waiting_Time]]&lt;=20,"Low",smart_dataset[[#This Row],[Waiting_Time]]&lt;=40,"Medium",TRUE,"High")</f>
        <v>Low</v>
      </c>
      <c r="V278" t="str" cm="1">
        <f t="array" ref="V278">_xlfn.IFS(smart_dataset[[#This Row],[Temperature]]&lt;=20,"Cold",smart_dataset[[#This Row],[Temperature]]&lt;=28,"Normal",TRUE,"Hot")</f>
        <v>Normal</v>
      </c>
      <c r="W278" t="str" cm="1">
        <f t="array" ref="W278">_xlfn.IFS(smart_dataset[[#This Row],[Asset_Utilization]]&lt;=75,"Low",smart_dataset[[#This Row],[Asset_Utilization]]&lt;=90,"Medium",TRUE,"High")</f>
        <v>Medium</v>
      </c>
    </row>
    <row r="279" spans="1:23" hidden="1" x14ac:dyDescent="0.25">
      <c r="A279" s="1">
        <v>45375.955925925926</v>
      </c>
      <c r="B279" s="1">
        <f>INT(smart_dataset[[#This Row],[Timestamp]])</f>
        <v>45375</v>
      </c>
      <c r="C279" s="1">
        <f>MOD(smart_dataset[[#This Row],[Timestamp]],1)</f>
        <v>0.95592592592583969</v>
      </c>
      <c r="D279" s="1">
        <f>YEAR(smart_dataset[[#This Row],[Date]])</f>
        <v>2024</v>
      </c>
      <c r="E279" s="1">
        <f>MONTH(smart_dataset[[#This Row],[Timestamp]])</f>
        <v>3</v>
      </c>
      <c r="F279" t="s">
        <v>33</v>
      </c>
      <c r="G279">
        <v>11.768599999999999</v>
      </c>
      <c r="H279">
        <v>154.60429999999999</v>
      </c>
      <c r="I279">
        <v>392</v>
      </c>
      <c r="J279" t="s">
        <v>21</v>
      </c>
      <c r="K279">
        <v>20.7</v>
      </c>
      <c r="L279">
        <v>62.8</v>
      </c>
      <c r="M279" t="s">
        <v>18</v>
      </c>
      <c r="N279">
        <v>12</v>
      </c>
      <c r="O279">
        <v>417</v>
      </c>
      <c r="P279">
        <v>2</v>
      </c>
      <c r="Q279" t="s">
        <v>23</v>
      </c>
      <c r="R279">
        <v>69.3</v>
      </c>
      <c r="S279">
        <v>109</v>
      </c>
      <c r="T279">
        <v>0</v>
      </c>
      <c r="U279" t="str" cm="1">
        <f t="array" ref="U279">_xlfn.IFS(smart_dataset[[#This Row],[Waiting_Time]]&lt;=20,"Low",smart_dataset[[#This Row],[Waiting_Time]]&lt;=40,"Medium",TRUE,"High")</f>
        <v>Low</v>
      </c>
      <c r="V279" t="str" cm="1">
        <f t="array" ref="V279">_xlfn.IFS(smart_dataset[[#This Row],[Temperature]]&lt;=20,"Cold",smart_dataset[[#This Row],[Temperature]]&lt;=28,"Normal",TRUE,"Hot")</f>
        <v>Normal</v>
      </c>
      <c r="W279" t="str" cm="1">
        <f t="array" ref="W279">_xlfn.IFS(smart_dataset[[#This Row],[Asset_Utilization]]&lt;=75,"Low",smart_dataset[[#This Row],[Asset_Utilization]]&lt;=90,"Medium",TRUE,"High")</f>
        <v>Low</v>
      </c>
    </row>
    <row r="280" spans="1:23" hidden="1" x14ac:dyDescent="0.25">
      <c r="A280" s="1">
        <v>45445.016712962963</v>
      </c>
      <c r="B280" s="1">
        <f>INT(smart_dataset[[#This Row],[Timestamp]])</f>
        <v>45445</v>
      </c>
      <c r="C280" s="1">
        <f>MOD(smart_dataset[[#This Row],[Timestamp]],1)</f>
        <v>1.6712962962628808E-2</v>
      </c>
      <c r="D280" s="1">
        <f>YEAR(smart_dataset[[#This Row],[Date]])</f>
        <v>2024</v>
      </c>
      <c r="E280" s="1">
        <f>MONTH(smart_dataset[[#This Row],[Timestamp]])</f>
        <v>6</v>
      </c>
      <c r="F280" t="s">
        <v>32</v>
      </c>
      <c r="G280">
        <v>-75.597999999999999</v>
      </c>
      <c r="H280">
        <v>11.134</v>
      </c>
      <c r="I280">
        <v>480</v>
      </c>
      <c r="J280" t="s">
        <v>21</v>
      </c>
      <c r="K280">
        <v>24.9</v>
      </c>
      <c r="L280">
        <v>77.8</v>
      </c>
      <c r="M280" t="s">
        <v>22</v>
      </c>
      <c r="N280">
        <v>53</v>
      </c>
      <c r="O280">
        <v>318</v>
      </c>
      <c r="P280">
        <v>3</v>
      </c>
      <c r="Q280" t="s">
        <v>31</v>
      </c>
      <c r="R280">
        <v>69.5</v>
      </c>
      <c r="S280">
        <v>181</v>
      </c>
      <c r="T280">
        <v>1</v>
      </c>
      <c r="U280" t="str" cm="1">
        <f t="array" ref="U280">_xlfn.IFS(smart_dataset[[#This Row],[Waiting_Time]]&lt;=20,"Low",smart_dataset[[#This Row],[Waiting_Time]]&lt;=40,"Medium",TRUE,"High")</f>
        <v>High</v>
      </c>
      <c r="V280" t="str" cm="1">
        <f t="array" ref="V280">_xlfn.IFS(smart_dataset[[#This Row],[Temperature]]&lt;=20,"Cold",smart_dataset[[#This Row],[Temperature]]&lt;=28,"Normal",TRUE,"Hot")</f>
        <v>Normal</v>
      </c>
      <c r="W280" t="str" cm="1">
        <f t="array" ref="W280">_xlfn.IFS(smart_dataset[[#This Row],[Asset_Utilization]]&lt;=75,"Low",smart_dataset[[#This Row],[Asset_Utilization]]&lt;=90,"Medium",TRUE,"High")</f>
        <v>Low</v>
      </c>
    </row>
    <row r="281" spans="1:23" x14ac:dyDescent="0.25">
      <c r="A281" s="1">
        <v>45324.157569444447</v>
      </c>
      <c r="B281" s="1">
        <f>INT(smart_dataset[[#This Row],[Timestamp]])</f>
        <v>45324</v>
      </c>
      <c r="C281" s="7">
        <f>MOD(smart_dataset[[#This Row],[Timestamp]],1)</f>
        <v>0.15756944444729015</v>
      </c>
      <c r="D281">
        <f>YEAR(smart_dataset[[#This Row],[Date]])</f>
        <v>2024</v>
      </c>
      <c r="E281">
        <f>MONTH(smart_dataset[[#This Row],[Timestamp]])</f>
        <v>2</v>
      </c>
      <c r="F281" t="s">
        <v>33</v>
      </c>
      <c r="G281">
        <v>23.293099999999999</v>
      </c>
      <c r="H281">
        <v>106.02670000000001</v>
      </c>
      <c r="I281">
        <v>368</v>
      </c>
      <c r="J281" t="s">
        <v>26</v>
      </c>
      <c r="K281">
        <v>28</v>
      </c>
      <c r="L281">
        <v>53.4</v>
      </c>
      <c r="M281" t="s">
        <v>18</v>
      </c>
      <c r="N281">
        <v>42</v>
      </c>
      <c r="O281">
        <v>182</v>
      </c>
      <c r="P281">
        <v>5</v>
      </c>
      <c r="Q281" t="s">
        <v>19</v>
      </c>
      <c r="R281">
        <v>77.5</v>
      </c>
      <c r="S281">
        <v>205</v>
      </c>
      <c r="T281">
        <v>0</v>
      </c>
      <c r="U281" t="str" cm="1">
        <f t="array" ref="U281">_xlfn.IFS(smart_dataset[[#This Row],[Waiting_Time]]&lt;=20,"Low",smart_dataset[[#This Row],[Waiting_Time]]&lt;=40,"Medium",TRUE,"High")</f>
        <v>High</v>
      </c>
      <c r="V281" t="str" cm="1">
        <f t="array" ref="V281">_xlfn.IFS(smart_dataset[[#This Row],[Temperature]]&lt;=20,"Cold",smart_dataset[[#This Row],[Temperature]]&lt;=28,"Normal",TRUE,"Hot")</f>
        <v>Normal</v>
      </c>
      <c r="W281" t="str" cm="1">
        <f t="array" ref="W281">_xlfn.IFS(smart_dataset[[#This Row],[Asset_Utilization]]&lt;=75,"Low",smart_dataset[[#This Row],[Asset_Utilization]]&lt;=90,"Medium",TRUE,"High")</f>
        <v>Medium</v>
      </c>
    </row>
    <row r="282" spans="1:23" hidden="1" x14ac:dyDescent="0.25">
      <c r="A282" s="1">
        <v>45567.539421296293</v>
      </c>
      <c r="B282" s="1">
        <f>INT(smart_dataset[[#This Row],[Timestamp]])</f>
        <v>45567</v>
      </c>
      <c r="C282" s="1">
        <f>MOD(smart_dataset[[#This Row],[Timestamp]],1)</f>
        <v>0.53942129629285773</v>
      </c>
      <c r="D282" s="1">
        <f>YEAR(smart_dataset[[#This Row],[Date]])</f>
        <v>2024</v>
      </c>
      <c r="E282" s="1">
        <f>MONTH(smart_dataset[[#This Row],[Timestamp]])</f>
        <v>10</v>
      </c>
      <c r="F282" t="s">
        <v>20</v>
      </c>
      <c r="G282">
        <v>-11.311400000000001</v>
      </c>
      <c r="H282">
        <v>-139.81100000000001</v>
      </c>
      <c r="I282">
        <v>373</v>
      </c>
      <c r="J282" t="s">
        <v>21</v>
      </c>
      <c r="K282">
        <v>25</v>
      </c>
      <c r="L282">
        <v>62.4</v>
      </c>
      <c r="M282" t="s">
        <v>28</v>
      </c>
      <c r="N282">
        <v>20</v>
      </c>
      <c r="O282">
        <v>125</v>
      </c>
      <c r="P282">
        <v>1</v>
      </c>
      <c r="Q282" t="s">
        <v>31</v>
      </c>
      <c r="R282">
        <v>91.2</v>
      </c>
      <c r="S282">
        <v>160</v>
      </c>
      <c r="T282">
        <v>0</v>
      </c>
      <c r="U282" t="str" cm="1">
        <f t="array" ref="U282">_xlfn.IFS(smart_dataset[[#This Row],[Waiting_Time]]&lt;=20,"Low",smart_dataset[[#This Row],[Waiting_Time]]&lt;=40,"Medium",TRUE,"High")</f>
        <v>Low</v>
      </c>
      <c r="V282" t="str" cm="1">
        <f t="array" ref="V282">_xlfn.IFS(smart_dataset[[#This Row],[Temperature]]&lt;=20,"Cold",smart_dataset[[#This Row],[Temperature]]&lt;=28,"Normal",TRUE,"Hot")</f>
        <v>Normal</v>
      </c>
      <c r="W282" t="str" cm="1">
        <f t="array" ref="W282">_xlfn.IFS(smart_dataset[[#This Row],[Asset_Utilization]]&lt;=75,"Low",smart_dataset[[#This Row],[Asset_Utilization]]&lt;=90,"Medium",TRUE,"High")</f>
        <v>High</v>
      </c>
    </row>
    <row r="283" spans="1:23" x14ac:dyDescent="0.25">
      <c r="A283" s="1">
        <v>45560.513969907406</v>
      </c>
      <c r="B283" s="1">
        <f>INT(smart_dataset[[#This Row],[Timestamp]])</f>
        <v>45560</v>
      </c>
      <c r="C283" s="7">
        <f>MOD(smart_dataset[[#This Row],[Timestamp]],1)</f>
        <v>0.51396990740613546</v>
      </c>
      <c r="D283">
        <f>YEAR(smart_dataset[[#This Row],[Date]])</f>
        <v>2024</v>
      </c>
      <c r="E283">
        <f>MONTH(smart_dataset[[#This Row],[Timestamp]])</f>
        <v>9</v>
      </c>
      <c r="F283" t="s">
        <v>30</v>
      </c>
      <c r="G283">
        <v>9.6491000000000007</v>
      </c>
      <c r="H283">
        <v>47.349899999999998</v>
      </c>
      <c r="I283">
        <v>154</v>
      </c>
      <c r="J283" t="s">
        <v>26</v>
      </c>
      <c r="K283">
        <v>22</v>
      </c>
      <c r="L283">
        <v>53.3</v>
      </c>
      <c r="M283" t="s">
        <v>22</v>
      </c>
      <c r="N283">
        <v>50</v>
      </c>
      <c r="O283">
        <v>208</v>
      </c>
      <c r="P283">
        <v>4</v>
      </c>
      <c r="Q283" t="s">
        <v>19</v>
      </c>
      <c r="R283">
        <v>85</v>
      </c>
      <c r="S283">
        <v>231</v>
      </c>
      <c r="T283">
        <v>1</v>
      </c>
      <c r="U283" t="str" cm="1">
        <f t="array" ref="U283">_xlfn.IFS(smart_dataset[[#This Row],[Waiting_Time]]&lt;=20,"Low",smart_dataset[[#This Row],[Waiting_Time]]&lt;=40,"Medium",TRUE,"High")</f>
        <v>High</v>
      </c>
      <c r="V283" t="str" cm="1">
        <f t="array" ref="V283">_xlfn.IFS(smart_dataset[[#This Row],[Temperature]]&lt;=20,"Cold",smart_dataset[[#This Row],[Temperature]]&lt;=28,"Normal",TRUE,"Hot")</f>
        <v>Normal</v>
      </c>
      <c r="W283" t="str" cm="1">
        <f t="array" ref="W283">_xlfn.IFS(smart_dataset[[#This Row],[Asset_Utilization]]&lt;=75,"Low",smart_dataset[[#This Row],[Asset_Utilization]]&lt;=90,"Medium",TRUE,"High")</f>
        <v>Medium</v>
      </c>
    </row>
    <row r="284" spans="1:23" x14ac:dyDescent="0.25">
      <c r="A284" s="1">
        <v>45346.34107638889</v>
      </c>
      <c r="B284" s="1">
        <f>INT(smart_dataset[[#This Row],[Timestamp]])</f>
        <v>45346</v>
      </c>
      <c r="C284" s="7">
        <f>MOD(smart_dataset[[#This Row],[Timestamp]],1)</f>
        <v>0.34107638888963265</v>
      </c>
      <c r="D284">
        <f>YEAR(smart_dataset[[#This Row],[Date]])</f>
        <v>2024</v>
      </c>
      <c r="E284">
        <f>MONTH(smart_dataset[[#This Row],[Timestamp]])</f>
        <v>2</v>
      </c>
      <c r="F284" t="s">
        <v>33</v>
      </c>
      <c r="G284">
        <v>10.9354</v>
      </c>
      <c r="H284">
        <v>-27.3551</v>
      </c>
      <c r="I284">
        <v>184</v>
      </c>
      <c r="J284" t="s">
        <v>26</v>
      </c>
      <c r="K284">
        <v>19.2</v>
      </c>
      <c r="L284">
        <v>55.3</v>
      </c>
      <c r="M284" t="s">
        <v>22</v>
      </c>
      <c r="N284">
        <v>14</v>
      </c>
      <c r="O284">
        <v>450</v>
      </c>
      <c r="P284">
        <v>3</v>
      </c>
      <c r="Q284" t="s">
        <v>19</v>
      </c>
      <c r="R284">
        <v>86.7</v>
      </c>
      <c r="S284">
        <v>247</v>
      </c>
      <c r="T284">
        <v>1</v>
      </c>
      <c r="U284" t="str" cm="1">
        <f t="array" ref="U284">_xlfn.IFS(smart_dataset[[#This Row],[Waiting_Time]]&lt;=20,"Low",smart_dataset[[#This Row],[Waiting_Time]]&lt;=40,"Medium",TRUE,"High")</f>
        <v>Low</v>
      </c>
      <c r="V284" t="str" cm="1">
        <f t="array" ref="V284">_xlfn.IFS(smart_dataset[[#This Row],[Temperature]]&lt;=20,"Cold",smart_dataset[[#This Row],[Temperature]]&lt;=28,"Normal",TRUE,"Hot")</f>
        <v>Cold</v>
      </c>
      <c r="W284" t="str" cm="1">
        <f t="array" ref="W284">_xlfn.IFS(smart_dataset[[#This Row],[Asset_Utilization]]&lt;=75,"Low",smart_dataset[[#This Row],[Asset_Utilization]]&lt;=90,"Medium",TRUE,"High")</f>
        <v>Medium</v>
      </c>
    </row>
    <row r="285" spans="1:23" hidden="1" x14ac:dyDescent="0.25">
      <c r="A285" s="1">
        <v>45593.416898148149</v>
      </c>
      <c r="B285" s="1">
        <f>INT(smart_dataset[[#This Row],[Timestamp]])</f>
        <v>45593</v>
      </c>
      <c r="C285" s="1">
        <f>MOD(smart_dataset[[#This Row],[Timestamp]],1)</f>
        <v>0.41689814814890269</v>
      </c>
      <c r="D285" s="1">
        <f>YEAR(smart_dataset[[#This Row],[Date]])</f>
        <v>2024</v>
      </c>
      <c r="E285" s="1">
        <f>MONTH(smart_dataset[[#This Row],[Timestamp]])</f>
        <v>10</v>
      </c>
      <c r="F285" t="s">
        <v>25</v>
      </c>
      <c r="G285">
        <v>84.9482</v>
      </c>
      <c r="H285">
        <v>59.531399999999998</v>
      </c>
      <c r="I285">
        <v>204</v>
      </c>
      <c r="J285" t="s">
        <v>26</v>
      </c>
      <c r="K285">
        <v>21.4</v>
      </c>
      <c r="L285">
        <v>61.5</v>
      </c>
      <c r="M285" t="s">
        <v>28</v>
      </c>
      <c r="N285">
        <v>51</v>
      </c>
      <c r="O285">
        <v>490</v>
      </c>
      <c r="P285">
        <v>5</v>
      </c>
      <c r="Q285" t="s">
        <v>31</v>
      </c>
      <c r="R285">
        <v>68</v>
      </c>
      <c r="S285">
        <v>288</v>
      </c>
      <c r="T285">
        <v>0</v>
      </c>
      <c r="U285" t="str" cm="1">
        <f t="array" ref="U285">_xlfn.IFS(smart_dataset[[#This Row],[Waiting_Time]]&lt;=20,"Low",smart_dataset[[#This Row],[Waiting_Time]]&lt;=40,"Medium",TRUE,"High")</f>
        <v>High</v>
      </c>
      <c r="V285" t="str" cm="1">
        <f t="array" ref="V285">_xlfn.IFS(smart_dataset[[#This Row],[Temperature]]&lt;=20,"Cold",smart_dataset[[#This Row],[Temperature]]&lt;=28,"Normal",TRUE,"Hot")</f>
        <v>Normal</v>
      </c>
      <c r="W285" t="str" cm="1">
        <f t="array" ref="W285">_xlfn.IFS(smart_dataset[[#This Row],[Asset_Utilization]]&lt;=75,"Low",smart_dataset[[#This Row],[Asset_Utilization]]&lt;=90,"Medium",TRUE,"High")</f>
        <v>Low</v>
      </c>
    </row>
    <row r="286" spans="1:23" hidden="1" x14ac:dyDescent="0.25">
      <c r="A286" s="1">
        <v>45443.972581018519</v>
      </c>
      <c r="B286" s="1">
        <f>INT(smart_dataset[[#This Row],[Timestamp]])</f>
        <v>45443</v>
      </c>
      <c r="C286" s="1">
        <f>MOD(smart_dataset[[#This Row],[Timestamp]],1)</f>
        <v>0.97258101851912215</v>
      </c>
      <c r="D286" s="1">
        <f>YEAR(smart_dataset[[#This Row],[Date]])</f>
        <v>2024</v>
      </c>
      <c r="E286" s="1">
        <f>MONTH(smart_dataset[[#This Row],[Timestamp]])</f>
        <v>5</v>
      </c>
      <c r="F286" t="s">
        <v>30</v>
      </c>
      <c r="G286">
        <v>49.721200000000003</v>
      </c>
      <c r="H286">
        <v>179.20249999999999</v>
      </c>
      <c r="I286">
        <v>227</v>
      </c>
      <c r="J286" t="s">
        <v>26</v>
      </c>
      <c r="K286">
        <v>26.1</v>
      </c>
      <c r="L286">
        <v>65.7</v>
      </c>
      <c r="M286" t="s">
        <v>18</v>
      </c>
      <c r="N286">
        <v>47</v>
      </c>
      <c r="O286">
        <v>247</v>
      </c>
      <c r="P286">
        <v>8</v>
      </c>
      <c r="Q286" t="s">
        <v>27</v>
      </c>
      <c r="R286">
        <v>77.8</v>
      </c>
      <c r="S286">
        <v>135</v>
      </c>
      <c r="T286">
        <v>0</v>
      </c>
      <c r="U286" t="str" cm="1">
        <f t="array" ref="U286">_xlfn.IFS(smart_dataset[[#This Row],[Waiting_Time]]&lt;=20,"Low",smart_dataset[[#This Row],[Waiting_Time]]&lt;=40,"Medium",TRUE,"High")</f>
        <v>High</v>
      </c>
      <c r="V286" t="str" cm="1">
        <f t="array" ref="V286">_xlfn.IFS(smart_dataset[[#This Row],[Temperature]]&lt;=20,"Cold",smart_dataset[[#This Row],[Temperature]]&lt;=28,"Normal",TRUE,"Hot")</f>
        <v>Normal</v>
      </c>
      <c r="W286" t="str" cm="1">
        <f t="array" ref="W286">_xlfn.IFS(smart_dataset[[#This Row],[Asset_Utilization]]&lt;=75,"Low",smart_dataset[[#This Row],[Asset_Utilization]]&lt;=90,"Medium",TRUE,"High")</f>
        <v>Medium</v>
      </c>
    </row>
    <row r="287" spans="1:23" hidden="1" x14ac:dyDescent="0.25">
      <c r="A287" s="1">
        <v>45313.023831018516</v>
      </c>
      <c r="B287" s="1">
        <f>INT(smart_dataset[[#This Row],[Timestamp]])</f>
        <v>45313</v>
      </c>
      <c r="C287" s="1">
        <f>MOD(smart_dataset[[#This Row],[Timestamp]],1)</f>
        <v>2.3831018515920732E-2</v>
      </c>
      <c r="D287" s="1">
        <f>YEAR(smart_dataset[[#This Row],[Date]])</f>
        <v>2024</v>
      </c>
      <c r="E287" s="1">
        <f>MONTH(smart_dataset[[#This Row],[Timestamp]])</f>
        <v>1</v>
      </c>
      <c r="F287" t="s">
        <v>34</v>
      </c>
      <c r="G287">
        <v>-28.896799999999999</v>
      </c>
      <c r="H287">
        <v>-117.94710000000001</v>
      </c>
      <c r="I287">
        <v>405</v>
      </c>
      <c r="J287" t="s">
        <v>21</v>
      </c>
      <c r="K287">
        <v>28</v>
      </c>
      <c r="L287">
        <v>67.7</v>
      </c>
      <c r="M287" t="s">
        <v>28</v>
      </c>
      <c r="N287">
        <v>48</v>
      </c>
      <c r="O287">
        <v>348</v>
      </c>
      <c r="P287">
        <v>3</v>
      </c>
      <c r="Q287" t="s">
        <v>31</v>
      </c>
      <c r="R287">
        <v>78.3</v>
      </c>
      <c r="S287">
        <v>213</v>
      </c>
      <c r="T287">
        <v>0</v>
      </c>
      <c r="U287" t="str" cm="1">
        <f t="array" ref="U287">_xlfn.IFS(smart_dataset[[#This Row],[Waiting_Time]]&lt;=20,"Low",smart_dataset[[#This Row],[Waiting_Time]]&lt;=40,"Medium",TRUE,"High")</f>
        <v>High</v>
      </c>
      <c r="V287" t="str" cm="1">
        <f t="array" ref="V287">_xlfn.IFS(smart_dataset[[#This Row],[Temperature]]&lt;=20,"Cold",smart_dataset[[#This Row],[Temperature]]&lt;=28,"Normal",TRUE,"Hot")</f>
        <v>Normal</v>
      </c>
      <c r="W287" t="str" cm="1">
        <f t="array" ref="W287">_xlfn.IFS(smart_dataset[[#This Row],[Asset_Utilization]]&lt;=75,"Low",smart_dataset[[#This Row],[Asset_Utilization]]&lt;=90,"Medium",TRUE,"High")</f>
        <v>Medium</v>
      </c>
    </row>
    <row r="288" spans="1:23" hidden="1" x14ac:dyDescent="0.25">
      <c r="A288" s="1">
        <v>45645.462604166663</v>
      </c>
      <c r="B288" s="1">
        <f>INT(smart_dataset[[#This Row],[Timestamp]])</f>
        <v>45645</v>
      </c>
      <c r="C288" s="1">
        <f>MOD(smart_dataset[[#This Row],[Timestamp]],1)</f>
        <v>0.46260416666336823</v>
      </c>
      <c r="D288" s="1">
        <f>YEAR(smart_dataset[[#This Row],[Date]])</f>
        <v>2024</v>
      </c>
      <c r="E288" s="1">
        <f>MONTH(smart_dataset[[#This Row],[Timestamp]])</f>
        <v>12</v>
      </c>
      <c r="F288" t="s">
        <v>16</v>
      </c>
      <c r="G288">
        <v>-55.5154</v>
      </c>
      <c r="H288">
        <v>-163.6943</v>
      </c>
      <c r="I288">
        <v>392</v>
      </c>
      <c r="J288" t="s">
        <v>26</v>
      </c>
      <c r="K288">
        <v>27.4</v>
      </c>
      <c r="L288">
        <v>69</v>
      </c>
      <c r="M288" t="s">
        <v>18</v>
      </c>
      <c r="N288">
        <v>31</v>
      </c>
      <c r="O288">
        <v>347</v>
      </c>
      <c r="P288">
        <v>9</v>
      </c>
      <c r="Q288" t="s">
        <v>23</v>
      </c>
      <c r="R288">
        <v>98</v>
      </c>
      <c r="S288">
        <v>133</v>
      </c>
      <c r="T288">
        <v>0</v>
      </c>
      <c r="U288" t="str" cm="1">
        <f t="array" ref="U288">_xlfn.IFS(smart_dataset[[#This Row],[Waiting_Time]]&lt;=20,"Low",smart_dataset[[#This Row],[Waiting_Time]]&lt;=40,"Medium",TRUE,"High")</f>
        <v>Medium</v>
      </c>
      <c r="V288" t="str" cm="1">
        <f t="array" ref="V288">_xlfn.IFS(smart_dataset[[#This Row],[Temperature]]&lt;=20,"Cold",smart_dataset[[#This Row],[Temperature]]&lt;=28,"Normal",TRUE,"Hot")</f>
        <v>Normal</v>
      </c>
      <c r="W288" t="str" cm="1">
        <f t="array" ref="W288">_xlfn.IFS(smart_dataset[[#This Row],[Asset_Utilization]]&lt;=75,"Low",smart_dataset[[#This Row],[Asset_Utilization]]&lt;=90,"Medium",TRUE,"High")</f>
        <v>High</v>
      </c>
    </row>
    <row r="289" spans="1:23" x14ac:dyDescent="0.25">
      <c r="A289" s="1">
        <v>45296.948912037034</v>
      </c>
      <c r="B289" s="1">
        <f>INT(smart_dataset[[#This Row],[Timestamp]])</f>
        <v>45296</v>
      </c>
      <c r="C289" s="7">
        <f>MOD(smart_dataset[[#This Row],[Timestamp]],1)</f>
        <v>0.94891203703446081</v>
      </c>
      <c r="D289">
        <f>YEAR(smart_dataset[[#This Row],[Date]])</f>
        <v>2024</v>
      </c>
      <c r="E289">
        <f>MONTH(smart_dataset[[#This Row],[Timestamp]])</f>
        <v>1</v>
      </c>
      <c r="F289" t="s">
        <v>33</v>
      </c>
      <c r="G289">
        <v>16.7636</v>
      </c>
      <c r="H289">
        <v>29.278300000000002</v>
      </c>
      <c r="I289">
        <v>429</v>
      </c>
      <c r="J289" t="s">
        <v>21</v>
      </c>
      <c r="K289">
        <v>27.7</v>
      </c>
      <c r="L289">
        <v>75</v>
      </c>
      <c r="M289" t="s">
        <v>22</v>
      </c>
      <c r="N289">
        <v>12</v>
      </c>
      <c r="O289">
        <v>446</v>
      </c>
      <c r="P289">
        <v>4</v>
      </c>
      <c r="Q289" t="s">
        <v>19</v>
      </c>
      <c r="R289">
        <v>65.7</v>
      </c>
      <c r="S289">
        <v>203</v>
      </c>
      <c r="T289">
        <v>1</v>
      </c>
      <c r="U289" t="str" cm="1">
        <f t="array" ref="U289">_xlfn.IFS(smart_dataset[[#This Row],[Waiting_Time]]&lt;=20,"Low",smart_dataset[[#This Row],[Waiting_Time]]&lt;=40,"Medium",TRUE,"High")</f>
        <v>Low</v>
      </c>
      <c r="V289" t="str" cm="1">
        <f t="array" ref="V289">_xlfn.IFS(smart_dataset[[#This Row],[Temperature]]&lt;=20,"Cold",smart_dataset[[#This Row],[Temperature]]&lt;=28,"Normal",TRUE,"Hot")</f>
        <v>Normal</v>
      </c>
      <c r="W289" t="str" cm="1">
        <f t="array" ref="W289">_xlfn.IFS(smart_dataset[[#This Row],[Asset_Utilization]]&lt;=75,"Low",smart_dataset[[#This Row],[Asset_Utilization]]&lt;=90,"Medium",TRUE,"High")</f>
        <v>Low</v>
      </c>
    </row>
    <row r="290" spans="1:23" hidden="1" x14ac:dyDescent="0.25">
      <c r="A290" s="1">
        <v>45469.339733796296</v>
      </c>
      <c r="B290" s="1">
        <f>INT(smart_dataset[[#This Row],[Timestamp]])</f>
        <v>45469</v>
      </c>
      <c r="C290" s="1">
        <f>MOD(smart_dataset[[#This Row],[Timestamp]],1)</f>
        <v>0.33973379629605915</v>
      </c>
      <c r="D290" s="1">
        <f>YEAR(smart_dataset[[#This Row],[Date]])</f>
        <v>2024</v>
      </c>
      <c r="E290" s="1">
        <f>MONTH(smart_dataset[[#This Row],[Timestamp]])</f>
        <v>6</v>
      </c>
      <c r="F290" t="s">
        <v>16</v>
      </c>
      <c r="G290">
        <v>-76.307000000000002</v>
      </c>
      <c r="H290">
        <v>5.0297999999999998</v>
      </c>
      <c r="I290">
        <v>488</v>
      </c>
      <c r="J290" t="s">
        <v>26</v>
      </c>
      <c r="K290">
        <v>25.2</v>
      </c>
      <c r="L290">
        <v>63.9</v>
      </c>
      <c r="M290" t="s">
        <v>22</v>
      </c>
      <c r="N290">
        <v>19</v>
      </c>
      <c r="O290">
        <v>219</v>
      </c>
      <c r="P290">
        <v>4</v>
      </c>
      <c r="Q290" t="s">
        <v>23</v>
      </c>
      <c r="R290">
        <v>100</v>
      </c>
      <c r="S290">
        <v>184</v>
      </c>
      <c r="T290">
        <v>1</v>
      </c>
      <c r="U290" t="str" cm="1">
        <f t="array" ref="U290">_xlfn.IFS(smart_dataset[[#This Row],[Waiting_Time]]&lt;=20,"Low",smart_dataset[[#This Row],[Waiting_Time]]&lt;=40,"Medium",TRUE,"High")</f>
        <v>Low</v>
      </c>
      <c r="V290" t="str" cm="1">
        <f t="array" ref="V290">_xlfn.IFS(smart_dataset[[#This Row],[Temperature]]&lt;=20,"Cold",smart_dataset[[#This Row],[Temperature]]&lt;=28,"Normal",TRUE,"Hot")</f>
        <v>Normal</v>
      </c>
      <c r="W290" t="str" cm="1">
        <f t="array" ref="W290">_xlfn.IFS(smart_dataset[[#This Row],[Asset_Utilization]]&lt;=75,"Low",smart_dataset[[#This Row],[Asset_Utilization]]&lt;=90,"Medium",TRUE,"High")</f>
        <v>High</v>
      </c>
    </row>
    <row r="291" spans="1:23" hidden="1" x14ac:dyDescent="0.25">
      <c r="A291" s="1">
        <v>45504.08829861111</v>
      </c>
      <c r="B291" s="1">
        <f>INT(smart_dataset[[#This Row],[Timestamp]])</f>
        <v>45504</v>
      </c>
      <c r="C291" s="1">
        <f>MOD(smart_dataset[[#This Row],[Timestamp]],1)</f>
        <v>8.8298611110076308E-2</v>
      </c>
      <c r="D291" s="1">
        <f>YEAR(smart_dataset[[#This Row],[Date]])</f>
        <v>2024</v>
      </c>
      <c r="E291" s="1">
        <f>MONTH(smart_dataset[[#This Row],[Timestamp]])</f>
        <v>7</v>
      </c>
      <c r="F291" t="s">
        <v>20</v>
      </c>
      <c r="G291">
        <v>-22.4693</v>
      </c>
      <c r="H291">
        <v>149.96340000000001</v>
      </c>
      <c r="I291">
        <v>444</v>
      </c>
      <c r="J291" t="s">
        <v>17</v>
      </c>
      <c r="K291">
        <v>29.8</v>
      </c>
      <c r="L291">
        <v>67.5</v>
      </c>
      <c r="M291" t="s">
        <v>28</v>
      </c>
      <c r="N291">
        <v>41</v>
      </c>
      <c r="O291">
        <v>125</v>
      </c>
      <c r="P291">
        <v>5</v>
      </c>
      <c r="Q291" t="s">
        <v>23</v>
      </c>
      <c r="R291">
        <v>63.3</v>
      </c>
      <c r="S291">
        <v>152</v>
      </c>
      <c r="T291">
        <v>1</v>
      </c>
      <c r="U291" t="str" cm="1">
        <f t="array" ref="U291">_xlfn.IFS(smart_dataset[[#This Row],[Waiting_Time]]&lt;=20,"Low",smart_dataset[[#This Row],[Waiting_Time]]&lt;=40,"Medium",TRUE,"High")</f>
        <v>High</v>
      </c>
      <c r="V291" t="str" cm="1">
        <f t="array" ref="V291">_xlfn.IFS(smart_dataset[[#This Row],[Temperature]]&lt;=20,"Cold",smart_dataset[[#This Row],[Temperature]]&lt;=28,"Normal",TRUE,"Hot")</f>
        <v>Hot</v>
      </c>
      <c r="W291" t="str" cm="1">
        <f t="array" ref="W291">_xlfn.IFS(smart_dataset[[#This Row],[Asset_Utilization]]&lt;=75,"Low",smart_dataset[[#This Row],[Asset_Utilization]]&lt;=90,"Medium",TRUE,"High")</f>
        <v>Low</v>
      </c>
    </row>
    <row r="292" spans="1:23" hidden="1" x14ac:dyDescent="0.25">
      <c r="A292" s="1">
        <v>45623.181458333333</v>
      </c>
      <c r="B292" s="1">
        <f>INT(smart_dataset[[#This Row],[Timestamp]])</f>
        <v>45623</v>
      </c>
      <c r="C292" s="1">
        <f>MOD(smart_dataset[[#This Row],[Timestamp]],1)</f>
        <v>0.18145833333255723</v>
      </c>
      <c r="D292" s="1">
        <f>YEAR(smart_dataset[[#This Row],[Date]])</f>
        <v>2024</v>
      </c>
      <c r="E292" s="1">
        <f>MONTH(smart_dataset[[#This Row],[Timestamp]])</f>
        <v>11</v>
      </c>
      <c r="F292" t="s">
        <v>35</v>
      </c>
      <c r="G292">
        <v>71.885900000000007</v>
      </c>
      <c r="H292">
        <v>93.446399999999997</v>
      </c>
      <c r="I292">
        <v>420</v>
      </c>
      <c r="J292" t="s">
        <v>17</v>
      </c>
      <c r="K292">
        <v>18.399999999999999</v>
      </c>
      <c r="L292">
        <v>68.5</v>
      </c>
      <c r="M292" t="s">
        <v>22</v>
      </c>
      <c r="N292">
        <v>50</v>
      </c>
      <c r="O292">
        <v>340</v>
      </c>
      <c r="P292">
        <v>10</v>
      </c>
      <c r="Q292" t="s">
        <v>23</v>
      </c>
      <c r="R292">
        <v>76.8</v>
      </c>
      <c r="S292">
        <v>212</v>
      </c>
      <c r="T292">
        <v>1</v>
      </c>
      <c r="U292" t="str" cm="1">
        <f t="array" ref="U292">_xlfn.IFS(smart_dataset[[#This Row],[Waiting_Time]]&lt;=20,"Low",smart_dataset[[#This Row],[Waiting_Time]]&lt;=40,"Medium",TRUE,"High")</f>
        <v>High</v>
      </c>
      <c r="V292" t="str" cm="1">
        <f t="array" ref="V292">_xlfn.IFS(smart_dataset[[#This Row],[Temperature]]&lt;=20,"Cold",smart_dataset[[#This Row],[Temperature]]&lt;=28,"Normal",TRUE,"Hot")</f>
        <v>Cold</v>
      </c>
      <c r="W292" t="str" cm="1">
        <f t="array" ref="W292">_xlfn.IFS(smart_dataset[[#This Row],[Asset_Utilization]]&lt;=75,"Low",smart_dataset[[#This Row],[Asset_Utilization]]&lt;=90,"Medium",TRUE,"High")</f>
        <v>Medium</v>
      </c>
    </row>
    <row r="293" spans="1:23" hidden="1" x14ac:dyDescent="0.25">
      <c r="A293" s="1">
        <v>45449.16814814815</v>
      </c>
      <c r="B293" s="1">
        <f>INT(smart_dataset[[#This Row],[Timestamp]])</f>
        <v>45449</v>
      </c>
      <c r="C293" s="1">
        <f>MOD(smart_dataset[[#This Row],[Timestamp]],1)</f>
        <v>0.16814814815006685</v>
      </c>
      <c r="D293" s="1">
        <f>YEAR(smart_dataset[[#This Row],[Date]])</f>
        <v>2024</v>
      </c>
      <c r="E293" s="1">
        <f>MONTH(smart_dataset[[#This Row],[Timestamp]])</f>
        <v>6</v>
      </c>
      <c r="F293" t="s">
        <v>35</v>
      </c>
      <c r="G293">
        <v>-9.7179000000000002</v>
      </c>
      <c r="H293">
        <v>-117.0145</v>
      </c>
      <c r="I293">
        <v>391</v>
      </c>
      <c r="J293" t="s">
        <v>21</v>
      </c>
      <c r="K293">
        <v>25.5</v>
      </c>
      <c r="L293">
        <v>73.7</v>
      </c>
      <c r="M293" t="s">
        <v>18</v>
      </c>
      <c r="N293">
        <v>31</v>
      </c>
      <c r="O293">
        <v>472</v>
      </c>
      <c r="P293">
        <v>10</v>
      </c>
      <c r="Q293" t="s">
        <v>23</v>
      </c>
      <c r="R293">
        <v>77.2</v>
      </c>
      <c r="S293">
        <v>109</v>
      </c>
      <c r="T293">
        <v>0</v>
      </c>
      <c r="U293" t="str" cm="1">
        <f t="array" ref="U293">_xlfn.IFS(smart_dataset[[#This Row],[Waiting_Time]]&lt;=20,"Low",smart_dataset[[#This Row],[Waiting_Time]]&lt;=40,"Medium",TRUE,"High")</f>
        <v>Medium</v>
      </c>
      <c r="V293" t="str" cm="1">
        <f t="array" ref="V293">_xlfn.IFS(smart_dataset[[#This Row],[Temperature]]&lt;=20,"Cold",smart_dataset[[#This Row],[Temperature]]&lt;=28,"Normal",TRUE,"Hot")</f>
        <v>Normal</v>
      </c>
      <c r="W293" t="str" cm="1">
        <f t="array" ref="W293">_xlfn.IFS(smart_dataset[[#This Row],[Asset_Utilization]]&lt;=75,"Low",smart_dataset[[#This Row],[Asset_Utilization]]&lt;=90,"Medium",TRUE,"High")</f>
        <v>Medium</v>
      </c>
    </row>
    <row r="294" spans="1:23" hidden="1" x14ac:dyDescent="0.25">
      <c r="A294" s="1">
        <v>45428.85701388889</v>
      </c>
      <c r="B294" s="1">
        <f>INT(smart_dataset[[#This Row],[Timestamp]])</f>
        <v>45428</v>
      </c>
      <c r="C294" s="1">
        <f>MOD(smart_dataset[[#This Row],[Timestamp]],1)</f>
        <v>0.85701388888992369</v>
      </c>
      <c r="D294" s="1">
        <f>YEAR(smart_dataset[[#This Row],[Date]])</f>
        <v>2024</v>
      </c>
      <c r="E294" s="1">
        <f>MONTH(smart_dataset[[#This Row],[Timestamp]])</f>
        <v>5</v>
      </c>
      <c r="F294" t="s">
        <v>25</v>
      </c>
      <c r="G294">
        <v>-12.2288</v>
      </c>
      <c r="H294">
        <v>-74.780100000000004</v>
      </c>
      <c r="I294">
        <v>212</v>
      </c>
      <c r="J294" t="s">
        <v>26</v>
      </c>
      <c r="K294">
        <v>20.6</v>
      </c>
      <c r="L294">
        <v>50.5</v>
      </c>
      <c r="M294" t="s">
        <v>28</v>
      </c>
      <c r="N294">
        <v>41</v>
      </c>
      <c r="O294">
        <v>498</v>
      </c>
      <c r="P294">
        <v>5</v>
      </c>
      <c r="Q294" t="s">
        <v>31</v>
      </c>
      <c r="R294">
        <v>94.1</v>
      </c>
      <c r="S294">
        <v>162</v>
      </c>
      <c r="T294">
        <v>0</v>
      </c>
      <c r="U294" t="str" cm="1">
        <f t="array" ref="U294">_xlfn.IFS(smart_dataset[[#This Row],[Waiting_Time]]&lt;=20,"Low",smart_dataset[[#This Row],[Waiting_Time]]&lt;=40,"Medium",TRUE,"High")</f>
        <v>High</v>
      </c>
      <c r="V294" t="str" cm="1">
        <f t="array" ref="V294">_xlfn.IFS(smart_dataset[[#This Row],[Temperature]]&lt;=20,"Cold",smart_dataset[[#This Row],[Temperature]]&lt;=28,"Normal",TRUE,"Hot")</f>
        <v>Normal</v>
      </c>
      <c r="W294" t="str" cm="1">
        <f t="array" ref="W294">_xlfn.IFS(smart_dataset[[#This Row],[Asset_Utilization]]&lt;=75,"Low",smart_dataset[[#This Row],[Asset_Utilization]]&lt;=90,"Medium",TRUE,"High")</f>
        <v>High</v>
      </c>
    </row>
    <row r="295" spans="1:23" hidden="1" x14ac:dyDescent="0.25">
      <c r="A295" s="1">
        <v>45487.884814814817</v>
      </c>
      <c r="B295" s="1">
        <f>INT(smart_dataset[[#This Row],[Timestamp]])</f>
        <v>45487</v>
      </c>
      <c r="C295" s="1">
        <f>MOD(smart_dataset[[#This Row],[Timestamp]],1)</f>
        <v>0.88481481481721858</v>
      </c>
      <c r="D295" s="1">
        <f>YEAR(smart_dataset[[#This Row],[Date]])</f>
        <v>2024</v>
      </c>
      <c r="E295" s="1">
        <f>MONTH(smart_dataset[[#This Row],[Timestamp]])</f>
        <v>7</v>
      </c>
      <c r="F295" t="s">
        <v>29</v>
      </c>
      <c r="G295">
        <v>5.4618000000000002</v>
      </c>
      <c r="H295">
        <v>-179.8202</v>
      </c>
      <c r="I295">
        <v>157</v>
      </c>
      <c r="J295" t="s">
        <v>26</v>
      </c>
      <c r="K295">
        <v>20.9</v>
      </c>
      <c r="L295">
        <v>77.099999999999994</v>
      </c>
      <c r="M295" t="s">
        <v>28</v>
      </c>
      <c r="N295">
        <v>26</v>
      </c>
      <c r="O295">
        <v>499</v>
      </c>
      <c r="P295">
        <v>4</v>
      </c>
      <c r="Q295" t="s">
        <v>27</v>
      </c>
      <c r="R295">
        <v>91.4</v>
      </c>
      <c r="S295">
        <v>214</v>
      </c>
      <c r="T295">
        <v>0</v>
      </c>
      <c r="U295" t="str" cm="1">
        <f t="array" ref="U295">_xlfn.IFS(smart_dataset[[#This Row],[Waiting_Time]]&lt;=20,"Low",smart_dataset[[#This Row],[Waiting_Time]]&lt;=40,"Medium",TRUE,"High")</f>
        <v>Medium</v>
      </c>
      <c r="V295" t="str" cm="1">
        <f t="array" ref="V295">_xlfn.IFS(smart_dataset[[#This Row],[Temperature]]&lt;=20,"Cold",smart_dataset[[#This Row],[Temperature]]&lt;=28,"Normal",TRUE,"Hot")</f>
        <v>Normal</v>
      </c>
      <c r="W295" t="str" cm="1">
        <f t="array" ref="W295">_xlfn.IFS(smart_dataset[[#This Row],[Asset_Utilization]]&lt;=75,"Low",smart_dataset[[#This Row],[Asset_Utilization]]&lt;=90,"Medium",TRUE,"High")</f>
        <v>High</v>
      </c>
    </row>
    <row r="296" spans="1:23" hidden="1" x14ac:dyDescent="0.25">
      <c r="A296" s="1">
        <v>45618.480486111112</v>
      </c>
      <c r="B296" s="1">
        <f>INT(smart_dataset[[#This Row],[Timestamp]])</f>
        <v>45618</v>
      </c>
      <c r="C296" s="1">
        <f>MOD(smart_dataset[[#This Row],[Timestamp]],1)</f>
        <v>0.4804861111115315</v>
      </c>
      <c r="D296" s="1">
        <f>YEAR(smart_dataset[[#This Row],[Date]])</f>
        <v>2024</v>
      </c>
      <c r="E296" s="1">
        <f>MONTH(smart_dataset[[#This Row],[Timestamp]])</f>
        <v>11</v>
      </c>
      <c r="F296" t="s">
        <v>32</v>
      </c>
      <c r="G296">
        <v>-54.831699999999998</v>
      </c>
      <c r="H296">
        <v>66.470600000000005</v>
      </c>
      <c r="I296">
        <v>399</v>
      </c>
      <c r="J296" t="s">
        <v>26</v>
      </c>
      <c r="K296">
        <v>26.3</v>
      </c>
      <c r="L296">
        <v>79.400000000000006</v>
      </c>
      <c r="M296" t="s">
        <v>18</v>
      </c>
      <c r="N296">
        <v>25</v>
      </c>
      <c r="O296">
        <v>476</v>
      </c>
      <c r="P296">
        <v>4</v>
      </c>
      <c r="Q296" t="s">
        <v>31</v>
      </c>
      <c r="R296">
        <v>95.6</v>
      </c>
      <c r="S296">
        <v>256</v>
      </c>
      <c r="T296">
        <v>0</v>
      </c>
      <c r="U296" t="str" cm="1">
        <f t="array" ref="U296">_xlfn.IFS(smart_dataset[[#This Row],[Waiting_Time]]&lt;=20,"Low",smart_dataset[[#This Row],[Waiting_Time]]&lt;=40,"Medium",TRUE,"High")</f>
        <v>Medium</v>
      </c>
      <c r="V296" t="str" cm="1">
        <f t="array" ref="V296">_xlfn.IFS(smart_dataset[[#This Row],[Temperature]]&lt;=20,"Cold",smart_dataset[[#This Row],[Temperature]]&lt;=28,"Normal",TRUE,"Hot")</f>
        <v>Normal</v>
      </c>
      <c r="W296" t="str" cm="1">
        <f t="array" ref="W296">_xlfn.IFS(smart_dataset[[#This Row],[Asset_Utilization]]&lt;=75,"Low",smart_dataset[[#This Row],[Asset_Utilization]]&lt;=90,"Medium",TRUE,"High")</f>
        <v>High</v>
      </c>
    </row>
    <row r="297" spans="1:23" x14ac:dyDescent="0.25">
      <c r="A297" s="1">
        <v>45597.896689814814</v>
      </c>
      <c r="B297" s="1">
        <f>INT(smart_dataset[[#This Row],[Timestamp]])</f>
        <v>45597</v>
      </c>
      <c r="C297" s="7">
        <f>MOD(smart_dataset[[#This Row],[Timestamp]],1)</f>
        <v>0.89668981481372612</v>
      </c>
      <c r="D297">
        <f>YEAR(smart_dataset[[#This Row],[Date]])</f>
        <v>2024</v>
      </c>
      <c r="E297">
        <f>MONTH(smart_dataset[[#This Row],[Timestamp]])</f>
        <v>11</v>
      </c>
      <c r="F297" t="s">
        <v>30</v>
      </c>
      <c r="G297">
        <v>-80.052199999999999</v>
      </c>
      <c r="H297">
        <v>-102.2508</v>
      </c>
      <c r="I297">
        <v>103</v>
      </c>
      <c r="J297" t="s">
        <v>26</v>
      </c>
      <c r="K297">
        <v>27.9</v>
      </c>
      <c r="L297">
        <v>53.1</v>
      </c>
      <c r="M297" t="s">
        <v>18</v>
      </c>
      <c r="N297">
        <v>52</v>
      </c>
      <c r="O297">
        <v>386</v>
      </c>
      <c r="P297">
        <v>1</v>
      </c>
      <c r="Q297" t="s">
        <v>19</v>
      </c>
      <c r="R297">
        <v>97.7</v>
      </c>
      <c r="S297">
        <v>141</v>
      </c>
      <c r="T297">
        <v>0</v>
      </c>
      <c r="U297" t="str" cm="1">
        <f t="array" ref="U297">_xlfn.IFS(smart_dataset[[#This Row],[Waiting_Time]]&lt;=20,"Low",smart_dataset[[#This Row],[Waiting_Time]]&lt;=40,"Medium",TRUE,"High")</f>
        <v>High</v>
      </c>
      <c r="V297" t="str" cm="1">
        <f t="array" ref="V297">_xlfn.IFS(smart_dataset[[#This Row],[Temperature]]&lt;=20,"Cold",smart_dataset[[#This Row],[Temperature]]&lt;=28,"Normal",TRUE,"Hot")</f>
        <v>Normal</v>
      </c>
      <c r="W297" t="str" cm="1">
        <f t="array" ref="W297">_xlfn.IFS(smart_dataset[[#This Row],[Asset_Utilization]]&lt;=75,"Low",smart_dataset[[#This Row],[Asset_Utilization]]&lt;=90,"Medium",TRUE,"High")</f>
        <v>High</v>
      </c>
    </row>
    <row r="298" spans="1:23" hidden="1" x14ac:dyDescent="0.25">
      <c r="A298" s="1">
        <v>45592.652511574073</v>
      </c>
      <c r="B298" s="1">
        <f>INT(smart_dataset[[#This Row],[Timestamp]])</f>
        <v>45592</v>
      </c>
      <c r="C298" s="1">
        <f>MOD(smart_dataset[[#This Row],[Timestamp]],1)</f>
        <v>0.65251157407328719</v>
      </c>
      <c r="D298" s="1">
        <f>YEAR(smart_dataset[[#This Row],[Date]])</f>
        <v>2024</v>
      </c>
      <c r="E298" s="1">
        <f>MONTH(smart_dataset[[#This Row],[Timestamp]])</f>
        <v>10</v>
      </c>
      <c r="F298" t="s">
        <v>25</v>
      </c>
      <c r="G298">
        <v>-13.0527</v>
      </c>
      <c r="H298">
        <v>-122.0924</v>
      </c>
      <c r="I298">
        <v>333</v>
      </c>
      <c r="J298" t="s">
        <v>17</v>
      </c>
      <c r="K298">
        <v>22.1</v>
      </c>
      <c r="L298">
        <v>65</v>
      </c>
      <c r="M298" t="s">
        <v>18</v>
      </c>
      <c r="N298">
        <v>22</v>
      </c>
      <c r="O298">
        <v>243</v>
      </c>
      <c r="P298">
        <v>5</v>
      </c>
      <c r="Q298" t="s">
        <v>31</v>
      </c>
      <c r="R298">
        <v>83.2</v>
      </c>
      <c r="S298">
        <v>176</v>
      </c>
      <c r="T298">
        <v>1</v>
      </c>
      <c r="U298" t="str" cm="1">
        <f t="array" ref="U298">_xlfn.IFS(smart_dataset[[#This Row],[Waiting_Time]]&lt;=20,"Low",smart_dataset[[#This Row],[Waiting_Time]]&lt;=40,"Medium",TRUE,"High")</f>
        <v>Medium</v>
      </c>
      <c r="V298" t="str" cm="1">
        <f t="array" ref="V298">_xlfn.IFS(smart_dataset[[#This Row],[Temperature]]&lt;=20,"Cold",smart_dataset[[#This Row],[Temperature]]&lt;=28,"Normal",TRUE,"Hot")</f>
        <v>Normal</v>
      </c>
      <c r="W298" t="str" cm="1">
        <f t="array" ref="W298">_xlfn.IFS(smart_dataset[[#This Row],[Asset_Utilization]]&lt;=75,"Low",smart_dataset[[#This Row],[Asset_Utilization]]&lt;=90,"Medium",TRUE,"High")</f>
        <v>Medium</v>
      </c>
    </row>
    <row r="299" spans="1:23" x14ac:dyDescent="0.25">
      <c r="A299" s="1">
        <v>45336.514317129629</v>
      </c>
      <c r="B299" s="1">
        <f>INT(smart_dataset[[#This Row],[Timestamp]])</f>
        <v>45336</v>
      </c>
      <c r="C299" s="7">
        <f>MOD(smart_dataset[[#This Row],[Timestamp]],1)</f>
        <v>0.5143171296294895</v>
      </c>
      <c r="D299">
        <f>YEAR(smart_dataset[[#This Row],[Date]])</f>
        <v>2024</v>
      </c>
      <c r="E299">
        <f>MONTH(smart_dataset[[#This Row],[Timestamp]])</f>
        <v>2</v>
      </c>
      <c r="F299" t="s">
        <v>20</v>
      </c>
      <c r="G299">
        <v>6.3666</v>
      </c>
      <c r="H299">
        <v>136.07939999999999</v>
      </c>
      <c r="I299">
        <v>234</v>
      </c>
      <c r="J299" t="s">
        <v>26</v>
      </c>
      <c r="K299">
        <v>27.3</v>
      </c>
      <c r="L299">
        <v>70.099999999999994</v>
      </c>
      <c r="M299" t="s">
        <v>18</v>
      </c>
      <c r="N299">
        <v>45</v>
      </c>
      <c r="O299">
        <v>416</v>
      </c>
      <c r="P299">
        <v>8</v>
      </c>
      <c r="Q299" t="s">
        <v>19</v>
      </c>
      <c r="R299">
        <v>86.9</v>
      </c>
      <c r="S299">
        <v>165</v>
      </c>
      <c r="T299">
        <v>0</v>
      </c>
      <c r="U299" t="str" cm="1">
        <f t="array" ref="U299">_xlfn.IFS(smart_dataset[[#This Row],[Waiting_Time]]&lt;=20,"Low",smart_dataset[[#This Row],[Waiting_Time]]&lt;=40,"Medium",TRUE,"High")</f>
        <v>High</v>
      </c>
      <c r="V299" t="str" cm="1">
        <f t="array" ref="V299">_xlfn.IFS(smart_dataset[[#This Row],[Temperature]]&lt;=20,"Cold",smart_dataset[[#This Row],[Temperature]]&lt;=28,"Normal",TRUE,"Hot")</f>
        <v>Normal</v>
      </c>
      <c r="W299" t="str" cm="1">
        <f t="array" ref="W299">_xlfn.IFS(smart_dataset[[#This Row],[Asset_Utilization]]&lt;=75,"Low",smart_dataset[[#This Row],[Asset_Utilization]]&lt;=90,"Medium",TRUE,"High")</f>
        <v>Medium</v>
      </c>
    </row>
    <row r="300" spans="1:23" hidden="1" x14ac:dyDescent="0.25">
      <c r="A300" s="1">
        <v>45414.468564814815</v>
      </c>
      <c r="B300" s="1">
        <f>INT(smart_dataset[[#This Row],[Timestamp]])</f>
        <v>45414</v>
      </c>
      <c r="C300" s="1">
        <f>MOD(smart_dataset[[#This Row],[Timestamp]],1)</f>
        <v>0.46856481481518131</v>
      </c>
      <c r="D300" s="1">
        <f>YEAR(smart_dataset[[#This Row],[Date]])</f>
        <v>2024</v>
      </c>
      <c r="E300" s="1">
        <f>MONTH(smart_dataset[[#This Row],[Timestamp]])</f>
        <v>5</v>
      </c>
      <c r="F300" t="s">
        <v>25</v>
      </c>
      <c r="G300">
        <v>83.124300000000005</v>
      </c>
      <c r="H300">
        <v>48.432499999999997</v>
      </c>
      <c r="I300">
        <v>146</v>
      </c>
      <c r="J300" t="s">
        <v>17</v>
      </c>
      <c r="K300">
        <v>29</v>
      </c>
      <c r="L300">
        <v>55.5</v>
      </c>
      <c r="M300" t="s">
        <v>18</v>
      </c>
      <c r="N300">
        <v>52</v>
      </c>
      <c r="O300">
        <v>414</v>
      </c>
      <c r="P300">
        <v>10</v>
      </c>
      <c r="Q300" t="s">
        <v>31</v>
      </c>
      <c r="R300">
        <v>82.3</v>
      </c>
      <c r="S300">
        <v>228</v>
      </c>
      <c r="T300">
        <v>1</v>
      </c>
      <c r="U300" t="str" cm="1">
        <f t="array" ref="U300">_xlfn.IFS(smart_dataset[[#This Row],[Waiting_Time]]&lt;=20,"Low",smart_dataset[[#This Row],[Waiting_Time]]&lt;=40,"Medium",TRUE,"High")</f>
        <v>High</v>
      </c>
      <c r="V300" t="str" cm="1">
        <f t="array" ref="V300">_xlfn.IFS(smart_dataset[[#This Row],[Temperature]]&lt;=20,"Cold",smart_dataset[[#This Row],[Temperature]]&lt;=28,"Normal",TRUE,"Hot")</f>
        <v>Hot</v>
      </c>
      <c r="W300" t="str" cm="1">
        <f t="array" ref="W300">_xlfn.IFS(smart_dataset[[#This Row],[Asset_Utilization]]&lt;=75,"Low",smart_dataset[[#This Row],[Asset_Utilization]]&lt;=90,"Medium",TRUE,"High")</f>
        <v>Medium</v>
      </c>
    </row>
    <row r="301" spans="1:23" hidden="1" x14ac:dyDescent="0.25">
      <c r="A301" s="1">
        <v>45537.210706018515</v>
      </c>
      <c r="B301" s="1">
        <f>INT(smart_dataset[[#This Row],[Timestamp]])</f>
        <v>45537</v>
      </c>
      <c r="C301" s="1">
        <f>MOD(smart_dataset[[#This Row],[Timestamp]],1)</f>
        <v>0.21070601851533866</v>
      </c>
      <c r="D301" s="1">
        <f>YEAR(smart_dataset[[#This Row],[Date]])</f>
        <v>2024</v>
      </c>
      <c r="E301" s="1">
        <f>MONTH(smart_dataset[[#This Row],[Timestamp]])</f>
        <v>9</v>
      </c>
      <c r="F301" t="s">
        <v>16</v>
      </c>
      <c r="G301">
        <v>51.189799999999998</v>
      </c>
      <c r="H301">
        <v>25.596399999999999</v>
      </c>
      <c r="I301">
        <v>109</v>
      </c>
      <c r="J301" t="s">
        <v>17</v>
      </c>
      <c r="K301">
        <v>20.7</v>
      </c>
      <c r="L301">
        <v>60.9</v>
      </c>
      <c r="M301" t="s">
        <v>22</v>
      </c>
      <c r="N301">
        <v>39</v>
      </c>
      <c r="O301">
        <v>147</v>
      </c>
      <c r="P301">
        <v>9</v>
      </c>
      <c r="Q301" t="s">
        <v>27</v>
      </c>
      <c r="R301">
        <v>75</v>
      </c>
      <c r="S301">
        <v>116</v>
      </c>
      <c r="T301">
        <v>1</v>
      </c>
      <c r="U301" t="str" cm="1">
        <f t="array" ref="U301">_xlfn.IFS(smart_dataset[[#This Row],[Waiting_Time]]&lt;=20,"Low",smart_dataset[[#This Row],[Waiting_Time]]&lt;=40,"Medium",TRUE,"High")</f>
        <v>Medium</v>
      </c>
      <c r="V301" t="str" cm="1">
        <f t="array" ref="V301">_xlfn.IFS(smart_dataset[[#This Row],[Temperature]]&lt;=20,"Cold",smart_dataset[[#This Row],[Temperature]]&lt;=28,"Normal",TRUE,"Hot")</f>
        <v>Normal</v>
      </c>
      <c r="W301" t="str" cm="1">
        <f t="array" ref="W301">_xlfn.IFS(smart_dataset[[#This Row],[Asset_Utilization]]&lt;=75,"Low",smart_dataset[[#This Row],[Asset_Utilization]]&lt;=90,"Medium",TRUE,"High")</f>
        <v>Low</v>
      </c>
    </row>
    <row r="302" spans="1:23" hidden="1" x14ac:dyDescent="0.25">
      <c r="A302" s="1">
        <v>45634.191412037035</v>
      </c>
      <c r="B302" s="1">
        <f>INT(smart_dataset[[#This Row],[Timestamp]])</f>
        <v>45634</v>
      </c>
      <c r="C302" s="1">
        <f>MOD(smart_dataset[[#This Row],[Timestamp]],1)</f>
        <v>0.19141203703475185</v>
      </c>
      <c r="D302" s="1">
        <f>YEAR(smart_dataset[[#This Row],[Date]])</f>
        <v>2024</v>
      </c>
      <c r="E302" s="1">
        <f>MONTH(smart_dataset[[#This Row],[Timestamp]])</f>
        <v>12</v>
      </c>
      <c r="F302" t="s">
        <v>32</v>
      </c>
      <c r="G302">
        <v>-76.398700000000005</v>
      </c>
      <c r="H302">
        <v>-68.1922</v>
      </c>
      <c r="I302">
        <v>357</v>
      </c>
      <c r="J302" t="s">
        <v>17</v>
      </c>
      <c r="K302">
        <v>24.6</v>
      </c>
      <c r="L302">
        <v>73.5</v>
      </c>
      <c r="M302" t="s">
        <v>28</v>
      </c>
      <c r="N302">
        <v>48</v>
      </c>
      <c r="O302">
        <v>266</v>
      </c>
      <c r="P302">
        <v>10</v>
      </c>
      <c r="Q302" t="s">
        <v>27</v>
      </c>
      <c r="R302">
        <v>74.400000000000006</v>
      </c>
      <c r="S302">
        <v>226</v>
      </c>
      <c r="T302">
        <v>1</v>
      </c>
      <c r="U302" t="str" cm="1">
        <f t="array" ref="U302">_xlfn.IFS(smart_dataset[[#This Row],[Waiting_Time]]&lt;=20,"Low",smart_dataset[[#This Row],[Waiting_Time]]&lt;=40,"Medium",TRUE,"High")</f>
        <v>High</v>
      </c>
      <c r="V302" t="str" cm="1">
        <f t="array" ref="V302">_xlfn.IFS(smart_dataset[[#This Row],[Temperature]]&lt;=20,"Cold",smart_dataset[[#This Row],[Temperature]]&lt;=28,"Normal",TRUE,"Hot")</f>
        <v>Normal</v>
      </c>
      <c r="W302" t="str" cm="1">
        <f t="array" ref="W302">_xlfn.IFS(smart_dataset[[#This Row],[Asset_Utilization]]&lt;=75,"Low",smart_dataset[[#This Row],[Asset_Utilization]]&lt;=90,"Medium",TRUE,"High")</f>
        <v>Low</v>
      </c>
    </row>
    <row r="303" spans="1:23" x14ac:dyDescent="0.25">
      <c r="A303" s="1">
        <v>45314.233263888891</v>
      </c>
      <c r="B303" s="1">
        <f>INT(smart_dataset[[#This Row],[Timestamp]])</f>
        <v>45314</v>
      </c>
      <c r="C303" s="7">
        <f>MOD(smart_dataset[[#This Row],[Timestamp]],1)</f>
        <v>0.23326388889108784</v>
      </c>
      <c r="D303">
        <f>YEAR(smart_dataset[[#This Row],[Date]])</f>
        <v>2024</v>
      </c>
      <c r="E303">
        <f>MONTH(smart_dataset[[#This Row],[Timestamp]])</f>
        <v>1</v>
      </c>
      <c r="F303" t="s">
        <v>25</v>
      </c>
      <c r="G303">
        <v>70.554100000000005</v>
      </c>
      <c r="H303">
        <v>-150.1626</v>
      </c>
      <c r="I303">
        <v>356</v>
      </c>
      <c r="J303" t="s">
        <v>26</v>
      </c>
      <c r="K303">
        <v>19.5</v>
      </c>
      <c r="L303">
        <v>63.1</v>
      </c>
      <c r="M303" t="s">
        <v>28</v>
      </c>
      <c r="N303">
        <v>16</v>
      </c>
      <c r="O303">
        <v>118</v>
      </c>
      <c r="P303">
        <v>3</v>
      </c>
      <c r="Q303" t="s">
        <v>19</v>
      </c>
      <c r="R303">
        <v>77.8</v>
      </c>
      <c r="S303">
        <v>230</v>
      </c>
      <c r="T303">
        <v>0</v>
      </c>
      <c r="U303" t="str" cm="1">
        <f t="array" ref="U303">_xlfn.IFS(smart_dataset[[#This Row],[Waiting_Time]]&lt;=20,"Low",smart_dataset[[#This Row],[Waiting_Time]]&lt;=40,"Medium",TRUE,"High")</f>
        <v>Low</v>
      </c>
      <c r="V303" t="str" cm="1">
        <f t="array" ref="V303">_xlfn.IFS(smart_dataset[[#This Row],[Temperature]]&lt;=20,"Cold",smart_dataset[[#This Row],[Temperature]]&lt;=28,"Normal",TRUE,"Hot")</f>
        <v>Cold</v>
      </c>
      <c r="W303" t="str" cm="1">
        <f t="array" ref="W303">_xlfn.IFS(smart_dataset[[#This Row],[Asset_Utilization]]&lt;=75,"Low",smart_dataset[[#This Row],[Asset_Utilization]]&lt;=90,"Medium",TRUE,"High")</f>
        <v>Medium</v>
      </c>
    </row>
    <row r="304" spans="1:23" x14ac:dyDescent="0.25">
      <c r="A304" s="1">
        <v>45316.477708333332</v>
      </c>
      <c r="B304" s="1">
        <f>INT(smart_dataset[[#This Row],[Timestamp]])</f>
        <v>45316</v>
      </c>
      <c r="C304" s="7">
        <f>MOD(smart_dataset[[#This Row],[Timestamp]],1)</f>
        <v>0.47770833333197515</v>
      </c>
      <c r="D304">
        <f>YEAR(smart_dataset[[#This Row],[Date]])</f>
        <v>2024</v>
      </c>
      <c r="E304">
        <f>MONTH(smart_dataset[[#This Row],[Timestamp]])</f>
        <v>1</v>
      </c>
      <c r="F304" t="s">
        <v>30</v>
      </c>
      <c r="G304">
        <v>-38.218499999999999</v>
      </c>
      <c r="H304">
        <v>104.16670000000001</v>
      </c>
      <c r="I304">
        <v>349</v>
      </c>
      <c r="J304" t="s">
        <v>26</v>
      </c>
      <c r="K304">
        <v>19.399999999999999</v>
      </c>
      <c r="L304">
        <v>62.7</v>
      </c>
      <c r="M304" t="s">
        <v>18</v>
      </c>
      <c r="N304">
        <v>19</v>
      </c>
      <c r="O304">
        <v>296</v>
      </c>
      <c r="P304">
        <v>3</v>
      </c>
      <c r="Q304" t="s">
        <v>19</v>
      </c>
      <c r="R304">
        <v>72.3</v>
      </c>
      <c r="S304">
        <v>177</v>
      </c>
      <c r="T304">
        <v>0</v>
      </c>
      <c r="U304" t="str" cm="1">
        <f t="array" ref="U304">_xlfn.IFS(smart_dataset[[#This Row],[Waiting_Time]]&lt;=20,"Low",smart_dataset[[#This Row],[Waiting_Time]]&lt;=40,"Medium",TRUE,"High")</f>
        <v>Low</v>
      </c>
      <c r="V304" t="str" cm="1">
        <f t="array" ref="V304">_xlfn.IFS(smart_dataset[[#This Row],[Temperature]]&lt;=20,"Cold",smart_dataset[[#This Row],[Temperature]]&lt;=28,"Normal",TRUE,"Hot")</f>
        <v>Cold</v>
      </c>
      <c r="W304" t="str" cm="1">
        <f t="array" ref="W304">_xlfn.IFS(smart_dataset[[#This Row],[Asset_Utilization]]&lt;=75,"Low",smart_dataset[[#This Row],[Asset_Utilization]]&lt;=90,"Medium",TRUE,"High")</f>
        <v>Low</v>
      </c>
    </row>
    <row r="305" spans="1:23" x14ac:dyDescent="0.25">
      <c r="A305" s="1">
        <v>45604.563842592594</v>
      </c>
      <c r="B305" s="1">
        <f>INT(smart_dataset[[#This Row],[Timestamp]])</f>
        <v>45604</v>
      </c>
      <c r="C305" s="7">
        <f>MOD(smart_dataset[[#This Row],[Timestamp]],1)</f>
        <v>0.5638425925935735</v>
      </c>
      <c r="D305">
        <f>YEAR(smart_dataset[[#This Row],[Date]])</f>
        <v>2024</v>
      </c>
      <c r="E305">
        <f>MONTH(smart_dataset[[#This Row],[Timestamp]])</f>
        <v>11</v>
      </c>
      <c r="F305" t="s">
        <v>35</v>
      </c>
      <c r="G305">
        <v>39.141100000000002</v>
      </c>
      <c r="H305">
        <v>138.17859999999999</v>
      </c>
      <c r="I305">
        <v>159</v>
      </c>
      <c r="J305" t="s">
        <v>26</v>
      </c>
      <c r="K305">
        <v>27.1</v>
      </c>
      <c r="L305">
        <v>77.5</v>
      </c>
      <c r="M305" t="s">
        <v>22</v>
      </c>
      <c r="N305">
        <v>33</v>
      </c>
      <c r="O305">
        <v>429</v>
      </c>
      <c r="P305">
        <v>9</v>
      </c>
      <c r="Q305" t="s">
        <v>19</v>
      </c>
      <c r="R305">
        <v>77.900000000000006</v>
      </c>
      <c r="S305">
        <v>200</v>
      </c>
      <c r="T305">
        <v>1</v>
      </c>
      <c r="U305" t="str" cm="1">
        <f t="array" ref="U305">_xlfn.IFS(smart_dataset[[#This Row],[Waiting_Time]]&lt;=20,"Low",smart_dataset[[#This Row],[Waiting_Time]]&lt;=40,"Medium",TRUE,"High")</f>
        <v>Medium</v>
      </c>
      <c r="V305" t="str" cm="1">
        <f t="array" ref="V305">_xlfn.IFS(smart_dataset[[#This Row],[Temperature]]&lt;=20,"Cold",smart_dataset[[#This Row],[Temperature]]&lt;=28,"Normal",TRUE,"Hot")</f>
        <v>Normal</v>
      </c>
      <c r="W305" t="str" cm="1">
        <f t="array" ref="W305">_xlfn.IFS(smart_dataset[[#This Row],[Asset_Utilization]]&lt;=75,"Low",smart_dataset[[#This Row],[Asset_Utilization]]&lt;=90,"Medium",TRUE,"High")</f>
        <v>Medium</v>
      </c>
    </row>
    <row r="306" spans="1:23" hidden="1" x14ac:dyDescent="0.25">
      <c r="A306" s="1">
        <v>45442.045023148145</v>
      </c>
      <c r="B306" s="1">
        <f>INT(smart_dataset[[#This Row],[Timestamp]])</f>
        <v>45442</v>
      </c>
      <c r="C306" s="1">
        <f>MOD(smart_dataset[[#This Row],[Timestamp]],1)</f>
        <v>4.5023148144537117E-2</v>
      </c>
      <c r="D306" s="1">
        <f>YEAR(smart_dataset[[#This Row],[Date]])</f>
        <v>2024</v>
      </c>
      <c r="E306" s="1">
        <f>MONTH(smart_dataset[[#This Row],[Timestamp]])</f>
        <v>5</v>
      </c>
      <c r="F306" t="s">
        <v>29</v>
      </c>
      <c r="G306">
        <v>-68.800600000000003</v>
      </c>
      <c r="H306">
        <v>159.00399999999999</v>
      </c>
      <c r="I306">
        <v>148</v>
      </c>
      <c r="J306" t="s">
        <v>26</v>
      </c>
      <c r="K306">
        <v>25</v>
      </c>
      <c r="L306">
        <v>60.7</v>
      </c>
      <c r="M306" t="s">
        <v>28</v>
      </c>
      <c r="N306">
        <v>43</v>
      </c>
      <c r="O306">
        <v>196</v>
      </c>
      <c r="P306">
        <v>4</v>
      </c>
      <c r="Q306" t="s">
        <v>31</v>
      </c>
      <c r="R306">
        <v>64.599999999999994</v>
      </c>
      <c r="S306">
        <v>240</v>
      </c>
      <c r="T306">
        <v>0</v>
      </c>
      <c r="U306" t="str" cm="1">
        <f t="array" ref="U306">_xlfn.IFS(smart_dataset[[#This Row],[Waiting_Time]]&lt;=20,"Low",smart_dataset[[#This Row],[Waiting_Time]]&lt;=40,"Medium",TRUE,"High")</f>
        <v>High</v>
      </c>
      <c r="V306" t="str" cm="1">
        <f t="array" ref="V306">_xlfn.IFS(smart_dataset[[#This Row],[Temperature]]&lt;=20,"Cold",smart_dataset[[#This Row],[Temperature]]&lt;=28,"Normal",TRUE,"Hot")</f>
        <v>Normal</v>
      </c>
      <c r="W306" t="str" cm="1">
        <f t="array" ref="W306">_xlfn.IFS(smart_dataset[[#This Row],[Asset_Utilization]]&lt;=75,"Low",smart_dataset[[#This Row],[Asset_Utilization]]&lt;=90,"Medium",TRUE,"High")</f>
        <v>Low</v>
      </c>
    </row>
    <row r="307" spans="1:23" x14ac:dyDescent="0.25">
      <c r="A307" s="1">
        <v>45442.479560185187</v>
      </c>
      <c r="B307" s="1">
        <f>INT(smart_dataset[[#This Row],[Timestamp]])</f>
        <v>45442</v>
      </c>
      <c r="C307" s="7">
        <f>MOD(smart_dataset[[#This Row],[Timestamp]],1)</f>
        <v>0.47956018518743804</v>
      </c>
      <c r="D307">
        <f>YEAR(smart_dataset[[#This Row],[Date]])</f>
        <v>2024</v>
      </c>
      <c r="E307">
        <f>MONTH(smart_dataset[[#This Row],[Timestamp]])</f>
        <v>5</v>
      </c>
      <c r="F307" t="s">
        <v>33</v>
      </c>
      <c r="G307">
        <v>51.159799999999997</v>
      </c>
      <c r="H307">
        <v>-170.93109999999999</v>
      </c>
      <c r="I307">
        <v>354</v>
      </c>
      <c r="J307" t="s">
        <v>26</v>
      </c>
      <c r="K307">
        <v>26.9</v>
      </c>
      <c r="L307">
        <v>65.5</v>
      </c>
      <c r="M307" t="s">
        <v>22</v>
      </c>
      <c r="N307">
        <v>14</v>
      </c>
      <c r="O307">
        <v>245</v>
      </c>
      <c r="P307">
        <v>4</v>
      </c>
      <c r="Q307" t="s">
        <v>19</v>
      </c>
      <c r="R307">
        <v>73.400000000000006</v>
      </c>
      <c r="S307">
        <v>151</v>
      </c>
      <c r="T307">
        <v>1</v>
      </c>
      <c r="U307" t="str" cm="1">
        <f t="array" ref="U307">_xlfn.IFS(smart_dataset[[#This Row],[Waiting_Time]]&lt;=20,"Low",smart_dataset[[#This Row],[Waiting_Time]]&lt;=40,"Medium",TRUE,"High")</f>
        <v>Low</v>
      </c>
      <c r="V307" t="str" cm="1">
        <f t="array" ref="V307">_xlfn.IFS(smart_dataset[[#This Row],[Temperature]]&lt;=20,"Cold",smart_dataset[[#This Row],[Temperature]]&lt;=28,"Normal",TRUE,"Hot")</f>
        <v>Normal</v>
      </c>
      <c r="W307" t="str" cm="1">
        <f t="array" ref="W307">_xlfn.IFS(smart_dataset[[#This Row],[Asset_Utilization]]&lt;=75,"Low",smart_dataset[[#This Row],[Asset_Utilization]]&lt;=90,"Medium",TRUE,"High")</f>
        <v>Low</v>
      </c>
    </row>
    <row r="308" spans="1:23" hidden="1" x14ac:dyDescent="0.25">
      <c r="A308" s="1">
        <v>45353.992604166669</v>
      </c>
      <c r="B308" s="1">
        <f>INT(smart_dataset[[#This Row],[Timestamp]])</f>
        <v>45353</v>
      </c>
      <c r="C308" s="1">
        <f>MOD(smart_dataset[[#This Row],[Timestamp]],1)</f>
        <v>0.99260416666948004</v>
      </c>
      <c r="D308" s="1">
        <f>YEAR(smart_dataset[[#This Row],[Date]])</f>
        <v>2024</v>
      </c>
      <c r="E308" s="1">
        <f>MONTH(smart_dataset[[#This Row],[Timestamp]])</f>
        <v>3</v>
      </c>
      <c r="F308" t="s">
        <v>32</v>
      </c>
      <c r="G308">
        <v>-29.5867</v>
      </c>
      <c r="H308">
        <v>41.061199999999999</v>
      </c>
      <c r="I308">
        <v>214</v>
      </c>
      <c r="J308" t="s">
        <v>26</v>
      </c>
      <c r="K308">
        <v>21.5</v>
      </c>
      <c r="L308">
        <v>69.099999999999994</v>
      </c>
      <c r="M308" t="s">
        <v>22</v>
      </c>
      <c r="N308">
        <v>49</v>
      </c>
      <c r="O308">
        <v>417</v>
      </c>
      <c r="P308">
        <v>10</v>
      </c>
      <c r="Q308" t="s">
        <v>27</v>
      </c>
      <c r="R308">
        <v>76.7</v>
      </c>
      <c r="S308">
        <v>249</v>
      </c>
      <c r="T308">
        <v>1</v>
      </c>
      <c r="U308" t="str" cm="1">
        <f t="array" ref="U308">_xlfn.IFS(smart_dataset[[#This Row],[Waiting_Time]]&lt;=20,"Low",smart_dataset[[#This Row],[Waiting_Time]]&lt;=40,"Medium",TRUE,"High")</f>
        <v>High</v>
      </c>
      <c r="V308" t="str" cm="1">
        <f t="array" ref="V308">_xlfn.IFS(smart_dataset[[#This Row],[Temperature]]&lt;=20,"Cold",smart_dataset[[#This Row],[Temperature]]&lt;=28,"Normal",TRUE,"Hot")</f>
        <v>Normal</v>
      </c>
      <c r="W308" t="str" cm="1">
        <f t="array" ref="W308">_xlfn.IFS(smart_dataset[[#This Row],[Asset_Utilization]]&lt;=75,"Low",smart_dataset[[#This Row],[Asset_Utilization]]&lt;=90,"Medium",TRUE,"High")</f>
        <v>Medium</v>
      </c>
    </row>
    <row r="309" spans="1:23" x14ac:dyDescent="0.25">
      <c r="A309" s="1">
        <v>45533.494849537034</v>
      </c>
      <c r="B309" s="1">
        <f>INT(smart_dataset[[#This Row],[Timestamp]])</f>
        <v>45533</v>
      </c>
      <c r="C309" s="7">
        <f>MOD(smart_dataset[[#This Row],[Timestamp]],1)</f>
        <v>0.49484953703358769</v>
      </c>
      <c r="D309">
        <f>YEAR(smart_dataset[[#This Row],[Date]])</f>
        <v>2024</v>
      </c>
      <c r="E309">
        <f>MONTH(smart_dataset[[#This Row],[Timestamp]])</f>
        <v>8</v>
      </c>
      <c r="F309" t="s">
        <v>32</v>
      </c>
      <c r="G309">
        <v>-51.341200000000001</v>
      </c>
      <c r="H309">
        <v>-112.1636</v>
      </c>
      <c r="I309">
        <v>307</v>
      </c>
      <c r="J309" t="s">
        <v>17</v>
      </c>
      <c r="K309">
        <v>21</v>
      </c>
      <c r="L309">
        <v>52.8</v>
      </c>
      <c r="M309" t="s">
        <v>28</v>
      </c>
      <c r="N309">
        <v>21</v>
      </c>
      <c r="O309">
        <v>475</v>
      </c>
      <c r="P309">
        <v>4</v>
      </c>
      <c r="Q309" t="s">
        <v>19</v>
      </c>
      <c r="R309">
        <v>82.8</v>
      </c>
      <c r="S309">
        <v>107</v>
      </c>
      <c r="T309">
        <v>1</v>
      </c>
      <c r="U309" t="str" cm="1">
        <f t="array" ref="U309">_xlfn.IFS(smart_dataset[[#This Row],[Waiting_Time]]&lt;=20,"Low",smart_dataset[[#This Row],[Waiting_Time]]&lt;=40,"Medium",TRUE,"High")</f>
        <v>Medium</v>
      </c>
      <c r="V309" t="str" cm="1">
        <f t="array" ref="V309">_xlfn.IFS(smart_dataset[[#This Row],[Temperature]]&lt;=20,"Cold",smart_dataset[[#This Row],[Temperature]]&lt;=28,"Normal",TRUE,"Hot")</f>
        <v>Normal</v>
      </c>
      <c r="W309" t="str" cm="1">
        <f t="array" ref="W309">_xlfn.IFS(smart_dataset[[#This Row],[Asset_Utilization]]&lt;=75,"Low",smart_dataset[[#This Row],[Asset_Utilization]]&lt;=90,"Medium",TRUE,"High")</f>
        <v>Medium</v>
      </c>
    </row>
    <row r="310" spans="1:23" x14ac:dyDescent="0.25">
      <c r="A310" s="1">
        <v>45438.078506944446</v>
      </c>
      <c r="B310" s="1">
        <f>INT(smart_dataset[[#This Row],[Timestamp]])</f>
        <v>45438</v>
      </c>
      <c r="C310" s="7">
        <f>MOD(smart_dataset[[#This Row],[Timestamp]],1)</f>
        <v>7.8506944446417037E-2</v>
      </c>
      <c r="D310">
        <f>YEAR(smart_dataset[[#This Row],[Date]])</f>
        <v>2024</v>
      </c>
      <c r="E310">
        <f>MONTH(smart_dataset[[#This Row],[Timestamp]])</f>
        <v>5</v>
      </c>
      <c r="F310" t="s">
        <v>35</v>
      </c>
      <c r="G310">
        <v>-49.505699999999997</v>
      </c>
      <c r="H310">
        <v>174.35329999999999</v>
      </c>
      <c r="I310">
        <v>385</v>
      </c>
      <c r="J310" t="s">
        <v>21</v>
      </c>
      <c r="K310">
        <v>24.3</v>
      </c>
      <c r="L310">
        <v>59.4</v>
      </c>
      <c r="M310" t="s">
        <v>28</v>
      </c>
      <c r="N310">
        <v>37</v>
      </c>
      <c r="O310">
        <v>239</v>
      </c>
      <c r="P310">
        <v>3</v>
      </c>
      <c r="Q310" t="s">
        <v>19</v>
      </c>
      <c r="R310">
        <v>88.3</v>
      </c>
      <c r="S310">
        <v>148</v>
      </c>
      <c r="T310">
        <v>0</v>
      </c>
      <c r="U310" t="str" cm="1">
        <f t="array" ref="U310">_xlfn.IFS(smart_dataset[[#This Row],[Waiting_Time]]&lt;=20,"Low",smart_dataset[[#This Row],[Waiting_Time]]&lt;=40,"Medium",TRUE,"High")</f>
        <v>Medium</v>
      </c>
      <c r="V310" t="str" cm="1">
        <f t="array" ref="V310">_xlfn.IFS(smart_dataset[[#This Row],[Temperature]]&lt;=20,"Cold",smart_dataset[[#This Row],[Temperature]]&lt;=28,"Normal",TRUE,"Hot")</f>
        <v>Normal</v>
      </c>
      <c r="W310" t="str" cm="1">
        <f t="array" ref="W310">_xlfn.IFS(smart_dataset[[#This Row],[Asset_Utilization]]&lt;=75,"Low",smart_dataset[[#This Row],[Asset_Utilization]]&lt;=90,"Medium",TRUE,"High")</f>
        <v>Medium</v>
      </c>
    </row>
    <row r="311" spans="1:23" hidden="1" x14ac:dyDescent="0.25">
      <c r="A311" s="1">
        <v>45497.05605324074</v>
      </c>
      <c r="B311" s="1">
        <f>INT(smart_dataset[[#This Row],[Timestamp]])</f>
        <v>45497</v>
      </c>
      <c r="C311" s="1">
        <f>MOD(smart_dataset[[#This Row],[Timestamp]],1)</f>
        <v>5.6053240739856847E-2</v>
      </c>
      <c r="D311" s="1">
        <f>YEAR(smart_dataset[[#This Row],[Date]])</f>
        <v>2024</v>
      </c>
      <c r="E311" s="1">
        <f>MONTH(smart_dataset[[#This Row],[Timestamp]])</f>
        <v>7</v>
      </c>
      <c r="F311" t="s">
        <v>32</v>
      </c>
      <c r="G311">
        <v>0.75770000000000004</v>
      </c>
      <c r="H311">
        <v>120.0181</v>
      </c>
      <c r="I311">
        <v>490</v>
      </c>
      <c r="J311" t="s">
        <v>17</v>
      </c>
      <c r="K311">
        <v>24</v>
      </c>
      <c r="L311">
        <v>56.1</v>
      </c>
      <c r="M311" t="s">
        <v>22</v>
      </c>
      <c r="N311">
        <v>29</v>
      </c>
      <c r="O311">
        <v>463</v>
      </c>
      <c r="P311">
        <v>6</v>
      </c>
      <c r="Q311" t="s">
        <v>31</v>
      </c>
      <c r="R311">
        <v>81.099999999999994</v>
      </c>
      <c r="S311">
        <v>134</v>
      </c>
      <c r="T311">
        <v>1</v>
      </c>
      <c r="U311" t="str" cm="1">
        <f t="array" ref="U311">_xlfn.IFS(smart_dataset[[#This Row],[Waiting_Time]]&lt;=20,"Low",smart_dataset[[#This Row],[Waiting_Time]]&lt;=40,"Medium",TRUE,"High")</f>
        <v>Medium</v>
      </c>
      <c r="V311" t="str" cm="1">
        <f t="array" ref="V311">_xlfn.IFS(smart_dataset[[#This Row],[Temperature]]&lt;=20,"Cold",smart_dataset[[#This Row],[Temperature]]&lt;=28,"Normal",TRUE,"Hot")</f>
        <v>Normal</v>
      </c>
      <c r="W311" t="str" cm="1">
        <f t="array" ref="W311">_xlfn.IFS(smart_dataset[[#This Row],[Asset_Utilization]]&lt;=75,"Low",smart_dataset[[#This Row],[Asset_Utilization]]&lt;=90,"Medium",TRUE,"High")</f>
        <v>Medium</v>
      </c>
    </row>
    <row r="312" spans="1:23" x14ac:dyDescent="0.25">
      <c r="A312" s="1">
        <v>45650.431203703702</v>
      </c>
      <c r="B312" s="1">
        <f>INT(smart_dataset[[#This Row],[Timestamp]])</f>
        <v>45650</v>
      </c>
      <c r="C312" s="7">
        <f>MOD(smart_dataset[[#This Row],[Timestamp]],1)</f>
        <v>0.43120370370161254</v>
      </c>
      <c r="D312">
        <f>YEAR(smart_dataset[[#This Row],[Date]])</f>
        <v>2024</v>
      </c>
      <c r="E312">
        <f>MONTH(smart_dataset[[#This Row],[Timestamp]])</f>
        <v>12</v>
      </c>
      <c r="F312" t="s">
        <v>29</v>
      </c>
      <c r="G312">
        <v>-2.2911000000000001</v>
      </c>
      <c r="H312">
        <v>64.273099999999999</v>
      </c>
      <c r="I312">
        <v>133</v>
      </c>
      <c r="J312" t="s">
        <v>17</v>
      </c>
      <c r="K312">
        <v>19.399999999999999</v>
      </c>
      <c r="L312">
        <v>76</v>
      </c>
      <c r="M312" t="s">
        <v>18</v>
      </c>
      <c r="N312">
        <v>36</v>
      </c>
      <c r="O312">
        <v>182</v>
      </c>
      <c r="P312">
        <v>3</v>
      </c>
      <c r="Q312" t="s">
        <v>19</v>
      </c>
      <c r="R312">
        <v>70.5</v>
      </c>
      <c r="S312">
        <v>249</v>
      </c>
      <c r="T312">
        <v>1</v>
      </c>
      <c r="U312" t="str" cm="1">
        <f t="array" ref="U312">_xlfn.IFS(smart_dataset[[#This Row],[Waiting_Time]]&lt;=20,"Low",smart_dataset[[#This Row],[Waiting_Time]]&lt;=40,"Medium",TRUE,"High")</f>
        <v>Medium</v>
      </c>
      <c r="V312" t="str" cm="1">
        <f t="array" ref="V312">_xlfn.IFS(smart_dataset[[#This Row],[Temperature]]&lt;=20,"Cold",smart_dataset[[#This Row],[Temperature]]&lt;=28,"Normal",TRUE,"Hot")</f>
        <v>Cold</v>
      </c>
      <c r="W312" t="str" cm="1">
        <f t="array" ref="W312">_xlfn.IFS(smart_dataset[[#This Row],[Asset_Utilization]]&lt;=75,"Low",smart_dataset[[#This Row],[Asset_Utilization]]&lt;=90,"Medium",TRUE,"High")</f>
        <v>Low</v>
      </c>
    </row>
    <row r="313" spans="1:23" x14ac:dyDescent="0.25">
      <c r="A313" s="1">
        <v>45333.611157407409</v>
      </c>
      <c r="B313" s="1">
        <f>INT(smart_dataset[[#This Row],[Timestamp]])</f>
        <v>45333</v>
      </c>
      <c r="C313" s="7">
        <f>MOD(smart_dataset[[#This Row],[Timestamp]],1)</f>
        <v>0.61115740740933688</v>
      </c>
      <c r="D313">
        <f>YEAR(smart_dataset[[#This Row],[Date]])</f>
        <v>2024</v>
      </c>
      <c r="E313">
        <f>MONTH(smart_dataset[[#This Row],[Timestamp]])</f>
        <v>2</v>
      </c>
      <c r="F313" t="s">
        <v>30</v>
      </c>
      <c r="G313">
        <v>78.432400000000001</v>
      </c>
      <c r="H313">
        <v>125.0181</v>
      </c>
      <c r="I313">
        <v>472</v>
      </c>
      <c r="J313" t="s">
        <v>26</v>
      </c>
      <c r="K313">
        <v>24.9</v>
      </c>
      <c r="L313">
        <v>63.2</v>
      </c>
      <c r="M313" t="s">
        <v>18</v>
      </c>
      <c r="N313">
        <v>36</v>
      </c>
      <c r="O313">
        <v>485</v>
      </c>
      <c r="P313">
        <v>9</v>
      </c>
      <c r="Q313" t="s">
        <v>19</v>
      </c>
      <c r="R313">
        <v>78.900000000000006</v>
      </c>
      <c r="S313">
        <v>271</v>
      </c>
      <c r="T313">
        <v>0</v>
      </c>
      <c r="U313" t="str" cm="1">
        <f t="array" ref="U313">_xlfn.IFS(smart_dataset[[#This Row],[Waiting_Time]]&lt;=20,"Low",smart_dataset[[#This Row],[Waiting_Time]]&lt;=40,"Medium",TRUE,"High")</f>
        <v>Medium</v>
      </c>
      <c r="V313" t="str" cm="1">
        <f t="array" ref="V313">_xlfn.IFS(smart_dataset[[#This Row],[Temperature]]&lt;=20,"Cold",smart_dataset[[#This Row],[Temperature]]&lt;=28,"Normal",TRUE,"Hot")</f>
        <v>Normal</v>
      </c>
      <c r="W313" t="str" cm="1">
        <f t="array" ref="W313">_xlfn.IFS(smart_dataset[[#This Row],[Asset_Utilization]]&lt;=75,"Low",smart_dataset[[#This Row],[Asset_Utilization]]&lt;=90,"Medium",TRUE,"High")</f>
        <v>Medium</v>
      </c>
    </row>
    <row r="314" spans="1:23" hidden="1" x14ac:dyDescent="0.25">
      <c r="A314" s="1">
        <v>45406.03806712963</v>
      </c>
      <c r="B314" s="1">
        <f>INT(smart_dataset[[#This Row],[Timestamp]])</f>
        <v>45406</v>
      </c>
      <c r="C314" s="1">
        <f>MOD(smart_dataset[[#This Row],[Timestamp]],1)</f>
        <v>3.8067129629780538E-2</v>
      </c>
      <c r="D314" s="1">
        <f>YEAR(smart_dataset[[#This Row],[Date]])</f>
        <v>2024</v>
      </c>
      <c r="E314" s="1">
        <f>MONTH(smart_dataset[[#This Row],[Timestamp]])</f>
        <v>4</v>
      </c>
      <c r="F314" t="s">
        <v>16</v>
      </c>
      <c r="G314">
        <v>-2.8329</v>
      </c>
      <c r="H314">
        <v>-29.9102</v>
      </c>
      <c r="I314">
        <v>338</v>
      </c>
      <c r="J314" t="s">
        <v>21</v>
      </c>
      <c r="K314">
        <v>28.9</v>
      </c>
      <c r="L314">
        <v>55.5</v>
      </c>
      <c r="M314" t="s">
        <v>18</v>
      </c>
      <c r="N314">
        <v>39</v>
      </c>
      <c r="O314">
        <v>181</v>
      </c>
      <c r="P314">
        <v>2</v>
      </c>
      <c r="Q314" t="s">
        <v>31</v>
      </c>
      <c r="R314">
        <v>88.6</v>
      </c>
      <c r="S314">
        <v>143</v>
      </c>
      <c r="T314">
        <v>0</v>
      </c>
      <c r="U314" t="str" cm="1">
        <f t="array" ref="U314">_xlfn.IFS(smart_dataset[[#This Row],[Waiting_Time]]&lt;=20,"Low",smart_dataset[[#This Row],[Waiting_Time]]&lt;=40,"Medium",TRUE,"High")</f>
        <v>Medium</v>
      </c>
      <c r="V314" t="str" cm="1">
        <f t="array" ref="V314">_xlfn.IFS(smart_dataset[[#This Row],[Temperature]]&lt;=20,"Cold",smart_dataset[[#This Row],[Temperature]]&lt;=28,"Normal",TRUE,"Hot")</f>
        <v>Hot</v>
      </c>
      <c r="W314" t="str" cm="1">
        <f t="array" ref="W314">_xlfn.IFS(smart_dataset[[#This Row],[Asset_Utilization]]&lt;=75,"Low",smart_dataset[[#This Row],[Asset_Utilization]]&lt;=90,"Medium",TRUE,"High")</f>
        <v>Medium</v>
      </c>
    </row>
    <row r="315" spans="1:23" hidden="1" x14ac:dyDescent="0.25">
      <c r="A315" s="1">
        <v>45299.431064814817</v>
      </c>
      <c r="B315" s="1">
        <f>INT(smart_dataset[[#This Row],[Timestamp]])</f>
        <v>45299</v>
      </c>
      <c r="C315" s="1">
        <f>MOD(smart_dataset[[#This Row],[Timestamp]],1)</f>
        <v>0.4310648148166365</v>
      </c>
      <c r="D315" s="1">
        <f>YEAR(smart_dataset[[#This Row],[Date]])</f>
        <v>2024</v>
      </c>
      <c r="E315" s="1">
        <f>MONTH(smart_dataset[[#This Row],[Timestamp]])</f>
        <v>1</v>
      </c>
      <c r="F315" t="s">
        <v>30</v>
      </c>
      <c r="G315">
        <v>70.010300000000001</v>
      </c>
      <c r="H315">
        <v>-164.19139999999999</v>
      </c>
      <c r="I315">
        <v>172</v>
      </c>
      <c r="J315" t="s">
        <v>26</v>
      </c>
      <c r="K315">
        <v>25.5</v>
      </c>
      <c r="L315">
        <v>55.7</v>
      </c>
      <c r="M315" t="s">
        <v>18</v>
      </c>
      <c r="N315">
        <v>25</v>
      </c>
      <c r="O315">
        <v>259</v>
      </c>
      <c r="P315">
        <v>1</v>
      </c>
      <c r="Q315" t="s">
        <v>27</v>
      </c>
      <c r="R315">
        <v>65.2</v>
      </c>
      <c r="S315">
        <v>255</v>
      </c>
      <c r="T315">
        <v>0</v>
      </c>
      <c r="U315" t="str" cm="1">
        <f t="array" ref="U315">_xlfn.IFS(smart_dataset[[#This Row],[Waiting_Time]]&lt;=20,"Low",smart_dataset[[#This Row],[Waiting_Time]]&lt;=40,"Medium",TRUE,"High")</f>
        <v>Medium</v>
      </c>
      <c r="V315" t="str" cm="1">
        <f t="array" ref="V315">_xlfn.IFS(smart_dataset[[#This Row],[Temperature]]&lt;=20,"Cold",smart_dataset[[#This Row],[Temperature]]&lt;=28,"Normal",TRUE,"Hot")</f>
        <v>Normal</v>
      </c>
      <c r="W315" t="str" cm="1">
        <f t="array" ref="W315">_xlfn.IFS(smart_dataset[[#This Row],[Asset_Utilization]]&lt;=75,"Low",smart_dataset[[#This Row],[Asset_Utilization]]&lt;=90,"Medium",TRUE,"High")</f>
        <v>Low</v>
      </c>
    </row>
    <row r="316" spans="1:23" hidden="1" x14ac:dyDescent="0.25">
      <c r="A316" s="1">
        <v>45590.126203703701</v>
      </c>
      <c r="B316" s="1">
        <f>INT(smart_dataset[[#This Row],[Timestamp]])</f>
        <v>45590</v>
      </c>
      <c r="C316" s="1">
        <f>MOD(smart_dataset[[#This Row],[Timestamp]],1)</f>
        <v>0.1262037037013215</v>
      </c>
      <c r="D316" s="1">
        <f>YEAR(smart_dataset[[#This Row],[Date]])</f>
        <v>2024</v>
      </c>
      <c r="E316" s="1">
        <f>MONTH(smart_dataset[[#This Row],[Timestamp]])</f>
        <v>10</v>
      </c>
      <c r="F316" t="s">
        <v>30</v>
      </c>
      <c r="G316">
        <v>11.4885</v>
      </c>
      <c r="H316">
        <v>-172.56899999999999</v>
      </c>
      <c r="I316">
        <v>187</v>
      </c>
      <c r="J316" t="s">
        <v>17</v>
      </c>
      <c r="K316">
        <v>24.8</v>
      </c>
      <c r="L316">
        <v>52</v>
      </c>
      <c r="M316" t="s">
        <v>18</v>
      </c>
      <c r="N316">
        <v>31</v>
      </c>
      <c r="O316">
        <v>231</v>
      </c>
      <c r="P316">
        <v>5</v>
      </c>
      <c r="Q316" t="s">
        <v>23</v>
      </c>
      <c r="R316">
        <v>91.6</v>
      </c>
      <c r="S316">
        <v>234</v>
      </c>
      <c r="T316">
        <v>1</v>
      </c>
      <c r="U316" t="str" cm="1">
        <f t="array" ref="U316">_xlfn.IFS(smart_dataset[[#This Row],[Waiting_Time]]&lt;=20,"Low",smart_dataset[[#This Row],[Waiting_Time]]&lt;=40,"Medium",TRUE,"High")</f>
        <v>Medium</v>
      </c>
      <c r="V316" t="str" cm="1">
        <f t="array" ref="V316">_xlfn.IFS(smart_dataset[[#This Row],[Temperature]]&lt;=20,"Cold",smart_dataset[[#This Row],[Temperature]]&lt;=28,"Normal",TRUE,"Hot")</f>
        <v>Normal</v>
      </c>
      <c r="W316" t="str" cm="1">
        <f t="array" ref="W316">_xlfn.IFS(smart_dataset[[#This Row],[Asset_Utilization]]&lt;=75,"Low",smart_dataset[[#This Row],[Asset_Utilization]]&lt;=90,"Medium",TRUE,"High")</f>
        <v>High</v>
      </c>
    </row>
    <row r="317" spans="1:23" hidden="1" x14ac:dyDescent="0.25">
      <c r="A317" s="1">
        <v>45638.62767361111</v>
      </c>
      <c r="B317" s="1">
        <f>INT(smart_dataset[[#This Row],[Timestamp]])</f>
        <v>45638</v>
      </c>
      <c r="C317" s="1">
        <f>MOD(smart_dataset[[#This Row],[Timestamp]],1)</f>
        <v>0.62767361111036735</v>
      </c>
      <c r="D317" s="1">
        <f>YEAR(smart_dataset[[#This Row],[Date]])</f>
        <v>2024</v>
      </c>
      <c r="E317" s="1">
        <f>MONTH(smart_dataset[[#This Row],[Timestamp]])</f>
        <v>12</v>
      </c>
      <c r="F317" t="s">
        <v>32</v>
      </c>
      <c r="G317">
        <v>74.5261</v>
      </c>
      <c r="H317">
        <v>123.6828</v>
      </c>
      <c r="I317">
        <v>439</v>
      </c>
      <c r="J317" t="s">
        <v>21</v>
      </c>
      <c r="K317">
        <v>23.5</v>
      </c>
      <c r="L317">
        <v>55.1</v>
      </c>
      <c r="M317" t="s">
        <v>18</v>
      </c>
      <c r="N317">
        <v>47</v>
      </c>
      <c r="O317">
        <v>454</v>
      </c>
      <c r="P317">
        <v>3</v>
      </c>
      <c r="Q317" t="s">
        <v>23</v>
      </c>
      <c r="R317">
        <v>75.5</v>
      </c>
      <c r="S317">
        <v>196</v>
      </c>
      <c r="T317">
        <v>0</v>
      </c>
      <c r="U317" t="str" cm="1">
        <f t="array" ref="U317">_xlfn.IFS(smart_dataset[[#This Row],[Waiting_Time]]&lt;=20,"Low",smart_dataset[[#This Row],[Waiting_Time]]&lt;=40,"Medium",TRUE,"High")</f>
        <v>High</v>
      </c>
      <c r="V317" t="str" cm="1">
        <f t="array" ref="V317">_xlfn.IFS(smart_dataset[[#This Row],[Temperature]]&lt;=20,"Cold",smart_dataset[[#This Row],[Temperature]]&lt;=28,"Normal",TRUE,"Hot")</f>
        <v>Normal</v>
      </c>
      <c r="W317" t="str" cm="1">
        <f t="array" ref="W317">_xlfn.IFS(smart_dataset[[#This Row],[Asset_Utilization]]&lt;=75,"Low",smart_dataset[[#This Row],[Asset_Utilization]]&lt;=90,"Medium",TRUE,"High")</f>
        <v>Medium</v>
      </c>
    </row>
    <row r="318" spans="1:23" hidden="1" x14ac:dyDescent="0.25">
      <c r="A318" s="1">
        <v>45626.386574074073</v>
      </c>
      <c r="B318" s="1">
        <f>INT(smart_dataset[[#This Row],[Timestamp]])</f>
        <v>45626</v>
      </c>
      <c r="C318" s="1">
        <f>MOD(smart_dataset[[#This Row],[Timestamp]],1)</f>
        <v>0.38657407407299615</v>
      </c>
      <c r="D318" s="1">
        <f>YEAR(smart_dataset[[#This Row],[Date]])</f>
        <v>2024</v>
      </c>
      <c r="E318" s="1">
        <f>MONTH(smart_dataset[[#This Row],[Timestamp]])</f>
        <v>11</v>
      </c>
      <c r="F318" t="s">
        <v>16</v>
      </c>
      <c r="G318">
        <v>-12.950900000000001</v>
      </c>
      <c r="H318">
        <v>132.49860000000001</v>
      </c>
      <c r="I318">
        <v>159</v>
      </c>
      <c r="J318" t="s">
        <v>21</v>
      </c>
      <c r="K318">
        <v>18.100000000000001</v>
      </c>
      <c r="L318">
        <v>76</v>
      </c>
      <c r="M318" t="s">
        <v>18</v>
      </c>
      <c r="N318">
        <v>18</v>
      </c>
      <c r="O318">
        <v>202</v>
      </c>
      <c r="P318">
        <v>2</v>
      </c>
      <c r="Q318" t="s">
        <v>23</v>
      </c>
      <c r="R318">
        <v>94.4</v>
      </c>
      <c r="S318">
        <v>197</v>
      </c>
      <c r="T318">
        <v>0</v>
      </c>
      <c r="U318" t="str" cm="1">
        <f t="array" ref="U318">_xlfn.IFS(smart_dataset[[#This Row],[Waiting_Time]]&lt;=20,"Low",smart_dataset[[#This Row],[Waiting_Time]]&lt;=40,"Medium",TRUE,"High")</f>
        <v>Low</v>
      </c>
      <c r="V318" t="str" cm="1">
        <f t="array" ref="V318">_xlfn.IFS(smart_dataset[[#This Row],[Temperature]]&lt;=20,"Cold",smart_dataset[[#This Row],[Temperature]]&lt;=28,"Normal",TRUE,"Hot")</f>
        <v>Cold</v>
      </c>
      <c r="W318" t="str" cm="1">
        <f t="array" ref="W318">_xlfn.IFS(smart_dataset[[#This Row],[Asset_Utilization]]&lt;=75,"Low",smart_dataset[[#This Row],[Asset_Utilization]]&lt;=90,"Medium",TRUE,"High")</f>
        <v>High</v>
      </c>
    </row>
    <row r="319" spans="1:23" hidden="1" x14ac:dyDescent="0.25">
      <c r="A319" s="1">
        <v>45425.378761574073</v>
      </c>
      <c r="B319" s="1">
        <f>INT(smart_dataset[[#This Row],[Timestamp]])</f>
        <v>45425</v>
      </c>
      <c r="C319" s="1">
        <f>MOD(smart_dataset[[#This Row],[Timestamp]],1)</f>
        <v>0.37876157407299615</v>
      </c>
      <c r="D319" s="1">
        <f>YEAR(smart_dataset[[#This Row],[Date]])</f>
        <v>2024</v>
      </c>
      <c r="E319" s="1">
        <f>MONTH(smart_dataset[[#This Row],[Timestamp]])</f>
        <v>5</v>
      </c>
      <c r="F319" t="s">
        <v>16</v>
      </c>
      <c r="G319">
        <v>81.790000000000006</v>
      </c>
      <c r="H319">
        <v>-52.751600000000003</v>
      </c>
      <c r="I319">
        <v>362</v>
      </c>
      <c r="J319" t="s">
        <v>26</v>
      </c>
      <c r="K319">
        <v>18.3</v>
      </c>
      <c r="L319">
        <v>57.6</v>
      </c>
      <c r="M319" t="s">
        <v>22</v>
      </c>
      <c r="N319">
        <v>58</v>
      </c>
      <c r="O319">
        <v>437</v>
      </c>
      <c r="P319">
        <v>8</v>
      </c>
      <c r="Q319" t="s">
        <v>31</v>
      </c>
      <c r="R319">
        <v>66.8</v>
      </c>
      <c r="S319">
        <v>123</v>
      </c>
      <c r="T319">
        <v>1</v>
      </c>
      <c r="U319" t="str" cm="1">
        <f t="array" ref="U319">_xlfn.IFS(smart_dataset[[#This Row],[Waiting_Time]]&lt;=20,"Low",smart_dataset[[#This Row],[Waiting_Time]]&lt;=40,"Medium",TRUE,"High")</f>
        <v>High</v>
      </c>
      <c r="V319" t="str" cm="1">
        <f t="array" ref="V319">_xlfn.IFS(smart_dataset[[#This Row],[Temperature]]&lt;=20,"Cold",smart_dataset[[#This Row],[Temperature]]&lt;=28,"Normal",TRUE,"Hot")</f>
        <v>Cold</v>
      </c>
      <c r="W319" t="str" cm="1">
        <f t="array" ref="W319">_xlfn.IFS(smart_dataset[[#This Row],[Asset_Utilization]]&lt;=75,"Low",smart_dataset[[#This Row],[Asset_Utilization]]&lt;=90,"Medium",TRUE,"High")</f>
        <v>Low</v>
      </c>
    </row>
    <row r="320" spans="1:23" hidden="1" x14ac:dyDescent="0.25">
      <c r="A320" s="1">
        <v>45642.254826388889</v>
      </c>
      <c r="B320" s="1">
        <f>INT(smart_dataset[[#This Row],[Timestamp]])</f>
        <v>45642</v>
      </c>
      <c r="C320" s="1">
        <f>MOD(smart_dataset[[#This Row],[Timestamp]],1)</f>
        <v>0.25482638888934162</v>
      </c>
      <c r="D320" s="1">
        <f>YEAR(smart_dataset[[#This Row],[Date]])</f>
        <v>2024</v>
      </c>
      <c r="E320" s="1">
        <f>MONTH(smart_dataset[[#This Row],[Timestamp]])</f>
        <v>12</v>
      </c>
      <c r="F320" t="s">
        <v>29</v>
      </c>
      <c r="G320">
        <v>47.717500000000001</v>
      </c>
      <c r="H320">
        <v>72.531000000000006</v>
      </c>
      <c r="I320">
        <v>163</v>
      </c>
      <c r="J320" t="s">
        <v>26</v>
      </c>
      <c r="K320">
        <v>24.6</v>
      </c>
      <c r="L320">
        <v>53.2</v>
      </c>
      <c r="M320" t="s">
        <v>18</v>
      </c>
      <c r="N320">
        <v>34</v>
      </c>
      <c r="O320">
        <v>473</v>
      </c>
      <c r="P320">
        <v>9</v>
      </c>
      <c r="Q320" t="s">
        <v>27</v>
      </c>
      <c r="R320">
        <v>72.400000000000006</v>
      </c>
      <c r="S320">
        <v>263</v>
      </c>
      <c r="T320">
        <v>0</v>
      </c>
      <c r="U320" t="str" cm="1">
        <f t="array" ref="U320">_xlfn.IFS(smart_dataset[[#This Row],[Waiting_Time]]&lt;=20,"Low",smart_dataset[[#This Row],[Waiting_Time]]&lt;=40,"Medium",TRUE,"High")</f>
        <v>Medium</v>
      </c>
      <c r="V320" t="str" cm="1">
        <f t="array" ref="V320">_xlfn.IFS(smart_dataset[[#This Row],[Temperature]]&lt;=20,"Cold",smart_dataset[[#This Row],[Temperature]]&lt;=28,"Normal",TRUE,"Hot")</f>
        <v>Normal</v>
      </c>
      <c r="W320" t="str" cm="1">
        <f t="array" ref="W320">_xlfn.IFS(smart_dataset[[#This Row],[Asset_Utilization]]&lt;=75,"Low",smart_dataset[[#This Row],[Asset_Utilization]]&lt;=90,"Medium",TRUE,"High")</f>
        <v>Low</v>
      </c>
    </row>
    <row r="321" spans="1:23" x14ac:dyDescent="0.25">
      <c r="A321" s="1">
        <v>45336.32984953704</v>
      </c>
      <c r="B321" s="1">
        <f>INT(smart_dataset[[#This Row],[Timestamp]])</f>
        <v>45336</v>
      </c>
      <c r="C321" s="7">
        <f>MOD(smart_dataset[[#This Row],[Timestamp]],1)</f>
        <v>0.32984953703999054</v>
      </c>
      <c r="D321">
        <f>YEAR(smart_dataset[[#This Row],[Date]])</f>
        <v>2024</v>
      </c>
      <c r="E321">
        <f>MONTH(smart_dataset[[#This Row],[Timestamp]])</f>
        <v>2</v>
      </c>
      <c r="F321" t="s">
        <v>16</v>
      </c>
      <c r="G321">
        <v>-21.532900000000001</v>
      </c>
      <c r="H321">
        <v>-145.25810000000001</v>
      </c>
      <c r="I321">
        <v>258</v>
      </c>
      <c r="J321" t="s">
        <v>17</v>
      </c>
      <c r="K321">
        <v>19.899999999999999</v>
      </c>
      <c r="L321">
        <v>51.9</v>
      </c>
      <c r="M321" t="s">
        <v>22</v>
      </c>
      <c r="N321">
        <v>54</v>
      </c>
      <c r="O321">
        <v>237</v>
      </c>
      <c r="P321">
        <v>10</v>
      </c>
      <c r="Q321" t="s">
        <v>19</v>
      </c>
      <c r="R321">
        <v>92.7</v>
      </c>
      <c r="S321">
        <v>271</v>
      </c>
      <c r="T321">
        <v>1</v>
      </c>
      <c r="U321" t="str" cm="1">
        <f t="array" ref="U321">_xlfn.IFS(smart_dataset[[#This Row],[Waiting_Time]]&lt;=20,"Low",smart_dataset[[#This Row],[Waiting_Time]]&lt;=40,"Medium",TRUE,"High")</f>
        <v>High</v>
      </c>
      <c r="V321" t="str" cm="1">
        <f t="array" ref="V321">_xlfn.IFS(smart_dataset[[#This Row],[Temperature]]&lt;=20,"Cold",smart_dataset[[#This Row],[Temperature]]&lt;=28,"Normal",TRUE,"Hot")</f>
        <v>Cold</v>
      </c>
      <c r="W321" t="str" cm="1">
        <f t="array" ref="W321">_xlfn.IFS(smart_dataset[[#This Row],[Asset_Utilization]]&lt;=75,"Low",smart_dataset[[#This Row],[Asset_Utilization]]&lt;=90,"Medium",TRUE,"High")</f>
        <v>High</v>
      </c>
    </row>
    <row r="322" spans="1:23" hidden="1" x14ac:dyDescent="0.25">
      <c r="A322" s="1">
        <v>45468.510740740741</v>
      </c>
      <c r="B322" s="1">
        <f>INT(smart_dataset[[#This Row],[Timestamp]])</f>
        <v>45468</v>
      </c>
      <c r="C322" s="1">
        <f>MOD(smart_dataset[[#This Row],[Timestamp]],1)</f>
        <v>0.51074074074131204</v>
      </c>
      <c r="D322" s="1">
        <f>YEAR(smart_dataset[[#This Row],[Date]])</f>
        <v>2024</v>
      </c>
      <c r="E322" s="1">
        <f>MONTH(smart_dataset[[#This Row],[Timestamp]])</f>
        <v>6</v>
      </c>
      <c r="F322" t="s">
        <v>25</v>
      </c>
      <c r="G322">
        <v>-4.5862999999999996</v>
      </c>
      <c r="H322">
        <v>71.733699999999999</v>
      </c>
      <c r="I322">
        <v>319</v>
      </c>
      <c r="J322" t="s">
        <v>17</v>
      </c>
      <c r="K322">
        <v>18</v>
      </c>
      <c r="L322">
        <v>63.6</v>
      </c>
      <c r="M322" t="s">
        <v>18</v>
      </c>
      <c r="N322">
        <v>23</v>
      </c>
      <c r="O322">
        <v>473</v>
      </c>
      <c r="P322">
        <v>7</v>
      </c>
      <c r="Q322" t="s">
        <v>23</v>
      </c>
      <c r="R322">
        <v>83</v>
      </c>
      <c r="S322">
        <v>187</v>
      </c>
      <c r="T322">
        <v>1</v>
      </c>
      <c r="U322" t="str" cm="1">
        <f t="array" ref="U322">_xlfn.IFS(smart_dataset[[#This Row],[Waiting_Time]]&lt;=20,"Low",smart_dataset[[#This Row],[Waiting_Time]]&lt;=40,"Medium",TRUE,"High")</f>
        <v>Medium</v>
      </c>
      <c r="V322" t="str" cm="1">
        <f t="array" ref="V322">_xlfn.IFS(smart_dataset[[#This Row],[Temperature]]&lt;=20,"Cold",smart_dataset[[#This Row],[Temperature]]&lt;=28,"Normal",TRUE,"Hot")</f>
        <v>Cold</v>
      </c>
      <c r="W322" t="str" cm="1">
        <f t="array" ref="W322">_xlfn.IFS(smart_dataset[[#This Row],[Asset_Utilization]]&lt;=75,"Low",smart_dataset[[#This Row],[Asset_Utilization]]&lt;=90,"Medium",TRUE,"High")</f>
        <v>Medium</v>
      </c>
    </row>
    <row r="323" spans="1:23" hidden="1" x14ac:dyDescent="0.25">
      <c r="A323" s="1">
        <v>45518.165972222225</v>
      </c>
      <c r="B323" s="1">
        <f>INT(smart_dataset[[#This Row],[Timestamp]])</f>
        <v>45518</v>
      </c>
      <c r="C323" s="1">
        <f>MOD(smart_dataset[[#This Row],[Timestamp]],1)</f>
        <v>0.16597222222480923</v>
      </c>
      <c r="D323" s="1">
        <f>YEAR(smart_dataset[[#This Row],[Date]])</f>
        <v>2024</v>
      </c>
      <c r="E323" s="1">
        <f>MONTH(smart_dataset[[#This Row],[Timestamp]])</f>
        <v>8</v>
      </c>
      <c r="F323" t="s">
        <v>25</v>
      </c>
      <c r="G323">
        <v>-26.677499999999998</v>
      </c>
      <c r="H323">
        <v>-77.284700000000001</v>
      </c>
      <c r="I323">
        <v>247</v>
      </c>
      <c r="J323" t="s">
        <v>26</v>
      </c>
      <c r="K323">
        <v>28.9</v>
      </c>
      <c r="L323">
        <v>60.7</v>
      </c>
      <c r="M323" t="s">
        <v>28</v>
      </c>
      <c r="N323">
        <v>56</v>
      </c>
      <c r="O323">
        <v>115</v>
      </c>
      <c r="P323">
        <v>10</v>
      </c>
      <c r="Q323" t="s">
        <v>31</v>
      </c>
      <c r="R323">
        <v>61.6</v>
      </c>
      <c r="S323">
        <v>270</v>
      </c>
      <c r="T323">
        <v>0</v>
      </c>
      <c r="U323" t="str" cm="1">
        <f t="array" ref="U323">_xlfn.IFS(smart_dataset[[#This Row],[Waiting_Time]]&lt;=20,"Low",smart_dataset[[#This Row],[Waiting_Time]]&lt;=40,"Medium",TRUE,"High")</f>
        <v>High</v>
      </c>
      <c r="V323" t="str" cm="1">
        <f t="array" ref="V323">_xlfn.IFS(smart_dataset[[#This Row],[Temperature]]&lt;=20,"Cold",smart_dataset[[#This Row],[Temperature]]&lt;=28,"Normal",TRUE,"Hot")</f>
        <v>Hot</v>
      </c>
      <c r="W323" t="str" cm="1">
        <f t="array" ref="W323">_xlfn.IFS(smart_dataset[[#This Row],[Asset_Utilization]]&lt;=75,"Low",smart_dataset[[#This Row],[Asset_Utilization]]&lt;=90,"Medium",TRUE,"High")</f>
        <v>Low</v>
      </c>
    </row>
    <row r="324" spans="1:23" hidden="1" x14ac:dyDescent="0.25">
      <c r="A324" s="1">
        <v>45390.822141203702</v>
      </c>
      <c r="B324" s="1">
        <f>INT(smart_dataset[[#This Row],[Timestamp]])</f>
        <v>45390</v>
      </c>
      <c r="C324" s="1">
        <f>MOD(smart_dataset[[#This Row],[Timestamp]],1)</f>
        <v>0.82214120370190358</v>
      </c>
      <c r="D324" s="1">
        <f>YEAR(smart_dataset[[#This Row],[Date]])</f>
        <v>2024</v>
      </c>
      <c r="E324" s="1">
        <f>MONTH(smart_dataset[[#This Row],[Timestamp]])</f>
        <v>4</v>
      </c>
      <c r="F324" t="s">
        <v>32</v>
      </c>
      <c r="G324">
        <v>-30.695699999999999</v>
      </c>
      <c r="H324">
        <v>29.254999999999999</v>
      </c>
      <c r="I324">
        <v>134</v>
      </c>
      <c r="J324" t="s">
        <v>21</v>
      </c>
      <c r="K324">
        <v>19.899999999999999</v>
      </c>
      <c r="L324">
        <v>67.5</v>
      </c>
      <c r="M324" t="s">
        <v>18</v>
      </c>
      <c r="N324">
        <v>42</v>
      </c>
      <c r="O324">
        <v>421</v>
      </c>
      <c r="P324">
        <v>5</v>
      </c>
      <c r="Q324" t="s">
        <v>31</v>
      </c>
      <c r="R324">
        <v>77.599999999999994</v>
      </c>
      <c r="S324">
        <v>183</v>
      </c>
      <c r="T324">
        <v>0</v>
      </c>
      <c r="U324" t="str" cm="1">
        <f t="array" ref="U324">_xlfn.IFS(smart_dataset[[#This Row],[Waiting_Time]]&lt;=20,"Low",smart_dataset[[#This Row],[Waiting_Time]]&lt;=40,"Medium",TRUE,"High")</f>
        <v>High</v>
      </c>
      <c r="V324" t="str" cm="1">
        <f t="array" ref="V324">_xlfn.IFS(smart_dataset[[#This Row],[Temperature]]&lt;=20,"Cold",smart_dataset[[#This Row],[Temperature]]&lt;=28,"Normal",TRUE,"Hot")</f>
        <v>Cold</v>
      </c>
      <c r="W324" t="str" cm="1">
        <f t="array" ref="W324">_xlfn.IFS(smart_dataset[[#This Row],[Asset_Utilization]]&lt;=75,"Low",smart_dataset[[#This Row],[Asset_Utilization]]&lt;=90,"Medium",TRUE,"High")</f>
        <v>Medium</v>
      </c>
    </row>
    <row r="325" spans="1:23" hidden="1" x14ac:dyDescent="0.25">
      <c r="A325" s="1">
        <v>45603.598506944443</v>
      </c>
      <c r="B325" s="1">
        <f>INT(smart_dataset[[#This Row],[Timestamp]])</f>
        <v>45603</v>
      </c>
      <c r="C325" s="1">
        <f>MOD(smart_dataset[[#This Row],[Timestamp]],1)</f>
        <v>0.59850694444321562</v>
      </c>
      <c r="D325" s="1">
        <f>YEAR(smart_dataset[[#This Row],[Date]])</f>
        <v>2024</v>
      </c>
      <c r="E325" s="1">
        <f>MONTH(smart_dataset[[#This Row],[Timestamp]])</f>
        <v>11</v>
      </c>
      <c r="F325" t="s">
        <v>29</v>
      </c>
      <c r="G325">
        <v>64.521199999999993</v>
      </c>
      <c r="H325">
        <v>-83.263900000000007</v>
      </c>
      <c r="I325">
        <v>175</v>
      </c>
      <c r="J325" t="s">
        <v>21</v>
      </c>
      <c r="K325">
        <v>20.9</v>
      </c>
      <c r="L325">
        <v>58.7</v>
      </c>
      <c r="M325" t="s">
        <v>18</v>
      </c>
      <c r="N325">
        <v>35</v>
      </c>
      <c r="O325">
        <v>274</v>
      </c>
      <c r="P325">
        <v>9</v>
      </c>
      <c r="Q325" t="s">
        <v>31</v>
      </c>
      <c r="R325">
        <v>61.1</v>
      </c>
      <c r="S325">
        <v>240</v>
      </c>
      <c r="T325">
        <v>0</v>
      </c>
      <c r="U325" t="str" cm="1">
        <f t="array" ref="U325">_xlfn.IFS(smart_dataset[[#This Row],[Waiting_Time]]&lt;=20,"Low",smart_dataset[[#This Row],[Waiting_Time]]&lt;=40,"Medium",TRUE,"High")</f>
        <v>Medium</v>
      </c>
      <c r="V325" t="str" cm="1">
        <f t="array" ref="V325">_xlfn.IFS(smart_dataset[[#This Row],[Temperature]]&lt;=20,"Cold",smart_dataset[[#This Row],[Temperature]]&lt;=28,"Normal",TRUE,"Hot")</f>
        <v>Normal</v>
      </c>
      <c r="W325" t="str" cm="1">
        <f t="array" ref="W325">_xlfn.IFS(smart_dataset[[#This Row],[Asset_Utilization]]&lt;=75,"Low",smart_dataset[[#This Row],[Asset_Utilization]]&lt;=90,"Medium",TRUE,"High")</f>
        <v>Low</v>
      </c>
    </row>
    <row r="326" spans="1:23" x14ac:dyDescent="0.25">
      <c r="A326" s="1">
        <v>45303.709409722222</v>
      </c>
      <c r="B326" s="1">
        <f>INT(smart_dataset[[#This Row],[Timestamp]])</f>
        <v>45303</v>
      </c>
      <c r="C326" s="7">
        <f>MOD(smart_dataset[[#This Row],[Timestamp]],1)</f>
        <v>0.70940972222160781</v>
      </c>
      <c r="D326">
        <f>YEAR(smart_dataset[[#This Row],[Date]])</f>
        <v>2024</v>
      </c>
      <c r="E326">
        <f>MONTH(smart_dataset[[#This Row],[Timestamp]])</f>
        <v>1</v>
      </c>
      <c r="F326" t="s">
        <v>25</v>
      </c>
      <c r="G326">
        <v>68.180999999999997</v>
      </c>
      <c r="H326">
        <v>-84.905100000000004</v>
      </c>
      <c r="I326">
        <v>179</v>
      </c>
      <c r="J326" t="s">
        <v>17</v>
      </c>
      <c r="K326">
        <v>24.2</v>
      </c>
      <c r="L326">
        <v>50.2</v>
      </c>
      <c r="M326" t="s">
        <v>28</v>
      </c>
      <c r="N326">
        <v>31</v>
      </c>
      <c r="O326">
        <v>485</v>
      </c>
      <c r="P326">
        <v>10</v>
      </c>
      <c r="Q326" t="s">
        <v>19</v>
      </c>
      <c r="R326">
        <v>75.8</v>
      </c>
      <c r="S326">
        <v>255</v>
      </c>
      <c r="T326">
        <v>1</v>
      </c>
      <c r="U326" t="str" cm="1">
        <f t="array" ref="U326">_xlfn.IFS(smart_dataset[[#This Row],[Waiting_Time]]&lt;=20,"Low",smart_dataset[[#This Row],[Waiting_Time]]&lt;=40,"Medium",TRUE,"High")</f>
        <v>Medium</v>
      </c>
      <c r="V326" t="str" cm="1">
        <f t="array" ref="V326">_xlfn.IFS(smart_dataset[[#This Row],[Temperature]]&lt;=20,"Cold",smart_dataset[[#This Row],[Temperature]]&lt;=28,"Normal",TRUE,"Hot")</f>
        <v>Normal</v>
      </c>
      <c r="W326" t="str" cm="1">
        <f t="array" ref="W326">_xlfn.IFS(smart_dataset[[#This Row],[Asset_Utilization]]&lt;=75,"Low",smart_dataset[[#This Row],[Asset_Utilization]]&lt;=90,"Medium",TRUE,"High")</f>
        <v>Medium</v>
      </c>
    </row>
    <row r="327" spans="1:23" hidden="1" x14ac:dyDescent="0.25">
      <c r="A327" s="1">
        <v>45442.35359953704</v>
      </c>
      <c r="B327" s="1">
        <f>INT(smart_dataset[[#This Row],[Timestamp]])</f>
        <v>45442</v>
      </c>
      <c r="C327" s="1">
        <f>MOD(smart_dataset[[#This Row],[Timestamp]],1)</f>
        <v>0.35359953704028158</v>
      </c>
      <c r="D327" s="1">
        <f>YEAR(smart_dataset[[#This Row],[Date]])</f>
        <v>2024</v>
      </c>
      <c r="E327" s="1">
        <f>MONTH(smart_dataset[[#This Row],[Timestamp]])</f>
        <v>5</v>
      </c>
      <c r="F327" t="s">
        <v>24</v>
      </c>
      <c r="G327">
        <v>-81.211600000000004</v>
      </c>
      <c r="H327">
        <v>13.9727</v>
      </c>
      <c r="I327">
        <v>105</v>
      </c>
      <c r="J327" t="s">
        <v>17</v>
      </c>
      <c r="K327">
        <v>27.1</v>
      </c>
      <c r="L327">
        <v>59.8</v>
      </c>
      <c r="M327" t="s">
        <v>28</v>
      </c>
      <c r="N327">
        <v>36</v>
      </c>
      <c r="O327">
        <v>409</v>
      </c>
      <c r="P327">
        <v>7</v>
      </c>
      <c r="Q327" t="s">
        <v>27</v>
      </c>
      <c r="R327">
        <v>75.7</v>
      </c>
      <c r="S327">
        <v>290</v>
      </c>
      <c r="T327">
        <v>1</v>
      </c>
      <c r="U327" t="str" cm="1">
        <f t="array" ref="U327">_xlfn.IFS(smart_dataset[[#This Row],[Waiting_Time]]&lt;=20,"Low",smart_dataset[[#This Row],[Waiting_Time]]&lt;=40,"Medium",TRUE,"High")</f>
        <v>Medium</v>
      </c>
      <c r="V327" t="str" cm="1">
        <f t="array" ref="V327">_xlfn.IFS(smart_dataset[[#This Row],[Temperature]]&lt;=20,"Cold",smart_dataset[[#This Row],[Temperature]]&lt;=28,"Normal",TRUE,"Hot")</f>
        <v>Normal</v>
      </c>
      <c r="W327" t="str" cm="1">
        <f t="array" ref="W327">_xlfn.IFS(smart_dataset[[#This Row],[Asset_Utilization]]&lt;=75,"Low",smart_dataset[[#This Row],[Asset_Utilization]]&lt;=90,"Medium",TRUE,"High")</f>
        <v>Medium</v>
      </c>
    </row>
    <row r="328" spans="1:23" hidden="1" x14ac:dyDescent="0.25">
      <c r="A328" s="1">
        <v>45428.315405092595</v>
      </c>
      <c r="B328" s="1">
        <f>INT(smart_dataset[[#This Row],[Timestamp]])</f>
        <v>45428</v>
      </c>
      <c r="C328" s="1">
        <f>MOD(smart_dataset[[#This Row],[Timestamp]],1)</f>
        <v>0.31540509259502869</v>
      </c>
      <c r="D328" s="1">
        <f>YEAR(smart_dataset[[#This Row],[Date]])</f>
        <v>2024</v>
      </c>
      <c r="E328" s="1">
        <f>MONTH(smart_dataset[[#This Row],[Timestamp]])</f>
        <v>5</v>
      </c>
      <c r="F328" t="s">
        <v>30</v>
      </c>
      <c r="G328">
        <v>-21.308</v>
      </c>
      <c r="H328">
        <v>-14.9017</v>
      </c>
      <c r="I328">
        <v>277</v>
      </c>
      <c r="J328" t="s">
        <v>21</v>
      </c>
      <c r="K328">
        <v>23.5</v>
      </c>
      <c r="L328">
        <v>63.9</v>
      </c>
      <c r="M328" t="s">
        <v>22</v>
      </c>
      <c r="N328">
        <v>11</v>
      </c>
      <c r="O328">
        <v>292</v>
      </c>
      <c r="P328">
        <v>8</v>
      </c>
      <c r="Q328" t="s">
        <v>23</v>
      </c>
      <c r="R328">
        <v>67.5</v>
      </c>
      <c r="S328">
        <v>234</v>
      </c>
      <c r="T328">
        <v>1</v>
      </c>
      <c r="U328" t="str" cm="1">
        <f t="array" ref="U328">_xlfn.IFS(smart_dataset[[#This Row],[Waiting_Time]]&lt;=20,"Low",smart_dataset[[#This Row],[Waiting_Time]]&lt;=40,"Medium",TRUE,"High")</f>
        <v>Low</v>
      </c>
      <c r="V328" t="str" cm="1">
        <f t="array" ref="V328">_xlfn.IFS(smart_dataset[[#This Row],[Temperature]]&lt;=20,"Cold",smart_dataset[[#This Row],[Temperature]]&lt;=28,"Normal",TRUE,"Hot")</f>
        <v>Normal</v>
      </c>
      <c r="W328" t="str" cm="1">
        <f t="array" ref="W328">_xlfn.IFS(smart_dataset[[#This Row],[Asset_Utilization]]&lt;=75,"Low",smart_dataset[[#This Row],[Asset_Utilization]]&lt;=90,"Medium",TRUE,"High")</f>
        <v>Low</v>
      </c>
    </row>
    <row r="329" spans="1:23" hidden="1" x14ac:dyDescent="0.25">
      <c r="A329" s="1">
        <v>45634.518495370372</v>
      </c>
      <c r="B329" s="1">
        <f>INT(smart_dataset[[#This Row],[Timestamp]])</f>
        <v>45634</v>
      </c>
      <c r="C329" s="1">
        <f>MOD(smart_dataset[[#This Row],[Timestamp]],1)</f>
        <v>0.51849537037196569</v>
      </c>
      <c r="D329" s="1">
        <f>YEAR(smart_dataset[[#This Row],[Date]])</f>
        <v>2024</v>
      </c>
      <c r="E329" s="1">
        <f>MONTH(smart_dataset[[#This Row],[Timestamp]])</f>
        <v>12</v>
      </c>
      <c r="F329" t="s">
        <v>34</v>
      </c>
      <c r="G329">
        <v>77.2059</v>
      </c>
      <c r="H329">
        <v>-132.04730000000001</v>
      </c>
      <c r="I329">
        <v>427</v>
      </c>
      <c r="J329" t="s">
        <v>17</v>
      </c>
      <c r="K329">
        <v>26.7</v>
      </c>
      <c r="L329">
        <v>63.8</v>
      </c>
      <c r="M329" t="s">
        <v>18</v>
      </c>
      <c r="N329">
        <v>54</v>
      </c>
      <c r="O329">
        <v>453</v>
      </c>
      <c r="P329">
        <v>6</v>
      </c>
      <c r="Q329" t="s">
        <v>23</v>
      </c>
      <c r="R329">
        <v>86.7</v>
      </c>
      <c r="S329">
        <v>101</v>
      </c>
      <c r="T329">
        <v>1</v>
      </c>
      <c r="U329" t="str" cm="1">
        <f t="array" ref="U329">_xlfn.IFS(smart_dataset[[#This Row],[Waiting_Time]]&lt;=20,"Low",smart_dataset[[#This Row],[Waiting_Time]]&lt;=40,"Medium",TRUE,"High")</f>
        <v>High</v>
      </c>
      <c r="V329" t="str" cm="1">
        <f t="array" ref="V329">_xlfn.IFS(smart_dataset[[#This Row],[Temperature]]&lt;=20,"Cold",smart_dataset[[#This Row],[Temperature]]&lt;=28,"Normal",TRUE,"Hot")</f>
        <v>Normal</v>
      </c>
      <c r="W329" t="str" cm="1">
        <f t="array" ref="W329">_xlfn.IFS(smart_dataset[[#This Row],[Asset_Utilization]]&lt;=75,"Low",smart_dataset[[#This Row],[Asset_Utilization]]&lt;=90,"Medium",TRUE,"High")</f>
        <v>Medium</v>
      </c>
    </row>
    <row r="330" spans="1:23" hidden="1" x14ac:dyDescent="0.25">
      <c r="A330" s="1">
        <v>45379.356956018521</v>
      </c>
      <c r="B330" s="1">
        <f>INT(smart_dataset[[#This Row],[Timestamp]])</f>
        <v>45379</v>
      </c>
      <c r="C330" s="1">
        <f>MOD(smart_dataset[[#This Row],[Timestamp]],1)</f>
        <v>0.35695601852057735</v>
      </c>
      <c r="D330" s="1">
        <f>YEAR(smart_dataset[[#This Row],[Date]])</f>
        <v>2024</v>
      </c>
      <c r="E330" s="1">
        <f>MONTH(smart_dataset[[#This Row],[Timestamp]])</f>
        <v>3</v>
      </c>
      <c r="F330" t="s">
        <v>33</v>
      </c>
      <c r="G330">
        <v>21.487200000000001</v>
      </c>
      <c r="H330">
        <v>-123.6879</v>
      </c>
      <c r="I330">
        <v>348</v>
      </c>
      <c r="J330" t="s">
        <v>17</v>
      </c>
      <c r="K330">
        <v>22.7</v>
      </c>
      <c r="L330">
        <v>63.3</v>
      </c>
      <c r="M330" t="s">
        <v>18</v>
      </c>
      <c r="N330">
        <v>23</v>
      </c>
      <c r="O330">
        <v>134</v>
      </c>
      <c r="P330">
        <v>4</v>
      </c>
      <c r="Q330" t="s">
        <v>31</v>
      </c>
      <c r="R330">
        <v>99.6</v>
      </c>
      <c r="S330">
        <v>251</v>
      </c>
      <c r="T330">
        <v>1</v>
      </c>
      <c r="U330" t="str" cm="1">
        <f t="array" ref="U330">_xlfn.IFS(smart_dataset[[#This Row],[Waiting_Time]]&lt;=20,"Low",smart_dataset[[#This Row],[Waiting_Time]]&lt;=40,"Medium",TRUE,"High")</f>
        <v>Medium</v>
      </c>
      <c r="V330" t="str" cm="1">
        <f t="array" ref="V330">_xlfn.IFS(smart_dataset[[#This Row],[Temperature]]&lt;=20,"Cold",smart_dataset[[#This Row],[Temperature]]&lt;=28,"Normal",TRUE,"Hot")</f>
        <v>Normal</v>
      </c>
      <c r="W330" t="str" cm="1">
        <f t="array" ref="W330">_xlfn.IFS(smart_dataset[[#This Row],[Asset_Utilization]]&lt;=75,"Low",smart_dataset[[#This Row],[Asset_Utilization]]&lt;=90,"Medium",TRUE,"High")</f>
        <v>High</v>
      </c>
    </row>
    <row r="331" spans="1:23" hidden="1" x14ac:dyDescent="0.25">
      <c r="A331" s="1">
        <v>45398.897141203706</v>
      </c>
      <c r="B331" s="1">
        <f>INT(smart_dataset[[#This Row],[Timestamp]])</f>
        <v>45398</v>
      </c>
      <c r="C331" s="1">
        <f>MOD(smart_dataset[[#This Row],[Timestamp]],1)</f>
        <v>0.89714120370626915</v>
      </c>
      <c r="D331" s="1">
        <f>YEAR(smart_dataset[[#This Row],[Date]])</f>
        <v>2024</v>
      </c>
      <c r="E331" s="1">
        <f>MONTH(smart_dataset[[#This Row],[Timestamp]])</f>
        <v>4</v>
      </c>
      <c r="F331" t="s">
        <v>33</v>
      </c>
      <c r="G331">
        <v>47.760300000000001</v>
      </c>
      <c r="H331">
        <v>-137.0932</v>
      </c>
      <c r="I331">
        <v>300</v>
      </c>
      <c r="J331" t="s">
        <v>17</v>
      </c>
      <c r="K331">
        <v>23.1</v>
      </c>
      <c r="L331">
        <v>78.099999999999994</v>
      </c>
      <c r="M331" t="s">
        <v>18</v>
      </c>
      <c r="N331">
        <v>53</v>
      </c>
      <c r="O331">
        <v>146</v>
      </c>
      <c r="P331">
        <v>4</v>
      </c>
      <c r="Q331" t="s">
        <v>23</v>
      </c>
      <c r="R331">
        <v>73.3</v>
      </c>
      <c r="S331">
        <v>280</v>
      </c>
      <c r="T331">
        <v>1</v>
      </c>
      <c r="U331" t="str" cm="1">
        <f t="array" ref="U331">_xlfn.IFS(smart_dataset[[#This Row],[Waiting_Time]]&lt;=20,"Low",smart_dataset[[#This Row],[Waiting_Time]]&lt;=40,"Medium",TRUE,"High")</f>
        <v>High</v>
      </c>
      <c r="V331" t="str" cm="1">
        <f t="array" ref="V331">_xlfn.IFS(smart_dataset[[#This Row],[Temperature]]&lt;=20,"Cold",smart_dataset[[#This Row],[Temperature]]&lt;=28,"Normal",TRUE,"Hot")</f>
        <v>Normal</v>
      </c>
      <c r="W331" t="str" cm="1">
        <f t="array" ref="W331">_xlfn.IFS(smart_dataset[[#This Row],[Asset_Utilization]]&lt;=75,"Low",smart_dataset[[#This Row],[Asset_Utilization]]&lt;=90,"Medium",TRUE,"High")</f>
        <v>Low</v>
      </c>
    </row>
    <row r="332" spans="1:23" hidden="1" x14ac:dyDescent="0.25">
      <c r="A332" s="1">
        <v>45616.614236111112</v>
      </c>
      <c r="B332" s="1">
        <f>INT(smart_dataset[[#This Row],[Timestamp]])</f>
        <v>45616</v>
      </c>
      <c r="C332" s="1">
        <f>MOD(smart_dataset[[#This Row],[Timestamp]],1)</f>
        <v>0.61423611111240461</v>
      </c>
      <c r="D332" s="1">
        <f>YEAR(smart_dataset[[#This Row],[Date]])</f>
        <v>2024</v>
      </c>
      <c r="E332" s="1">
        <f>MONTH(smart_dataset[[#This Row],[Timestamp]])</f>
        <v>11</v>
      </c>
      <c r="F332" t="s">
        <v>35</v>
      </c>
      <c r="G332">
        <v>-4.7971000000000004</v>
      </c>
      <c r="H332">
        <v>56.411000000000001</v>
      </c>
      <c r="I332">
        <v>457</v>
      </c>
      <c r="J332" t="s">
        <v>26</v>
      </c>
      <c r="K332">
        <v>27.2</v>
      </c>
      <c r="L332">
        <v>69.099999999999994</v>
      </c>
      <c r="M332" t="s">
        <v>22</v>
      </c>
      <c r="N332">
        <v>55</v>
      </c>
      <c r="O332">
        <v>319</v>
      </c>
      <c r="P332">
        <v>2</v>
      </c>
      <c r="Q332" t="s">
        <v>27</v>
      </c>
      <c r="R332">
        <v>67.7</v>
      </c>
      <c r="S332">
        <v>132</v>
      </c>
      <c r="T332">
        <v>1</v>
      </c>
      <c r="U332" t="str" cm="1">
        <f t="array" ref="U332">_xlfn.IFS(smart_dataset[[#This Row],[Waiting_Time]]&lt;=20,"Low",smart_dataset[[#This Row],[Waiting_Time]]&lt;=40,"Medium",TRUE,"High")</f>
        <v>High</v>
      </c>
      <c r="V332" t="str" cm="1">
        <f t="array" ref="V332">_xlfn.IFS(smart_dataset[[#This Row],[Temperature]]&lt;=20,"Cold",smart_dataset[[#This Row],[Temperature]]&lt;=28,"Normal",TRUE,"Hot")</f>
        <v>Normal</v>
      </c>
      <c r="W332" t="str" cm="1">
        <f t="array" ref="W332">_xlfn.IFS(smart_dataset[[#This Row],[Asset_Utilization]]&lt;=75,"Low",smart_dataset[[#This Row],[Asset_Utilization]]&lt;=90,"Medium",TRUE,"High")</f>
        <v>Low</v>
      </c>
    </row>
    <row r="333" spans="1:23" hidden="1" x14ac:dyDescent="0.25">
      <c r="A333" s="1">
        <v>45463.345775462964</v>
      </c>
      <c r="B333" s="1">
        <f>INT(smart_dataset[[#This Row],[Timestamp]])</f>
        <v>45463</v>
      </c>
      <c r="C333" s="1">
        <f>MOD(smart_dataset[[#This Row],[Timestamp]],1)</f>
        <v>0.34577546296350192</v>
      </c>
      <c r="D333" s="1">
        <f>YEAR(smart_dataset[[#This Row],[Date]])</f>
        <v>2024</v>
      </c>
      <c r="E333" s="1">
        <f>MONTH(smart_dataset[[#This Row],[Timestamp]])</f>
        <v>6</v>
      </c>
      <c r="F333" t="s">
        <v>35</v>
      </c>
      <c r="G333">
        <v>-11.1333</v>
      </c>
      <c r="H333">
        <v>-40.045400000000001</v>
      </c>
      <c r="I333">
        <v>316</v>
      </c>
      <c r="J333" t="s">
        <v>17</v>
      </c>
      <c r="K333">
        <v>26.8</v>
      </c>
      <c r="L333">
        <v>53.5</v>
      </c>
      <c r="M333" t="s">
        <v>28</v>
      </c>
      <c r="N333">
        <v>35</v>
      </c>
      <c r="O333">
        <v>402</v>
      </c>
      <c r="P333">
        <v>10</v>
      </c>
      <c r="Q333" t="s">
        <v>31</v>
      </c>
      <c r="R333">
        <v>93.6</v>
      </c>
      <c r="S333">
        <v>206</v>
      </c>
      <c r="T333">
        <v>1</v>
      </c>
      <c r="U333" t="str" cm="1">
        <f t="array" ref="U333">_xlfn.IFS(smart_dataset[[#This Row],[Waiting_Time]]&lt;=20,"Low",smart_dataset[[#This Row],[Waiting_Time]]&lt;=40,"Medium",TRUE,"High")</f>
        <v>Medium</v>
      </c>
      <c r="V333" t="str" cm="1">
        <f t="array" ref="V333">_xlfn.IFS(smart_dataset[[#This Row],[Temperature]]&lt;=20,"Cold",smart_dataset[[#This Row],[Temperature]]&lt;=28,"Normal",TRUE,"Hot")</f>
        <v>Normal</v>
      </c>
      <c r="W333" t="str" cm="1">
        <f t="array" ref="W333">_xlfn.IFS(smart_dataset[[#This Row],[Asset_Utilization]]&lt;=75,"Low",smart_dataset[[#This Row],[Asset_Utilization]]&lt;=90,"Medium",TRUE,"High")</f>
        <v>High</v>
      </c>
    </row>
    <row r="334" spans="1:23" hidden="1" x14ac:dyDescent="0.25">
      <c r="A334" s="1">
        <v>45515.653171296297</v>
      </c>
      <c r="B334" s="1">
        <f>INT(smart_dataset[[#This Row],[Timestamp]])</f>
        <v>45515</v>
      </c>
      <c r="C334" s="1">
        <f>MOD(smart_dataset[[#This Row],[Timestamp]],1)</f>
        <v>0.65317129629693227</v>
      </c>
      <c r="D334" s="1">
        <f>YEAR(smart_dataset[[#This Row],[Date]])</f>
        <v>2024</v>
      </c>
      <c r="E334" s="1">
        <f>MONTH(smart_dataset[[#This Row],[Timestamp]])</f>
        <v>8</v>
      </c>
      <c r="F334" t="s">
        <v>25</v>
      </c>
      <c r="G334">
        <v>15.5083</v>
      </c>
      <c r="H334">
        <v>115.4388</v>
      </c>
      <c r="I334">
        <v>207</v>
      </c>
      <c r="J334" t="s">
        <v>21</v>
      </c>
      <c r="K334">
        <v>19.2</v>
      </c>
      <c r="L334">
        <v>59.7</v>
      </c>
      <c r="M334" t="s">
        <v>18</v>
      </c>
      <c r="N334">
        <v>56</v>
      </c>
      <c r="O334">
        <v>484</v>
      </c>
      <c r="P334">
        <v>7</v>
      </c>
      <c r="Q334" t="s">
        <v>27</v>
      </c>
      <c r="R334">
        <v>72.599999999999994</v>
      </c>
      <c r="S334">
        <v>285</v>
      </c>
      <c r="T334">
        <v>0</v>
      </c>
      <c r="U334" t="str" cm="1">
        <f t="array" ref="U334">_xlfn.IFS(smart_dataset[[#This Row],[Waiting_Time]]&lt;=20,"Low",smart_dataset[[#This Row],[Waiting_Time]]&lt;=40,"Medium",TRUE,"High")</f>
        <v>High</v>
      </c>
      <c r="V334" t="str" cm="1">
        <f t="array" ref="V334">_xlfn.IFS(smart_dataset[[#This Row],[Temperature]]&lt;=20,"Cold",smart_dataset[[#This Row],[Temperature]]&lt;=28,"Normal",TRUE,"Hot")</f>
        <v>Cold</v>
      </c>
      <c r="W334" t="str" cm="1">
        <f t="array" ref="W334">_xlfn.IFS(smart_dataset[[#This Row],[Asset_Utilization]]&lt;=75,"Low",smart_dataset[[#This Row],[Asset_Utilization]]&lt;=90,"Medium",TRUE,"High")</f>
        <v>Low</v>
      </c>
    </row>
    <row r="335" spans="1:23" hidden="1" x14ac:dyDescent="0.25">
      <c r="A335" s="1">
        <v>45595.530914351853</v>
      </c>
      <c r="B335" s="1">
        <f>INT(smart_dataset[[#This Row],[Timestamp]])</f>
        <v>45595</v>
      </c>
      <c r="C335" s="1">
        <f>MOD(smart_dataset[[#This Row],[Timestamp]],1)</f>
        <v>0.53091435185342561</v>
      </c>
      <c r="D335" s="1">
        <f>YEAR(smart_dataset[[#This Row],[Date]])</f>
        <v>2024</v>
      </c>
      <c r="E335" s="1">
        <f>MONTH(smart_dataset[[#This Row],[Timestamp]])</f>
        <v>10</v>
      </c>
      <c r="F335" t="s">
        <v>24</v>
      </c>
      <c r="G335">
        <v>-70.6858</v>
      </c>
      <c r="H335">
        <v>54.468299999999999</v>
      </c>
      <c r="I335">
        <v>333</v>
      </c>
      <c r="J335" t="s">
        <v>26</v>
      </c>
      <c r="K335">
        <v>27.5</v>
      </c>
      <c r="L335">
        <v>55.8</v>
      </c>
      <c r="M335" t="s">
        <v>22</v>
      </c>
      <c r="N335">
        <v>36</v>
      </c>
      <c r="O335">
        <v>141</v>
      </c>
      <c r="P335">
        <v>2</v>
      </c>
      <c r="Q335" t="s">
        <v>27</v>
      </c>
      <c r="R335">
        <v>67</v>
      </c>
      <c r="S335">
        <v>264</v>
      </c>
      <c r="T335">
        <v>1</v>
      </c>
      <c r="U335" t="str" cm="1">
        <f t="array" ref="U335">_xlfn.IFS(smart_dataset[[#This Row],[Waiting_Time]]&lt;=20,"Low",smart_dataset[[#This Row],[Waiting_Time]]&lt;=40,"Medium",TRUE,"High")</f>
        <v>Medium</v>
      </c>
      <c r="V335" t="str" cm="1">
        <f t="array" ref="V335">_xlfn.IFS(smart_dataset[[#This Row],[Temperature]]&lt;=20,"Cold",smart_dataset[[#This Row],[Temperature]]&lt;=28,"Normal",TRUE,"Hot")</f>
        <v>Normal</v>
      </c>
      <c r="W335" t="str" cm="1">
        <f t="array" ref="W335">_xlfn.IFS(smart_dataset[[#This Row],[Asset_Utilization]]&lt;=75,"Low",smart_dataset[[#This Row],[Asset_Utilization]]&lt;=90,"Medium",TRUE,"High")</f>
        <v>Low</v>
      </c>
    </row>
    <row r="336" spans="1:23" hidden="1" x14ac:dyDescent="0.25">
      <c r="A336" s="1">
        <v>45373.458564814813</v>
      </c>
      <c r="B336" s="1">
        <f>INT(smart_dataset[[#This Row],[Timestamp]])</f>
        <v>45373</v>
      </c>
      <c r="C336" s="1">
        <f>MOD(smart_dataset[[#This Row],[Timestamp]],1)</f>
        <v>0.45856481481314404</v>
      </c>
      <c r="D336" s="1">
        <f>YEAR(smart_dataset[[#This Row],[Date]])</f>
        <v>2024</v>
      </c>
      <c r="E336" s="1">
        <f>MONTH(smart_dataset[[#This Row],[Timestamp]])</f>
        <v>3</v>
      </c>
      <c r="F336" t="s">
        <v>24</v>
      </c>
      <c r="G336">
        <v>-18.427800000000001</v>
      </c>
      <c r="H336">
        <v>101.4997</v>
      </c>
      <c r="I336">
        <v>327</v>
      </c>
      <c r="J336" t="s">
        <v>17</v>
      </c>
      <c r="K336">
        <v>22.6</v>
      </c>
      <c r="L336">
        <v>57.4</v>
      </c>
      <c r="M336" t="s">
        <v>18</v>
      </c>
      <c r="N336">
        <v>38</v>
      </c>
      <c r="O336">
        <v>432</v>
      </c>
      <c r="P336">
        <v>4</v>
      </c>
      <c r="Q336" t="s">
        <v>27</v>
      </c>
      <c r="R336">
        <v>68.400000000000006</v>
      </c>
      <c r="S336">
        <v>171</v>
      </c>
      <c r="T336">
        <v>1</v>
      </c>
      <c r="U336" t="str" cm="1">
        <f t="array" ref="U336">_xlfn.IFS(smart_dataset[[#This Row],[Waiting_Time]]&lt;=20,"Low",smart_dataset[[#This Row],[Waiting_Time]]&lt;=40,"Medium",TRUE,"High")</f>
        <v>Medium</v>
      </c>
      <c r="V336" t="str" cm="1">
        <f t="array" ref="V336">_xlfn.IFS(smart_dataset[[#This Row],[Temperature]]&lt;=20,"Cold",smart_dataset[[#This Row],[Temperature]]&lt;=28,"Normal",TRUE,"Hot")</f>
        <v>Normal</v>
      </c>
      <c r="W336" t="str" cm="1">
        <f t="array" ref="W336">_xlfn.IFS(smart_dataset[[#This Row],[Asset_Utilization]]&lt;=75,"Low",smart_dataset[[#This Row],[Asset_Utilization]]&lt;=90,"Medium",TRUE,"High")</f>
        <v>Low</v>
      </c>
    </row>
    <row r="337" spans="1:23" hidden="1" x14ac:dyDescent="0.25">
      <c r="A337" s="1">
        <v>45424.569502314815</v>
      </c>
      <c r="B337" s="1">
        <f>INT(smart_dataset[[#This Row],[Timestamp]])</f>
        <v>45424</v>
      </c>
      <c r="C337" s="1">
        <f>MOD(smart_dataset[[#This Row],[Timestamp]],1)</f>
        <v>0.56950231481459923</v>
      </c>
      <c r="D337" s="1">
        <f>YEAR(smart_dataset[[#This Row],[Date]])</f>
        <v>2024</v>
      </c>
      <c r="E337" s="1">
        <f>MONTH(smart_dataset[[#This Row],[Timestamp]])</f>
        <v>5</v>
      </c>
      <c r="F337" t="s">
        <v>33</v>
      </c>
      <c r="G337">
        <v>43.752299999999998</v>
      </c>
      <c r="H337">
        <v>149.83340000000001</v>
      </c>
      <c r="I337">
        <v>197</v>
      </c>
      <c r="J337" t="s">
        <v>21</v>
      </c>
      <c r="K337">
        <v>20</v>
      </c>
      <c r="L337">
        <v>69.599999999999994</v>
      </c>
      <c r="M337" t="s">
        <v>18</v>
      </c>
      <c r="N337">
        <v>42</v>
      </c>
      <c r="O337">
        <v>314</v>
      </c>
      <c r="P337">
        <v>3</v>
      </c>
      <c r="Q337" t="s">
        <v>27</v>
      </c>
      <c r="R337">
        <v>87.2</v>
      </c>
      <c r="S337">
        <v>201</v>
      </c>
      <c r="T337">
        <v>0</v>
      </c>
      <c r="U337" t="str" cm="1">
        <f t="array" ref="U337">_xlfn.IFS(smart_dataset[[#This Row],[Waiting_Time]]&lt;=20,"Low",smart_dataset[[#This Row],[Waiting_Time]]&lt;=40,"Medium",TRUE,"High")</f>
        <v>High</v>
      </c>
      <c r="V337" t="str" cm="1">
        <f t="array" ref="V337">_xlfn.IFS(smart_dataset[[#This Row],[Temperature]]&lt;=20,"Cold",smart_dataset[[#This Row],[Temperature]]&lt;=28,"Normal",TRUE,"Hot")</f>
        <v>Cold</v>
      </c>
      <c r="W337" t="str" cm="1">
        <f t="array" ref="W337">_xlfn.IFS(smart_dataset[[#This Row],[Asset_Utilization]]&lt;=75,"Low",smart_dataset[[#This Row],[Asset_Utilization]]&lt;=90,"Medium",TRUE,"High")</f>
        <v>Medium</v>
      </c>
    </row>
    <row r="338" spans="1:23" hidden="1" x14ac:dyDescent="0.25">
      <c r="A338" s="1">
        <v>45611.339085648149</v>
      </c>
      <c r="B338" s="1">
        <f>INT(smart_dataset[[#This Row],[Timestamp]])</f>
        <v>45611</v>
      </c>
      <c r="C338" s="1">
        <f>MOD(smart_dataset[[#This Row],[Timestamp]],1)</f>
        <v>0.33908564814919373</v>
      </c>
      <c r="D338" s="1">
        <f>YEAR(smart_dataset[[#This Row],[Date]])</f>
        <v>2024</v>
      </c>
      <c r="E338" s="1">
        <f>MONTH(smart_dataset[[#This Row],[Timestamp]])</f>
        <v>11</v>
      </c>
      <c r="F338" t="s">
        <v>16</v>
      </c>
      <c r="G338">
        <v>18.5151</v>
      </c>
      <c r="H338">
        <v>24.355899999999998</v>
      </c>
      <c r="I338">
        <v>356</v>
      </c>
      <c r="J338" t="s">
        <v>17</v>
      </c>
      <c r="K338">
        <v>23.4</v>
      </c>
      <c r="L338">
        <v>72.8</v>
      </c>
      <c r="M338" t="s">
        <v>18</v>
      </c>
      <c r="N338">
        <v>39</v>
      </c>
      <c r="O338">
        <v>486</v>
      </c>
      <c r="P338">
        <v>9</v>
      </c>
      <c r="Q338" t="s">
        <v>31</v>
      </c>
      <c r="R338">
        <v>99.2</v>
      </c>
      <c r="S338">
        <v>282</v>
      </c>
      <c r="T338">
        <v>1</v>
      </c>
      <c r="U338" t="str" cm="1">
        <f t="array" ref="U338">_xlfn.IFS(smart_dataset[[#This Row],[Waiting_Time]]&lt;=20,"Low",smart_dataset[[#This Row],[Waiting_Time]]&lt;=40,"Medium",TRUE,"High")</f>
        <v>Medium</v>
      </c>
      <c r="V338" t="str" cm="1">
        <f t="array" ref="V338">_xlfn.IFS(smart_dataset[[#This Row],[Temperature]]&lt;=20,"Cold",smart_dataset[[#This Row],[Temperature]]&lt;=28,"Normal",TRUE,"Hot")</f>
        <v>Normal</v>
      </c>
      <c r="W338" t="str" cm="1">
        <f t="array" ref="W338">_xlfn.IFS(smart_dataset[[#This Row],[Asset_Utilization]]&lt;=75,"Low",smart_dataset[[#This Row],[Asset_Utilization]]&lt;=90,"Medium",TRUE,"High")</f>
        <v>High</v>
      </c>
    </row>
    <row r="339" spans="1:23" x14ac:dyDescent="0.25">
      <c r="A339" s="1">
        <v>45572.258090277777</v>
      </c>
      <c r="B339" s="1">
        <f>INT(smart_dataset[[#This Row],[Timestamp]])</f>
        <v>45572</v>
      </c>
      <c r="C339" s="7">
        <f>MOD(smart_dataset[[#This Row],[Timestamp]],1)</f>
        <v>0.25809027777722804</v>
      </c>
      <c r="D339">
        <f>YEAR(smart_dataset[[#This Row],[Date]])</f>
        <v>2024</v>
      </c>
      <c r="E339">
        <f>MONTH(smart_dataset[[#This Row],[Timestamp]])</f>
        <v>10</v>
      </c>
      <c r="F339" t="s">
        <v>25</v>
      </c>
      <c r="G339">
        <v>84.677400000000006</v>
      </c>
      <c r="H339">
        <v>61.015300000000003</v>
      </c>
      <c r="I339">
        <v>359</v>
      </c>
      <c r="J339" t="s">
        <v>17</v>
      </c>
      <c r="K339">
        <v>29.2</v>
      </c>
      <c r="L339">
        <v>54.5</v>
      </c>
      <c r="M339" t="s">
        <v>18</v>
      </c>
      <c r="N339">
        <v>50</v>
      </c>
      <c r="O339">
        <v>268</v>
      </c>
      <c r="P339">
        <v>1</v>
      </c>
      <c r="Q339" t="s">
        <v>19</v>
      </c>
      <c r="R339">
        <v>67.400000000000006</v>
      </c>
      <c r="S339">
        <v>249</v>
      </c>
      <c r="T339">
        <v>1</v>
      </c>
      <c r="U339" t="str" cm="1">
        <f t="array" ref="U339">_xlfn.IFS(smart_dataset[[#This Row],[Waiting_Time]]&lt;=20,"Low",smart_dataset[[#This Row],[Waiting_Time]]&lt;=40,"Medium",TRUE,"High")</f>
        <v>High</v>
      </c>
      <c r="V339" t="str" cm="1">
        <f t="array" ref="V339">_xlfn.IFS(smart_dataset[[#This Row],[Temperature]]&lt;=20,"Cold",smart_dataset[[#This Row],[Temperature]]&lt;=28,"Normal",TRUE,"Hot")</f>
        <v>Hot</v>
      </c>
      <c r="W339" t="str" cm="1">
        <f t="array" ref="W339">_xlfn.IFS(smart_dataset[[#This Row],[Asset_Utilization]]&lt;=75,"Low",smart_dataset[[#This Row],[Asset_Utilization]]&lt;=90,"Medium",TRUE,"High")</f>
        <v>Low</v>
      </c>
    </row>
    <row r="340" spans="1:23" hidden="1" x14ac:dyDescent="0.25">
      <c r="A340" s="1">
        <v>45544.145972222221</v>
      </c>
      <c r="B340" s="1">
        <f>INT(smart_dataset[[#This Row],[Timestamp]])</f>
        <v>45544</v>
      </c>
      <c r="C340" s="1">
        <f>MOD(smart_dataset[[#This Row],[Timestamp]],1)</f>
        <v>0.14597222222073469</v>
      </c>
      <c r="D340" s="1">
        <f>YEAR(smart_dataset[[#This Row],[Date]])</f>
        <v>2024</v>
      </c>
      <c r="E340" s="1">
        <f>MONTH(smart_dataset[[#This Row],[Timestamp]])</f>
        <v>9</v>
      </c>
      <c r="F340" t="s">
        <v>33</v>
      </c>
      <c r="G340">
        <v>49.586399999999998</v>
      </c>
      <c r="H340">
        <v>-154.42240000000001</v>
      </c>
      <c r="I340">
        <v>377</v>
      </c>
      <c r="J340" t="s">
        <v>26</v>
      </c>
      <c r="K340">
        <v>18.100000000000001</v>
      </c>
      <c r="L340">
        <v>55</v>
      </c>
      <c r="M340" t="s">
        <v>18</v>
      </c>
      <c r="N340">
        <v>59</v>
      </c>
      <c r="O340">
        <v>476</v>
      </c>
      <c r="P340">
        <v>6</v>
      </c>
      <c r="Q340" t="s">
        <v>23</v>
      </c>
      <c r="R340">
        <v>70.2</v>
      </c>
      <c r="S340">
        <v>268</v>
      </c>
      <c r="T340">
        <v>0</v>
      </c>
      <c r="U340" t="str" cm="1">
        <f t="array" ref="U340">_xlfn.IFS(smart_dataset[[#This Row],[Waiting_Time]]&lt;=20,"Low",smart_dataset[[#This Row],[Waiting_Time]]&lt;=40,"Medium",TRUE,"High")</f>
        <v>High</v>
      </c>
      <c r="V340" t="str" cm="1">
        <f t="array" ref="V340">_xlfn.IFS(smart_dataset[[#This Row],[Temperature]]&lt;=20,"Cold",smart_dataset[[#This Row],[Temperature]]&lt;=28,"Normal",TRUE,"Hot")</f>
        <v>Cold</v>
      </c>
      <c r="W340" t="str" cm="1">
        <f t="array" ref="W340">_xlfn.IFS(smart_dataset[[#This Row],[Asset_Utilization]]&lt;=75,"Low",smart_dataset[[#This Row],[Asset_Utilization]]&lt;=90,"Medium",TRUE,"High")</f>
        <v>Low</v>
      </c>
    </row>
    <row r="341" spans="1:23" hidden="1" x14ac:dyDescent="0.25">
      <c r="A341" s="1">
        <v>45525.838287037041</v>
      </c>
      <c r="B341" s="1">
        <f>INT(smart_dataset[[#This Row],[Timestamp]])</f>
        <v>45525</v>
      </c>
      <c r="C341" s="1">
        <f>MOD(smart_dataset[[#This Row],[Timestamp]],1)</f>
        <v>0.83828703704057261</v>
      </c>
      <c r="D341" s="1">
        <f>YEAR(smart_dataset[[#This Row],[Date]])</f>
        <v>2024</v>
      </c>
      <c r="E341" s="1">
        <f>MONTH(smart_dataset[[#This Row],[Timestamp]])</f>
        <v>8</v>
      </c>
      <c r="F341" t="s">
        <v>20</v>
      </c>
      <c r="G341">
        <v>-51.319000000000003</v>
      </c>
      <c r="H341">
        <v>-46.584099999999999</v>
      </c>
      <c r="I341">
        <v>228</v>
      </c>
      <c r="J341" t="s">
        <v>17</v>
      </c>
      <c r="K341">
        <v>24.2</v>
      </c>
      <c r="L341">
        <v>59.2</v>
      </c>
      <c r="M341" t="s">
        <v>22</v>
      </c>
      <c r="N341">
        <v>26</v>
      </c>
      <c r="O341">
        <v>321</v>
      </c>
      <c r="P341">
        <v>5</v>
      </c>
      <c r="Q341" t="s">
        <v>27</v>
      </c>
      <c r="R341">
        <v>96.3</v>
      </c>
      <c r="S341">
        <v>132</v>
      </c>
      <c r="T341">
        <v>1</v>
      </c>
      <c r="U341" t="str" cm="1">
        <f t="array" ref="U341">_xlfn.IFS(smart_dataset[[#This Row],[Waiting_Time]]&lt;=20,"Low",smart_dataset[[#This Row],[Waiting_Time]]&lt;=40,"Medium",TRUE,"High")</f>
        <v>Medium</v>
      </c>
      <c r="V341" t="str" cm="1">
        <f t="array" ref="V341">_xlfn.IFS(smart_dataset[[#This Row],[Temperature]]&lt;=20,"Cold",smart_dataset[[#This Row],[Temperature]]&lt;=28,"Normal",TRUE,"Hot")</f>
        <v>Normal</v>
      </c>
      <c r="W341" t="str" cm="1">
        <f t="array" ref="W341">_xlfn.IFS(smart_dataset[[#This Row],[Asset_Utilization]]&lt;=75,"Low",smart_dataset[[#This Row],[Asset_Utilization]]&lt;=90,"Medium",TRUE,"High")</f>
        <v>High</v>
      </c>
    </row>
    <row r="342" spans="1:23" x14ac:dyDescent="0.25">
      <c r="A342" s="1">
        <v>45308.148564814815</v>
      </c>
      <c r="B342" s="1">
        <f>INT(smart_dataset[[#This Row],[Timestamp]])</f>
        <v>45308</v>
      </c>
      <c r="C342" s="7">
        <f>MOD(smart_dataset[[#This Row],[Timestamp]],1)</f>
        <v>0.14856481481547235</v>
      </c>
      <c r="D342">
        <f>YEAR(smart_dataset[[#This Row],[Date]])</f>
        <v>2024</v>
      </c>
      <c r="E342">
        <f>MONTH(smart_dataset[[#This Row],[Timestamp]])</f>
        <v>1</v>
      </c>
      <c r="F342" t="s">
        <v>24</v>
      </c>
      <c r="G342">
        <v>-12.9902</v>
      </c>
      <c r="H342">
        <v>176.1206</v>
      </c>
      <c r="I342">
        <v>399</v>
      </c>
      <c r="J342" t="s">
        <v>26</v>
      </c>
      <c r="K342">
        <v>23.4</v>
      </c>
      <c r="L342">
        <v>71.7</v>
      </c>
      <c r="M342" t="s">
        <v>22</v>
      </c>
      <c r="N342">
        <v>12</v>
      </c>
      <c r="O342">
        <v>239</v>
      </c>
      <c r="P342">
        <v>1</v>
      </c>
      <c r="Q342" t="s">
        <v>19</v>
      </c>
      <c r="R342">
        <v>67.599999999999994</v>
      </c>
      <c r="S342">
        <v>156</v>
      </c>
      <c r="T342">
        <v>1</v>
      </c>
      <c r="U342" t="str" cm="1">
        <f t="array" ref="U342">_xlfn.IFS(smart_dataset[[#This Row],[Waiting_Time]]&lt;=20,"Low",smart_dataset[[#This Row],[Waiting_Time]]&lt;=40,"Medium",TRUE,"High")</f>
        <v>Low</v>
      </c>
      <c r="V342" t="str" cm="1">
        <f t="array" ref="V342">_xlfn.IFS(smart_dataset[[#This Row],[Temperature]]&lt;=20,"Cold",smart_dataset[[#This Row],[Temperature]]&lt;=28,"Normal",TRUE,"Hot")</f>
        <v>Normal</v>
      </c>
      <c r="W342" t="str" cm="1">
        <f t="array" ref="W342">_xlfn.IFS(smart_dataset[[#This Row],[Asset_Utilization]]&lt;=75,"Low",smart_dataset[[#This Row],[Asset_Utilization]]&lt;=90,"Medium",TRUE,"High")</f>
        <v>Low</v>
      </c>
    </row>
    <row r="343" spans="1:23" hidden="1" x14ac:dyDescent="0.25">
      <c r="A343" s="1">
        <v>45628.505543981482</v>
      </c>
      <c r="B343" s="1">
        <f>INT(smart_dataset[[#This Row],[Timestamp]])</f>
        <v>45628</v>
      </c>
      <c r="C343" s="1">
        <f>MOD(smart_dataset[[#This Row],[Timestamp]],1)</f>
        <v>0.50554398148233304</v>
      </c>
      <c r="D343" s="1">
        <f>YEAR(smart_dataset[[#This Row],[Date]])</f>
        <v>2024</v>
      </c>
      <c r="E343" s="1">
        <f>MONTH(smart_dataset[[#This Row],[Timestamp]])</f>
        <v>12</v>
      </c>
      <c r="F343" t="s">
        <v>33</v>
      </c>
      <c r="G343">
        <v>6.8181000000000003</v>
      </c>
      <c r="H343">
        <v>52.368499999999997</v>
      </c>
      <c r="I343">
        <v>157</v>
      </c>
      <c r="J343" t="s">
        <v>21</v>
      </c>
      <c r="K343">
        <v>29.8</v>
      </c>
      <c r="L343">
        <v>54</v>
      </c>
      <c r="M343" t="s">
        <v>28</v>
      </c>
      <c r="N343">
        <v>33</v>
      </c>
      <c r="O343">
        <v>151</v>
      </c>
      <c r="P343">
        <v>10</v>
      </c>
      <c r="Q343" t="s">
        <v>23</v>
      </c>
      <c r="R343">
        <v>81.2</v>
      </c>
      <c r="S343">
        <v>192</v>
      </c>
      <c r="T343">
        <v>0</v>
      </c>
      <c r="U343" t="str" cm="1">
        <f t="array" ref="U343">_xlfn.IFS(smart_dataset[[#This Row],[Waiting_Time]]&lt;=20,"Low",smart_dataset[[#This Row],[Waiting_Time]]&lt;=40,"Medium",TRUE,"High")</f>
        <v>Medium</v>
      </c>
      <c r="V343" t="str" cm="1">
        <f t="array" ref="V343">_xlfn.IFS(smart_dataset[[#This Row],[Temperature]]&lt;=20,"Cold",smart_dataset[[#This Row],[Temperature]]&lt;=28,"Normal",TRUE,"Hot")</f>
        <v>Hot</v>
      </c>
      <c r="W343" t="str" cm="1">
        <f t="array" ref="W343">_xlfn.IFS(smart_dataset[[#This Row],[Asset_Utilization]]&lt;=75,"Low",smart_dataset[[#This Row],[Asset_Utilization]]&lt;=90,"Medium",TRUE,"High")</f>
        <v>Medium</v>
      </c>
    </row>
    <row r="344" spans="1:23" hidden="1" x14ac:dyDescent="0.25">
      <c r="A344" s="1">
        <v>45614.327928240738</v>
      </c>
      <c r="B344" s="1">
        <f>INT(smart_dataset[[#This Row],[Timestamp]])</f>
        <v>45614</v>
      </c>
      <c r="C344" s="1">
        <f>MOD(smart_dataset[[#This Row],[Timestamp]],1)</f>
        <v>0.32792824073840166</v>
      </c>
      <c r="D344" s="1">
        <f>YEAR(smart_dataset[[#This Row],[Date]])</f>
        <v>2024</v>
      </c>
      <c r="E344" s="1">
        <f>MONTH(smart_dataset[[#This Row],[Timestamp]])</f>
        <v>11</v>
      </c>
      <c r="F344" t="s">
        <v>24</v>
      </c>
      <c r="G344">
        <v>-3.0379999999999998</v>
      </c>
      <c r="H344">
        <v>106.5694</v>
      </c>
      <c r="I344">
        <v>327</v>
      </c>
      <c r="J344" t="s">
        <v>21</v>
      </c>
      <c r="K344">
        <v>21.2</v>
      </c>
      <c r="L344">
        <v>52.6</v>
      </c>
      <c r="M344" t="s">
        <v>28</v>
      </c>
      <c r="N344">
        <v>48</v>
      </c>
      <c r="O344">
        <v>209</v>
      </c>
      <c r="P344">
        <v>8</v>
      </c>
      <c r="Q344" t="s">
        <v>31</v>
      </c>
      <c r="R344">
        <v>98.6</v>
      </c>
      <c r="S344">
        <v>104</v>
      </c>
      <c r="T344">
        <v>0</v>
      </c>
      <c r="U344" t="str" cm="1">
        <f t="array" ref="U344">_xlfn.IFS(smart_dataset[[#This Row],[Waiting_Time]]&lt;=20,"Low",smart_dataset[[#This Row],[Waiting_Time]]&lt;=40,"Medium",TRUE,"High")</f>
        <v>High</v>
      </c>
      <c r="V344" t="str" cm="1">
        <f t="array" ref="V344">_xlfn.IFS(smart_dataset[[#This Row],[Temperature]]&lt;=20,"Cold",smart_dataset[[#This Row],[Temperature]]&lt;=28,"Normal",TRUE,"Hot")</f>
        <v>Normal</v>
      </c>
      <c r="W344" t="str" cm="1">
        <f t="array" ref="W344">_xlfn.IFS(smart_dataset[[#This Row],[Asset_Utilization]]&lt;=75,"Low",smart_dataset[[#This Row],[Asset_Utilization]]&lt;=90,"Medium",TRUE,"High")</f>
        <v>High</v>
      </c>
    </row>
    <row r="345" spans="1:23" x14ac:dyDescent="0.25">
      <c r="A345" s="1">
        <v>45411.496134259258</v>
      </c>
      <c r="B345" s="1">
        <f>INT(smart_dataset[[#This Row],[Timestamp]])</f>
        <v>45411</v>
      </c>
      <c r="C345" s="7">
        <f>MOD(smart_dataset[[#This Row],[Timestamp]],1)</f>
        <v>0.49613425925781485</v>
      </c>
      <c r="D345">
        <f>YEAR(smart_dataset[[#This Row],[Date]])</f>
        <v>2024</v>
      </c>
      <c r="E345">
        <f>MONTH(smart_dataset[[#This Row],[Timestamp]])</f>
        <v>4</v>
      </c>
      <c r="F345" t="s">
        <v>30</v>
      </c>
      <c r="G345">
        <v>35.514099999999999</v>
      </c>
      <c r="H345">
        <v>90.808700000000002</v>
      </c>
      <c r="I345">
        <v>215</v>
      </c>
      <c r="J345" t="s">
        <v>17</v>
      </c>
      <c r="K345">
        <v>21.7</v>
      </c>
      <c r="L345">
        <v>73.400000000000006</v>
      </c>
      <c r="M345" t="s">
        <v>18</v>
      </c>
      <c r="N345">
        <v>17</v>
      </c>
      <c r="O345">
        <v>146</v>
      </c>
      <c r="P345">
        <v>9</v>
      </c>
      <c r="Q345" t="s">
        <v>19</v>
      </c>
      <c r="R345">
        <v>70.400000000000006</v>
      </c>
      <c r="S345">
        <v>296</v>
      </c>
      <c r="T345">
        <v>1</v>
      </c>
      <c r="U345" t="str" cm="1">
        <f t="array" ref="U345">_xlfn.IFS(smart_dataset[[#This Row],[Waiting_Time]]&lt;=20,"Low",smart_dataset[[#This Row],[Waiting_Time]]&lt;=40,"Medium",TRUE,"High")</f>
        <v>Low</v>
      </c>
      <c r="V345" t="str" cm="1">
        <f t="array" ref="V345">_xlfn.IFS(smart_dataset[[#This Row],[Temperature]]&lt;=20,"Cold",smart_dataset[[#This Row],[Temperature]]&lt;=28,"Normal",TRUE,"Hot")</f>
        <v>Normal</v>
      </c>
      <c r="W345" t="str" cm="1">
        <f t="array" ref="W345">_xlfn.IFS(smart_dataset[[#This Row],[Asset_Utilization]]&lt;=75,"Low",smart_dataset[[#This Row],[Asset_Utilization]]&lt;=90,"Medium",TRUE,"High")</f>
        <v>Low</v>
      </c>
    </row>
    <row r="346" spans="1:23" x14ac:dyDescent="0.25">
      <c r="A346" s="1">
        <v>45441.28460648148</v>
      </c>
      <c r="B346" s="1">
        <f>INT(smart_dataset[[#This Row],[Timestamp]])</f>
        <v>45441</v>
      </c>
      <c r="C346" s="7">
        <f>MOD(smart_dataset[[#This Row],[Timestamp]],1)</f>
        <v>0.28460648148029577</v>
      </c>
      <c r="D346">
        <f>YEAR(smart_dataset[[#This Row],[Date]])</f>
        <v>2024</v>
      </c>
      <c r="E346">
        <f>MONTH(smart_dataset[[#This Row],[Timestamp]])</f>
        <v>5</v>
      </c>
      <c r="F346" t="s">
        <v>25</v>
      </c>
      <c r="G346">
        <v>-40.872399999999999</v>
      </c>
      <c r="H346">
        <v>-42.324300000000001</v>
      </c>
      <c r="I346">
        <v>213</v>
      </c>
      <c r="J346" t="s">
        <v>17</v>
      </c>
      <c r="K346">
        <v>20.2</v>
      </c>
      <c r="L346">
        <v>63.7</v>
      </c>
      <c r="M346" t="s">
        <v>28</v>
      </c>
      <c r="N346">
        <v>16</v>
      </c>
      <c r="O346">
        <v>248</v>
      </c>
      <c r="P346">
        <v>10</v>
      </c>
      <c r="Q346" t="s">
        <v>19</v>
      </c>
      <c r="R346">
        <v>68.8</v>
      </c>
      <c r="S346">
        <v>136</v>
      </c>
      <c r="T346">
        <v>1</v>
      </c>
      <c r="U346" t="str" cm="1">
        <f t="array" ref="U346">_xlfn.IFS(smart_dataset[[#This Row],[Waiting_Time]]&lt;=20,"Low",smart_dataset[[#This Row],[Waiting_Time]]&lt;=40,"Medium",TRUE,"High")</f>
        <v>Low</v>
      </c>
      <c r="V346" t="str" cm="1">
        <f t="array" ref="V346">_xlfn.IFS(smart_dataset[[#This Row],[Temperature]]&lt;=20,"Cold",smart_dataset[[#This Row],[Temperature]]&lt;=28,"Normal",TRUE,"Hot")</f>
        <v>Normal</v>
      </c>
      <c r="W346" t="str" cm="1">
        <f t="array" ref="W346">_xlfn.IFS(smart_dataset[[#This Row],[Asset_Utilization]]&lt;=75,"Low",smart_dataset[[#This Row],[Asset_Utilization]]&lt;=90,"Medium",TRUE,"High")</f>
        <v>Low</v>
      </c>
    </row>
    <row r="347" spans="1:23" hidden="1" x14ac:dyDescent="0.25">
      <c r="A347" s="1">
        <v>45606.242604166669</v>
      </c>
      <c r="B347" s="1">
        <f>INT(smart_dataset[[#This Row],[Timestamp]])</f>
        <v>45606</v>
      </c>
      <c r="C347" s="1">
        <f>MOD(smart_dataset[[#This Row],[Timestamp]],1)</f>
        <v>0.24260416666948004</v>
      </c>
      <c r="D347" s="1">
        <f>YEAR(smart_dataset[[#This Row],[Date]])</f>
        <v>2024</v>
      </c>
      <c r="E347" s="1">
        <f>MONTH(smart_dataset[[#This Row],[Timestamp]])</f>
        <v>11</v>
      </c>
      <c r="F347" t="s">
        <v>16</v>
      </c>
      <c r="G347">
        <v>44.634700000000002</v>
      </c>
      <c r="H347">
        <v>-110.63039999999999</v>
      </c>
      <c r="I347">
        <v>226</v>
      </c>
      <c r="J347" t="s">
        <v>21</v>
      </c>
      <c r="K347">
        <v>21.4</v>
      </c>
      <c r="L347">
        <v>58</v>
      </c>
      <c r="M347" t="s">
        <v>18</v>
      </c>
      <c r="N347">
        <v>47</v>
      </c>
      <c r="O347">
        <v>348</v>
      </c>
      <c r="P347">
        <v>7</v>
      </c>
      <c r="Q347" t="s">
        <v>31</v>
      </c>
      <c r="R347">
        <v>85.7</v>
      </c>
      <c r="S347">
        <v>136</v>
      </c>
      <c r="T347">
        <v>0</v>
      </c>
      <c r="U347" t="str" cm="1">
        <f t="array" ref="U347">_xlfn.IFS(smart_dataset[[#This Row],[Waiting_Time]]&lt;=20,"Low",smart_dataset[[#This Row],[Waiting_Time]]&lt;=40,"Medium",TRUE,"High")</f>
        <v>High</v>
      </c>
      <c r="V347" t="str" cm="1">
        <f t="array" ref="V347">_xlfn.IFS(smart_dataset[[#This Row],[Temperature]]&lt;=20,"Cold",smart_dataset[[#This Row],[Temperature]]&lt;=28,"Normal",TRUE,"Hot")</f>
        <v>Normal</v>
      </c>
      <c r="W347" t="str" cm="1">
        <f t="array" ref="W347">_xlfn.IFS(smart_dataset[[#This Row],[Asset_Utilization]]&lt;=75,"Low",smart_dataset[[#This Row],[Asset_Utilization]]&lt;=90,"Medium",TRUE,"High")</f>
        <v>Medium</v>
      </c>
    </row>
    <row r="348" spans="1:23" hidden="1" x14ac:dyDescent="0.25">
      <c r="A348" s="1">
        <v>45599.848356481481</v>
      </c>
      <c r="B348" s="1">
        <f>INT(smart_dataset[[#This Row],[Timestamp]])</f>
        <v>45599</v>
      </c>
      <c r="C348" s="1">
        <f>MOD(smart_dataset[[#This Row],[Timestamp]],1)</f>
        <v>0.84835648148145992</v>
      </c>
      <c r="D348" s="1">
        <f>YEAR(smart_dataset[[#This Row],[Date]])</f>
        <v>2024</v>
      </c>
      <c r="E348" s="1">
        <f>MONTH(smart_dataset[[#This Row],[Timestamp]])</f>
        <v>11</v>
      </c>
      <c r="F348" t="s">
        <v>35</v>
      </c>
      <c r="G348">
        <v>76.546800000000005</v>
      </c>
      <c r="H348">
        <v>-13.524900000000001</v>
      </c>
      <c r="I348">
        <v>334</v>
      </c>
      <c r="J348" t="s">
        <v>26</v>
      </c>
      <c r="K348">
        <v>24.2</v>
      </c>
      <c r="L348">
        <v>76.2</v>
      </c>
      <c r="M348" t="s">
        <v>28</v>
      </c>
      <c r="N348">
        <v>24</v>
      </c>
      <c r="O348">
        <v>402</v>
      </c>
      <c r="P348">
        <v>7</v>
      </c>
      <c r="Q348" t="s">
        <v>27</v>
      </c>
      <c r="R348">
        <v>71.5</v>
      </c>
      <c r="S348">
        <v>105</v>
      </c>
      <c r="T348">
        <v>0</v>
      </c>
      <c r="U348" t="str" cm="1">
        <f t="array" ref="U348">_xlfn.IFS(smart_dataset[[#This Row],[Waiting_Time]]&lt;=20,"Low",smart_dataset[[#This Row],[Waiting_Time]]&lt;=40,"Medium",TRUE,"High")</f>
        <v>Medium</v>
      </c>
      <c r="V348" t="str" cm="1">
        <f t="array" ref="V348">_xlfn.IFS(smart_dataset[[#This Row],[Temperature]]&lt;=20,"Cold",smart_dataset[[#This Row],[Temperature]]&lt;=28,"Normal",TRUE,"Hot")</f>
        <v>Normal</v>
      </c>
      <c r="W348" t="str" cm="1">
        <f t="array" ref="W348">_xlfn.IFS(smart_dataset[[#This Row],[Asset_Utilization]]&lt;=75,"Low",smart_dataset[[#This Row],[Asset_Utilization]]&lt;=90,"Medium",TRUE,"High")</f>
        <v>Low</v>
      </c>
    </row>
    <row r="349" spans="1:23" x14ac:dyDescent="0.25">
      <c r="A349" s="1">
        <v>45539.448067129626</v>
      </c>
      <c r="B349" s="1">
        <f>INT(smart_dataset[[#This Row],[Timestamp]])</f>
        <v>45539</v>
      </c>
      <c r="C349" s="7">
        <f>MOD(smart_dataset[[#This Row],[Timestamp]],1)</f>
        <v>0.44806712962599704</v>
      </c>
      <c r="D349">
        <f>YEAR(smart_dataset[[#This Row],[Date]])</f>
        <v>2024</v>
      </c>
      <c r="E349">
        <f>MONTH(smart_dataset[[#This Row],[Timestamp]])</f>
        <v>9</v>
      </c>
      <c r="F349" t="s">
        <v>30</v>
      </c>
      <c r="G349">
        <v>72.820599999999999</v>
      </c>
      <c r="H349">
        <v>90.516900000000007</v>
      </c>
      <c r="I349">
        <v>319</v>
      </c>
      <c r="J349" t="s">
        <v>21</v>
      </c>
      <c r="K349">
        <v>25.5</v>
      </c>
      <c r="L349">
        <v>51.7</v>
      </c>
      <c r="M349" t="s">
        <v>18</v>
      </c>
      <c r="N349">
        <v>32</v>
      </c>
      <c r="O349">
        <v>350</v>
      </c>
      <c r="P349">
        <v>2</v>
      </c>
      <c r="Q349" t="s">
        <v>19</v>
      </c>
      <c r="R349">
        <v>69.7</v>
      </c>
      <c r="S349">
        <v>254</v>
      </c>
      <c r="T349">
        <v>0</v>
      </c>
      <c r="U349" t="str" cm="1">
        <f t="array" ref="U349">_xlfn.IFS(smart_dataset[[#This Row],[Waiting_Time]]&lt;=20,"Low",smart_dataset[[#This Row],[Waiting_Time]]&lt;=40,"Medium",TRUE,"High")</f>
        <v>Medium</v>
      </c>
      <c r="V349" t="str" cm="1">
        <f t="array" ref="V349">_xlfn.IFS(smart_dataset[[#This Row],[Temperature]]&lt;=20,"Cold",smart_dataset[[#This Row],[Temperature]]&lt;=28,"Normal",TRUE,"Hot")</f>
        <v>Normal</v>
      </c>
      <c r="W349" t="str" cm="1">
        <f t="array" ref="W349">_xlfn.IFS(smart_dataset[[#This Row],[Asset_Utilization]]&lt;=75,"Low",smart_dataset[[#This Row],[Asset_Utilization]]&lt;=90,"Medium",TRUE,"High")</f>
        <v>Low</v>
      </c>
    </row>
    <row r="350" spans="1:23" hidden="1" x14ac:dyDescent="0.25">
      <c r="A350" s="1">
        <v>45560.911909722221</v>
      </c>
      <c r="B350" s="1">
        <f>INT(smart_dataset[[#This Row],[Timestamp]])</f>
        <v>45560</v>
      </c>
      <c r="C350" s="1">
        <f>MOD(smart_dataset[[#This Row],[Timestamp]],1)</f>
        <v>0.91190972222102573</v>
      </c>
      <c r="D350" s="1">
        <f>YEAR(smart_dataset[[#This Row],[Date]])</f>
        <v>2024</v>
      </c>
      <c r="E350" s="1">
        <f>MONTH(smart_dataset[[#This Row],[Timestamp]])</f>
        <v>9</v>
      </c>
      <c r="F350" t="s">
        <v>32</v>
      </c>
      <c r="G350">
        <v>81.255399999999995</v>
      </c>
      <c r="H350">
        <v>4.8415999999999997</v>
      </c>
      <c r="I350">
        <v>411</v>
      </c>
      <c r="J350" t="s">
        <v>21</v>
      </c>
      <c r="K350">
        <v>20.5</v>
      </c>
      <c r="L350">
        <v>77.400000000000006</v>
      </c>
      <c r="M350" t="s">
        <v>22</v>
      </c>
      <c r="N350">
        <v>51</v>
      </c>
      <c r="O350">
        <v>211</v>
      </c>
      <c r="P350">
        <v>5</v>
      </c>
      <c r="Q350" t="s">
        <v>31</v>
      </c>
      <c r="R350">
        <v>76.900000000000006</v>
      </c>
      <c r="S350">
        <v>244</v>
      </c>
      <c r="T350">
        <v>1</v>
      </c>
      <c r="U350" t="str" cm="1">
        <f t="array" ref="U350">_xlfn.IFS(smart_dataset[[#This Row],[Waiting_Time]]&lt;=20,"Low",smart_dataset[[#This Row],[Waiting_Time]]&lt;=40,"Medium",TRUE,"High")</f>
        <v>High</v>
      </c>
      <c r="V350" t="str" cm="1">
        <f t="array" ref="V350">_xlfn.IFS(smart_dataset[[#This Row],[Temperature]]&lt;=20,"Cold",smart_dataset[[#This Row],[Temperature]]&lt;=28,"Normal",TRUE,"Hot")</f>
        <v>Normal</v>
      </c>
      <c r="W350" t="str" cm="1">
        <f t="array" ref="W350">_xlfn.IFS(smart_dataset[[#This Row],[Asset_Utilization]]&lt;=75,"Low",smart_dataset[[#This Row],[Asset_Utilization]]&lt;=90,"Medium",TRUE,"High")</f>
        <v>Medium</v>
      </c>
    </row>
    <row r="351" spans="1:23" hidden="1" x14ac:dyDescent="0.25">
      <c r="A351" s="1">
        <v>45497.271041666667</v>
      </c>
      <c r="B351" s="1">
        <f>INT(smart_dataset[[#This Row],[Timestamp]])</f>
        <v>45497</v>
      </c>
      <c r="C351" s="1">
        <f>MOD(smart_dataset[[#This Row],[Timestamp]],1)</f>
        <v>0.27104166666686069</v>
      </c>
      <c r="D351" s="1">
        <f>YEAR(smart_dataset[[#This Row],[Date]])</f>
        <v>2024</v>
      </c>
      <c r="E351" s="1">
        <f>MONTH(smart_dataset[[#This Row],[Timestamp]])</f>
        <v>7</v>
      </c>
      <c r="F351" t="s">
        <v>20</v>
      </c>
      <c r="G351">
        <v>74.910700000000006</v>
      </c>
      <c r="H351">
        <v>17.8019</v>
      </c>
      <c r="I351">
        <v>208</v>
      </c>
      <c r="J351" t="s">
        <v>17</v>
      </c>
      <c r="K351">
        <v>28.8</v>
      </c>
      <c r="L351">
        <v>64.900000000000006</v>
      </c>
      <c r="M351" t="s">
        <v>28</v>
      </c>
      <c r="N351">
        <v>40</v>
      </c>
      <c r="O351">
        <v>437</v>
      </c>
      <c r="P351">
        <v>6</v>
      </c>
      <c r="Q351" t="s">
        <v>23</v>
      </c>
      <c r="R351">
        <v>64.599999999999994</v>
      </c>
      <c r="S351">
        <v>185</v>
      </c>
      <c r="T351">
        <v>1</v>
      </c>
      <c r="U351" t="str" cm="1">
        <f t="array" ref="U351">_xlfn.IFS(smart_dataset[[#This Row],[Waiting_Time]]&lt;=20,"Low",smart_dataset[[#This Row],[Waiting_Time]]&lt;=40,"Medium",TRUE,"High")</f>
        <v>Medium</v>
      </c>
      <c r="V351" t="str" cm="1">
        <f t="array" ref="V351">_xlfn.IFS(smart_dataset[[#This Row],[Temperature]]&lt;=20,"Cold",smart_dataset[[#This Row],[Temperature]]&lt;=28,"Normal",TRUE,"Hot")</f>
        <v>Hot</v>
      </c>
      <c r="W351" t="str" cm="1">
        <f t="array" ref="W351">_xlfn.IFS(smart_dataset[[#This Row],[Asset_Utilization]]&lt;=75,"Low",smart_dataset[[#This Row],[Asset_Utilization]]&lt;=90,"Medium",TRUE,"High")</f>
        <v>Low</v>
      </c>
    </row>
    <row r="352" spans="1:23" hidden="1" x14ac:dyDescent="0.25">
      <c r="A352" s="1">
        <v>45384.571597222224</v>
      </c>
      <c r="B352" s="1">
        <f>INT(smart_dataset[[#This Row],[Timestamp]])</f>
        <v>45384</v>
      </c>
      <c r="C352" s="1">
        <f>MOD(smart_dataset[[#This Row],[Timestamp]],1)</f>
        <v>0.57159722222422715</v>
      </c>
      <c r="D352" s="1">
        <f>YEAR(smart_dataset[[#This Row],[Date]])</f>
        <v>2024</v>
      </c>
      <c r="E352" s="1">
        <f>MONTH(smart_dataset[[#This Row],[Timestamp]])</f>
        <v>4</v>
      </c>
      <c r="F352" t="s">
        <v>34</v>
      </c>
      <c r="G352">
        <v>20.446000000000002</v>
      </c>
      <c r="H352">
        <v>149.3776</v>
      </c>
      <c r="I352">
        <v>328</v>
      </c>
      <c r="J352" t="s">
        <v>26</v>
      </c>
      <c r="K352">
        <v>22.8</v>
      </c>
      <c r="L352">
        <v>73.599999999999994</v>
      </c>
      <c r="M352" t="s">
        <v>28</v>
      </c>
      <c r="N352">
        <v>12</v>
      </c>
      <c r="O352">
        <v>349</v>
      </c>
      <c r="P352">
        <v>9</v>
      </c>
      <c r="Q352" t="s">
        <v>31</v>
      </c>
      <c r="R352">
        <v>93.3</v>
      </c>
      <c r="S352">
        <v>162</v>
      </c>
      <c r="T352">
        <v>0</v>
      </c>
      <c r="U352" t="str" cm="1">
        <f t="array" ref="U352">_xlfn.IFS(smart_dataset[[#This Row],[Waiting_Time]]&lt;=20,"Low",smart_dataset[[#This Row],[Waiting_Time]]&lt;=40,"Medium",TRUE,"High")</f>
        <v>Low</v>
      </c>
      <c r="V352" t="str" cm="1">
        <f t="array" ref="V352">_xlfn.IFS(smart_dataset[[#This Row],[Temperature]]&lt;=20,"Cold",smart_dataset[[#This Row],[Temperature]]&lt;=28,"Normal",TRUE,"Hot")</f>
        <v>Normal</v>
      </c>
      <c r="W352" t="str" cm="1">
        <f t="array" ref="W352">_xlfn.IFS(smart_dataset[[#This Row],[Asset_Utilization]]&lt;=75,"Low",smart_dataset[[#This Row],[Asset_Utilization]]&lt;=90,"Medium",TRUE,"High")</f>
        <v>High</v>
      </c>
    </row>
    <row r="353" spans="1:23" hidden="1" x14ac:dyDescent="0.25">
      <c r="A353" s="1">
        <v>45355.280324074076</v>
      </c>
      <c r="B353" s="1">
        <f>INT(smart_dataset[[#This Row],[Timestamp]])</f>
        <v>45355</v>
      </c>
      <c r="C353" s="1">
        <f>MOD(smart_dataset[[#This Row],[Timestamp]],1)</f>
        <v>0.28032407407590654</v>
      </c>
      <c r="D353" s="1">
        <f>YEAR(smart_dataset[[#This Row],[Date]])</f>
        <v>2024</v>
      </c>
      <c r="E353" s="1">
        <f>MONTH(smart_dataset[[#This Row],[Timestamp]])</f>
        <v>3</v>
      </c>
      <c r="F353" t="s">
        <v>33</v>
      </c>
      <c r="G353">
        <v>-60.710099999999997</v>
      </c>
      <c r="H353">
        <v>-29.484200000000001</v>
      </c>
      <c r="I353">
        <v>219</v>
      </c>
      <c r="J353" t="s">
        <v>17</v>
      </c>
      <c r="K353">
        <v>22.9</v>
      </c>
      <c r="L353">
        <v>56.6</v>
      </c>
      <c r="M353" t="s">
        <v>22</v>
      </c>
      <c r="N353">
        <v>49</v>
      </c>
      <c r="O353">
        <v>372</v>
      </c>
      <c r="P353">
        <v>6</v>
      </c>
      <c r="Q353" t="s">
        <v>31</v>
      </c>
      <c r="R353">
        <v>64.400000000000006</v>
      </c>
      <c r="S353">
        <v>300</v>
      </c>
      <c r="T353">
        <v>1</v>
      </c>
      <c r="U353" t="str" cm="1">
        <f t="array" ref="U353">_xlfn.IFS(smart_dataset[[#This Row],[Waiting_Time]]&lt;=20,"Low",smart_dataset[[#This Row],[Waiting_Time]]&lt;=40,"Medium",TRUE,"High")</f>
        <v>High</v>
      </c>
      <c r="V353" t="str" cm="1">
        <f t="array" ref="V353">_xlfn.IFS(smart_dataset[[#This Row],[Temperature]]&lt;=20,"Cold",smart_dataset[[#This Row],[Temperature]]&lt;=28,"Normal",TRUE,"Hot")</f>
        <v>Normal</v>
      </c>
      <c r="W353" t="str" cm="1">
        <f t="array" ref="W353">_xlfn.IFS(smart_dataset[[#This Row],[Asset_Utilization]]&lt;=75,"Low",smart_dataset[[#This Row],[Asset_Utilization]]&lt;=90,"Medium",TRUE,"High")</f>
        <v>Low</v>
      </c>
    </row>
    <row r="354" spans="1:23" hidden="1" x14ac:dyDescent="0.25">
      <c r="A354" s="1">
        <v>45636.527662037035</v>
      </c>
      <c r="B354" s="1">
        <f>INT(smart_dataset[[#This Row],[Timestamp]])</f>
        <v>45636</v>
      </c>
      <c r="C354" s="1">
        <f>MOD(smart_dataset[[#This Row],[Timestamp]],1)</f>
        <v>0.52766203703504289</v>
      </c>
      <c r="D354" s="1">
        <f>YEAR(smart_dataset[[#This Row],[Date]])</f>
        <v>2024</v>
      </c>
      <c r="E354" s="1">
        <f>MONTH(smart_dataset[[#This Row],[Timestamp]])</f>
        <v>12</v>
      </c>
      <c r="F354" t="s">
        <v>32</v>
      </c>
      <c r="G354">
        <v>74.231399999999994</v>
      </c>
      <c r="H354">
        <v>-113.7355</v>
      </c>
      <c r="I354">
        <v>438</v>
      </c>
      <c r="J354" t="s">
        <v>21</v>
      </c>
      <c r="K354">
        <v>25.7</v>
      </c>
      <c r="L354">
        <v>71.2</v>
      </c>
      <c r="M354" t="s">
        <v>18</v>
      </c>
      <c r="N354">
        <v>21</v>
      </c>
      <c r="O354">
        <v>445</v>
      </c>
      <c r="P354">
        <v>5</v>
      </c>
      <c r="Q354" t="s">
        <v>23</v>
      </c>
      <c r="R354">
        <v>90.4</v>
      </c>
      <c r="S354">
        <v>154</v>
      </c>
      <c r="T354">
        <v>0</v>
      </c>
      <c r="U354" t="str" cm="1">
        <f t="array" ref="U354">_xlfn.IFS(smart_dataset[[#This Row],[Waiting_Time]]&lt;=20,"Low",smart_dataset[[#This Row],[Waiting_Time]]&lt;=40,"Medium",TRUE,"High")</f>
        <v>Medium</v>
      </c>
      <c r="V354" t="str" cm="1">
        <f t="array" ref="V354">_xlfn.IFS(smart_dataset[[#This Row],[Temperature]]&lt;=20,"Cold",smart_dataset[[#This Row],[Temperature]]&lt;=28,"Normal",TRUE,"Hot")</f>
        <v>Normal</v>
      </c>
      <c r="W354" t="str" cm="1">
        <f t="array" ref="W354">_xlfn.IFS(smart_dataset[[#This Row],[Asset_Utilization]]&lt;=75,"Low",smart_dataset[[#This Row],[Asset_Utilization]]&lt;=90,"Medium",TRUE,"High")</f>
        <v>High</v>
      </c>
    </row>
    <row r="355" spans="1:23" x14ac:dyDescent="0.25">
      <c r="A355" s="1">
        <v>45296.141041666669</v>
      </c>
      <c r="B355" s="1">
        <f>INT(smart_dataset[[#This Row],[Timestamp]])</f>
        <v>45296</v>
      </c>
      <c r="C355" s="7">
        <f>MOD(smart_dataset[[#This Row],[Timestamp]],1)</f>
        <v>0.14104166666948004</v>
      </c>
      <c r="D355">
        <f>YEAR(smart_dataset[[#This Row],[Date]])</f>
        <v>2024</v>
      </c>
      <c r="E355">
        <f>MONTH(smart_dataset[[#This Row],[Timestamp]])</f>
        <v>1</v>
      </c>
      <c r="F355" t="s">
        <v>25</v>
      </c>
      <c r="G355">
        <v>16.973700000000001</v>
      </c>
      <c r="H355">
        <v>-7.8197999999999999</v>
      </c>
      <c r="I355">
        <v>145</v>
      </c>
      <c r="J355" t="s">
        <v>21</v>
      </c>
      <c r="K355">
        <v>23.3</v>
      </c>
      <c r="L355">
        <v>70.3</v>
      </c>
      <c r="M355" t="s">
        <v>18</v>
      </c>
      <c r="N355">
        <v>44</v>
      </c>
      <c r="O355">
        <v>421</v>
      </c>
      <c r="P355">
        <v>2</v>
      </c>
      <c r="Q355" t="s">
        <v>19</v>
      </c>
      <c r="R355">
        <v>93.9</v>
      </c>
      <c r="S355">
        <v>286</v>
      </c>
      <c r="T355">
        <v>0</v>
      </c>
      <c r="U355" t="str" cm="1">
        <f t="array" ref="U355">_xlfn.IFS(smart_dataset[[#This Row],[Waiting_Time]]&lt;=20,"Low",smart_dataset[[#This Row],[Waiting_Time]]&lt;=40,"Medium",TRUE,"High")</f>
        <v>High</v>
      </c>
      <c r="V355" t="str" cm="1">
        <f t="array" ref="V355">_xlfn.IFS(smart_dataset[[#This Row],[Temperature]]&lt;=20,"Cold",smart_dataset[[#This Row],[Temperature]]&lt;=28,"Normal",TRUE,"Hot")</f>
        <v>Normal</v>
      </c>
      <c r="W355" t="str" cm="1">
        <f t="array" ref="W355">_xlfn.IFS(smart_dataset[[#This Row],[Asset_Utilization]]&lt;=75,"Low",smart_dataset[[#This Row],[Asset_Utilization]]&lt;=90,"Medium",TRUE,"High")</f>
        <v>High</v>
      </c>
    </row>
    <row r="356" spans="1:23" hidden="1" x14ac:dyDescent="0.25">
      <c r="A356" s="1">
        <v>45309.717916666668</v>
      </c>
      <c r="B356" s="1">
        <f>INT(smart_dataset[[#This Row],[Timestamp]])</f>
        <v>45309</v>
      </c>
      <c r="C356" s="1">
        <f>MOD(smart_dataset[[#This Row],[Timestamp]],1)</f>
        <v>0.71791666666831588</v>
      </c>
      <c r="D356" s="1">
        <f>YEAR(smart_dataset[[#This Row],[Date]])</f>
        <v>2024</v>
      </c>
      <c r="E356" s="1">
        <f>MONTH(smart_dataset[[#This Row],[Timestamp]])</f>
        <v>1</v>
      </c>
      <c r="F356" t="s">
        <v>35</v>
      </c>
      <c r="G356">
        <v>35.805500000000002</v>
      </c>
      <c r="H356">
        <v>-41.153199999999998</v>
      </c>
      <c r="I356">
        <v>299</v>
      </c>
      <c r="J356" t="s">
        <v>26</v>
      </c>
      <c r="K356">
        <v>22.4</v>
      </c>
      <c r="L356">
        <v>64.2</v>
      </c>
      <c r="M356" t="s">
        <v>28</v>
      </c>
      <c r="N356">
        <v>54</v>
      </c>
      <c r="O356">
        <v>303</v>
      </c>
      <c r="P356">
        <v>1</v>
      </c>
      <c r="Q356" t="s">
        <v>27</v>
      </c>
      <c r="R356">
        <v>88.1</v>
      </c>
      <c r="S356">
        <v>125</v>
      </c>
      <c r="T356">
        <v>0</v>
      </c>
      <c r="U356" t="str" cm="1">
        <f t="array" ref="U356">_xlfn.IFS(smart_dataset[[#This Row],[Waiting_Time]]&lt;=20,"Low",smart_dataset[[#This Row],[Waiting_Time]]&lt;=40,"Medium",TRUE,"High")</f>
        <v>High</v>
      </c>
      <c r="V356" t="str" cm="1">
        <f t="array" ref="V356">_xlfn.IFS(smart_dataset[[#This Row],[Temperature]]&lt;=20,"Cold",smart_dataset[[#This Row],[Temperature]]&lt;=28,"Normal",TRUE,"Hot")</f>
        <v>Normal</v>
      </c>
      <c r="W356" t="str" cm="1">
        <f t="array" ref="W356">_xlfn.IFS(smart_dataset[[#This Row],[Asset_Utilization]]&lt;=75,"Low",smart_dataset[[#This Row],[Asset_Utilization]]&lt;=90,"Medium",TRUE,"High")</f>
        <v>Medium</v>
      </c>
    </row>
    <row r="357" spans="1:23" hidden="1" x14ac:dyDescent="0.25">
      <c r="A357" s="1">
        <v>45422.251064814816</v>
      </c>
      <c r="B357" s="1">
        <f>INT(smart_dataset[[#This Row],[Timestamp]])</f>
        <v>45422</v>
      </c>
      <c r="C357" s="1">
        <f>MOD(smart_dataset[[#This Row],[Timestamp]],1)</f>
        <v>0.25106481481634546</v>
      </c>
      <c r="D357" s="1">
        <f>YEAR(smart_dataset[[#This Row],[Date]])</f>
        <v>2024</v>
      </c>
      <c r="E357" s="1">
        <f>MONTH(smart_dataset[[#This Row],[Timestamp]])</f>
        <v>5</v>
      </c>
      <c r="F357" t="s">
        <v>34</v>
      </c>
      <c r="G357">
        <v>6.7866999999999997</v>
      </c>
      <c r="H357">
        <v>-133.6343</v>
      </c>
      <c r="I357">
        <v>356</v>
      </c>
      <c r="J357" t="s">
        <v>26</v>
      </c>
      <c r="K357">
        <v>18.899999999999999</v>
      </c>
      <c r="L357">
        <v>71.7</v>
      </c>
      <c r="M357" t="s">
        <v>28</v>
      </c>
      <c r="N357">
        <v>25</v>
      </c>
      <c r="O357">
        <v>368</v>
      </c>
      <c r="P357">
        <v>1</v>
      </c>
      <c r="Q357" t="s">
        <v>27</v>
      </c>
      <c r="R357">
        <v>66.099999999999994</v>
      </c>
      <c r="S357">
        <v>228</v>
      </c>
      <c r="T357">
        <v>0</v>
      </c>
      <c r="U357" t="str" cm="1">
        <f t="array" ref="U357">_xlfn.IFS(smart_dataset[[#This Row],[Waiting_Time]]&lt;=20,"Low",smart_dataset[[#This Row],[Waiting_Time]]&lt;=40,"Medium",TRUE,"High")</f>
        <v>Medium</v>
      </c>
      <c r="V357" t="str" cm="1">
        <f t="array" ref="V357">_xlfn.IFS(smart_dataset[[#This Row],[Temperature]]&lt;=20,"Cold",smart_dataset[[#This Row],[Temperature]]&lt;=28,"Normal",TRUE,"Hot")</f>
        <v>Cold</v>
      </c>
      <c r="W357" t="str" cm="1">
        <f t="array" ref="W357">_xlfn.IFS(smart_dataset[[#This Row],[Asset_Utilization]]&lt;=75,"Low",smart_dataset[[#This Row],[Asset_Utilization]]&lt;=90,"Medium",TRUE,"High")</f>
        <v>Low</v>
      </c>
    </row>
    <row r="358" spans="1:23" hidden="1" x14ac:dyDescent="0.25">
      <c r="A358" s="1">
        <v>45591.249930555554</v>
      </c>
      <c r="B358" s="1">
        <f>INT(smart_dataset[[#This Row],[Timestamp]])</f>
        <v>45591</v>
      </c>
      <c r="C358" s="1">
        <f>MOD(smart_dataset[[#This Row],[Timestamp]],1)</f>
        <v>0.249930555553874</v>
      </c>
      <c r="D358" s="1">
        <f>YEAR(smart_dataset[[#This Row],[Date]])</f>
        <v>2024</v>
      </c>
      <c r="E358" s="1">
        <f>MONTH(smart_dataset[[#This Row],[Timestamp]])</f>
        <v>10</v>
      </c>
      <c r="F358" t="s">
        <v>33</v>
      </c>
      <c r="G358">
        <v>6.1840000000000002</v>
      </c>
      <c r="H358">
        <v>36.189799999999998</v>
      </c>
      <c r="I358">
        <v>137</v>
      </c>
      <c r="J358" t="s">
        <v>26</v>
      </c>
      <c r="K358">
        <v>22.8</v>
      </c>
      <c r="L358">
        <v>50.6</v>
      </c>
      <c r="M358" t="s">
        <v>18</v>
      </c>
      <c r="N358">
        <v>24</v>
      </c>
      <c r="O358">
        <v>465</v>
      </c>
      <c r="P358">
        <v>6</v>
      </c>
      <c r="Q358" t="s">
        <v>23</v>
      </c>
      <c r="R358">
        <v>61.3</v>
      </c>
      <c r="S358">
        <v>226</v>
      </c>
      <c r="T358">
        <v>0</v>
      </c>
      <c r="U358" t="str" cm="1">
        <f t="array" ref="U358">_xlfn.IFS(smart_dataset[[#This Row],[Waiting_Time]]&lt;=20,"Low",smart_dataset[[#This Row],[Waiting_Time]]&lt;=40,"Medium",TRUE,"High")</f>
        <v>Medium</v>
      </c>
      <c r="V358" t="str" cm="1">
        <f t="array" ref="V358">_xlfn.IFS(smart_dataset[[#This Row],[Temperature]]&lt;=20,"Cold",smart_dataset[[#This Row],[Temperature]]&lt;=28,"Normal",TRUE,"Hot")</f>
        <v>Normal</v>
      </c>
      <c r="W358" t="str" cm="1">
        <f t="array" ref="W358">_xlfn.IFS(smart_dataset[[#This Row],[Asset_Utilization]]&lt;=75,"Low",smart_dataset[[#This Row],[Asset_Utilization]]&lt;=90,"Medium",TRUE,"High")</f>
        <v>Low</v>
      </c>
    </row>
    <row r="359" spans="1:23" hidden="1" x14ac:dyDescent="0.25">
      <c r="A359" s="1">
        <v>45403.676307870373</v>
      </c>
      <c r="B359" s="1">
        <f>INT(smart_dataset[[#This Row],[Timestamp]])</f>
        <v>45403</v>
      </c>
      <c r="C359" s="1">
        <f>MOD(smart_dataset[[#This Row],[Timestamp]],1)</f>
        <v>0.67630787037342088</v>
      </c>
      <c r="D359" s="1">
        <f>YEAR(smart_dataset[[#This Row],[Date]])</f>
        <v>2024</v>
      </c>
      <c r="E359" s="1">
        <f>MONTH(smart_dataset[[#This Row],[Timestamp]])</f>
        <v>4</v>
      </c>
      <c r="F359" t="s">
        <v>32</v>
      </c>
      <c r="G359">
        <v>-75.060500000000005</v>
      </c>
      <c r="H359">
        <v>-52.525599999999997</v>
      </c>
      <c r="I359">
        <v>231</v>
      </c>
      <c r="J359" t="s">
        <v>26</v>
      </c>
      <c r="K359">
        <v>24.3</v>
      </c>
      <c r="L359">
        <v>57.8</v>
      </c>
      <c r="M359" t="s">
        <v>28</v>
      </c>
      <c r="N359">
        <v>56</v>
      </c>
      <c r="O359">
        <v>368</v>
      </c>
      <c r="P359">
        <v>7</v>
      </c>
      <c r="Q359" t="s">
        <v>23</v>
      </c>
      <c r="R359">
        <v>87.2</v>
      </c>
      <c r="S359">
        <v>203</v>
      </c>
      <c r="T359">
        <v>0</v>
      </c>
      <c r="U359" t="str" cm="1">
        <f t="array" ref="U359">_xlfn.IFS(smart_dataset[[#This Row],[Waiting_Time]]&lt;=20,"Low",smart_dataset[[#This Row],[Waiting_Time]]&lt;=40,"Medium",TRUE,"High")</f>
        <v>High</v>
      </c>
      <c r="V359" t="str" cm="1">
        <f t="array" ref="V359">_xlfn.IFS(smart_dataset[[#This Row],[Temperature]]&lt;=20,"Cold",smart_dataset[[#This Row],[Temperature]]&lt;=28,"Normal",TRUE,"Hot")</f>
        <v>Normal</v>
      </c>
      <c r="W359" t="str" cm="1">
        <f t="array" ref="W359">_xlfn.IFS(smart_dataset[[#This Row],[Asset_Utilization]]&lt;=75,"Low",smart_dataset[[#This Row],[Asset_Utilization]]&lt;=90,"Medium",TRUE,"High")</f>
        <v>Medium</v>
      </c>
    </row>
    <row r="360" spans="1:23" hidden="1" x14ac:dyDescent="0.25">
      <c r="A360" s="1">
        <v>45549.07739583333</v>
      </c>
      <c r="B360" s="1">
        <f>INT(smart_dataset[[#This Row],[Timestamp]])</f>
        <v>45549</v>
      </c>
      <c r="C360" s="1">
        <f>MOD(smart_dataset[[#This Row],[Timestamp]],1)</f>
        <v>7.7395833330228925E-2</v>
      </c>
      <c r="D360" s="1">
        <f>YEAR(smart_dataset[[#This Row],[Date]])</f>
        <v>2024</v>
      </c>
      <c r="E360" s="1">
        <f>MONTH(smart_dataset[[#This Row],[Timestamp]])</f>
        <v>9</v>
      </c>
      <c r="F360" t="s">
        <v>30</v>
      </c>
      <c r="G360">
        <v>-77.891000000000005</v>
      </c>
      <c r="H360">
        <v>-96.7804</v>
      </c>
      <c r="I360">
        <v>336</v>
      </c>
      <c r="J360" t="s">
        <v>26</v>
      </c>
      <c r="K360">
        <v>19.7</v>
      </c>
      <c r="L360">
        <v>66.7</v>
      </c>
      <c r="M360" t="s">
        <v>28</v>
      </c>
      <c r="N360">
        <v>54</v>
      </c>
      <c r="O360">
        <v>163</v>
      </c>
      <c r="P360">
        <v>7</v>
      </c>
      <c r="Q360" t="s">
        <v>31</v>
      </c>
      <c r="R360">
        <v>71.400000000000006</v>
      </c>
      <c r="S360">
        <v>122</v>
      </c>
      <c r="T360">
        <v>0</v>
      </c>
      <c r="U360" t="str" cm="1">
        <f t="array" ref="U360">_xlfn.IFS(smart_dataset[[#This Row],[Waiting_Time]]&lt;=20,"Low",smart_dataset[[#This Row],[Waiting_Time]]&lt;=40,"Medium",TRUE,"High")</f>
        <v>High</v>
      </c>
      <c r="V360" t="str" cm="1">
        <f t="array" ref="V360">_xlfn.IFS(smart_dataset[[#This Row],[Temperature]]&lt;=20,"Cold",smart_dataset[[#This Row],[Temperature]]&lt;=28,"Normal",TRUE,"Hot")</f>
        <v>Cold</v>
      </c>
      <c r="W360" t="str" cm="1">
        <f t="array" ref="W360">_xlfn.IFS(smart_dataset[[#This Row],[Asset_Utilization]]&lt;=75,"Low",smart_dataset[[#This Row],[Asset_Utilization]]&lt;=90,"Medium",TRUE,"High")</f>
        <v>Low</v>
      </c>
    </row>
    <row r="361" spans="1:23" hidden="1" x14ac:dyDescent="0.25">
      <c r="A361" s="1">
        <v>45424.743761574071</v>
      </c>
      <c r="B361" s="1">
        <f>INT(smart_dataset[[#This Row],[Timestamp]])</f>
        <v>45424</v>
      </c>
      <c r="C361" s="1">
        <f>MOD(smart_dataset[[#This Row],[Timestamp]],1)</f>
        <v>0.74376157407095889</v>
      </c>
      <c r="D361" s="1">
        <f>YEAR(smart_dataset[[#This Row],[Date]])</f>
        <v>2024</v>
      </c>
      <c r="E361" s="1">
        <f>MONTH(smart_dataset[[#This Row],[Timestamp]])</f>
        <v>5</v>
      </c>
      <c r="F361" t="s">
        <v>25</v>
      </c>
      <c r="G361">
        <v>-47.154000000000003</v>
      </c>
      <c r="H361">
        <v>6.9020999999999999</v>
      </c>
      <c r="I361">
        <v>290</v>
      </c>
      <c r="J361" t="s">
        <v>21</v>
      </c>
      <c r="K361">
        <v>27.6</v>
      </c>
      <c r="L361">
        <v>71.8</v>
      </c>
      <c r="M361" t="s">
        <v>22</v>
      </c>
      <c r="N361">
        <v>50</v>
      </c>
      <c r="O361">
        <v>460</v>
      </c>
      <c r="P361">
        <v>7</v>
      </c>
      <c r="Q361" t="s">
        <v>31</v>
      </c>
      <c r="R361">
        <v>95.9</v>
      </c>
      <c r="S361">
        <v>118</v>
      </c>
      <c r="T361">
        <v>1</v>
      </c>
      <c r="U361" t="str" cm="1">
        <f t="array" ref="U361">_xlfn.IFS(smart_dataset[[#This Row],[Waiting_Time]]&lt;=20,"Low",smart_dataset[[#This Row],[Waiting_Time]]&lt;=40,"Medium",TRUE,"High")</f>
        <v>High</v>
      </c>
      <c r="V361" t="str" cm="1">
        <f t="array" ref="V361">_xlfn.IFS(smart_dataset[[#This Row],[Temperature]]&lt;=20,"Cold",smart_dataset[[#This Row],[Temperature]]&lt;=28,"Normal",TRUE,"Hot")</f>
        <v>Normal</v>
      </c>
      <c r="W361" t="str" cm="1">
        <f t="array" ref="W361">_xlfn.IFS(smart_dataset[[#This Row],[Asset_Utilization]]&lt;=75,"Low",smart_dataset[[#This Row],[Asset_Utilization]]&lt;=90,"Medium",TRUE,"High")</f>
        <v>High</v>
      </c>
    </row>
    <row r="362" spans="1:23" hidden="1" x14ac:dyDescent="0.25">
      <c r="A362" s="1">
        <v>45538.379837962966</v>
      </c>
      <c r="B362" s="1">
        <f>INT(smart_dataset[[#This Row],[Timestamp]])</f>
        <v>45538</v>
      </c>
      <c r="C362" s="1">
        <f>MOD(smart_dataset[[#This Row],[Timestamp]],1)</f>
        <v>0.37983796296612127</v>
      </c>
      <c r="D362" s="1">
        <f>YEAR(smart_dataset[[#This Row],[Date]])</f>
        <v>2024</v>
      </c>
      <c r="E362" s="1">
        <f>MONTH(smart_dataset[[#This Row],[Timestamp]])</f>
        <v>9</v>
      </c>
      <c r="F362" t="s">
        <v>35</v>
      </c>
      <c r="G362">
        <v>76.171499999999995</v>
      </c>
      <c r="H362">
        <v>-7.1000000000000004E-3</v>
      </c>
      <c r="I362">
        <v>427</v>
      </c>
      <c r="J362" t="s">
        <v>17</v>
      </c>
      <c r="K362">
        <v>23.2</v>
      </c>
      <c r="L362">
        <v>70.099999999999994</v>
      </c>
      <c r="M362" t="s">
        <v>22</v>
      </c>
      <c r="N362">
        <v>17</v>
      </c>
      <c r="O362">
        <v>320</v>
      </c>
      <c r="P362">
        <v>4</v>
      </c>
      <c r="Q362" t="s">
        <v>23</v>
      </c>
      <c r="R362">
        <v>73</v>
      </c>
      <c r="S362">
        <v>162</v>
      </c>
      <c r="T362">
        <v>1</v>
      </c>
      <c r="U362" t="str" cm="1">
        <f t="array" ref="U362">_xlfn.IFS(smart_dataset[[#This Row],[Waiting_Time]]&lt;=20,"Low",smart_dataset[[#This Row],[Waiting_Time]]&lt;=40,"Medium",TRUE,"High")</f>
        <v>Low</v>
      </c>
      <c r="V362" t="str" cm="1">
        <f t="array" ref="V362">_xlfn.IFS(smart_dataset[[#This Row],[Temperature]]&lt;=20,"Cold",smart_dataset[[#This Row],[Temperature]]&lt;=28,"Normal",TRUE,"Hot")</f>
        <v>Normal</v>
      </c>
      <c r="W362" t="str" cm="1">
        <f t="array" ref="W362">_xlfn.IFS(smart_dataset[[#This Row],[Asset_Utilization]]&lt;=75,"Low",smart_dataset[[#This Row],[Asset_Utilization]]&lt;=90,"Medium",TRUE,"High")</f>
        <v>Low</v>
      </c>
    </row>
    <row r="363" spans="1:23" hidden="1" x14ac:dyDescent="0.25">
      <c r="A363" s="1">
        <v>45418.386550925927</v>
      </c>
      <c r="B363" s="1">
        <f>INT(smart_dataset[[#This Row],[Timestamp]])</f>
        <v>45418</v>
      </c>
      <c r="C363" s="1">
        <f>MOD(smart_dataset[[#This Row],[Timestamp]],1)</f>
        <v>0.38655092592671281</v>
      </c>
      <c r="D363" s="1">
        <f>YEAR(smart_dataset[[#This Row],[Date]])</f>
        <v>2024</v>
      </c>
      <c r="E363" s="1">
        <f>MONTH(smart_dataset[[#This Row],[Timestamp]])</f>
        <v>5</v>
      </c>
      <c r="F363" t="s">
        <v>25</v>
      </c>
      <c r="G363">
        <v>-85.828299999999999</v>
      </c>
      <c r="H363">
        <v>163.45750000000001</v>
      </c>
      <c r="I363">
        <v>439</v>
      </c>
      <c r="J363" t="s">
        <v>26</v>
      </c>
      <c r="K363">
        <v>26.4</v>
      </c>
      <c r="L363">
        <v>71.3</v>
      </c>
      <c r="M363" t="s">
        <v>28</v>
      </c>
      <c r="N363">
        <v>41</v>
      </c>
      <c r="O363">
        <v>491</v>
      </c>
      <c r="P363">
        <v>7</v>
      </c>
      <c r="Q363" t="s">
        <v>27</v>
      </c>
      <c r="R363">
        <v>67.400000000000006</v>
      </c>
      <c r="S363">
        <v>273</v>
      </c>
      <c r="T363">
        <v>0</v>
      </c>
      <c r="U363" t="str" cm="1">
        <f t="array" ref="U363">_xlfn.IFS(smart_dataset[[#This Row],[Waiting_Time]]&lt;=20,"Low",smart_dataset[[#This Row],[Waiting_Time]]&lt;=40,"Medium",TRUE,"High")</f>
        <v>High</v>
      </c>
      <c r="V363" t="str" cm="1">
        <f t="array" ref="V363">_xlfn.IFS(smart_dataset[[#This Row],[Temperature]]&lt;=20,"Cold",smart_dataset[[#This Row],[Temperature]]&lt;=28,"Normal",TRUE,"Hot")</f>
        <v>Normal</v>
      </c>
      <c r="W363" t="str" cm="1">
        <f t="array" ref="W363">_xlfn.IFS(smart_dataset[[#This Row],[Asset_Utilization]]&lt;=75,"Low",smart_dataset[[#This Row],[Asset_Utilization]]&lt;=90,"Medium",TRUE,"High")</f>
        <v>Low</v>
      </c>
    </row>
    <row r="364" spans="1:23" hidden="1" x14ac:dyDescent="0.25">
      <c r="A364" s="1">
        <v>45300.369953703703</v>
      </c>
      <c r="B364" s="1">
        <f>INT(smart_dataset[[#This Row],[Timestamp]])</f>
        <v>45300</v>
      </c>
      <c r="C364" s="1">
        <f>MOD(smart_dataset[[#This Row],[Timestamp]],1)</f>
        <v>0.36995370370277669</v>
      </c>
      <c r="D364" s="1">
        <f>YEAR(smart_dataset[[#This Row],[Date]])</f>
        <v>2024</v>
      </c>
      <c r="E364" s="1">
        <f>MONTH(smart_dataset[[#This Row],[Timestamp]])</f>
        <v>1</v>
      </c>
      <c r="F364" t="s">
        <v>16</v>
      </c>
      <c r="G364">
        <v>6.0090000000000003</v>
      </c>
      <c r="H364">
        <v>-33.838000000000001</v>
      </c>
      <c r="I364">
        <v>461</v>
      </c>
      <c r="J364" t="s">
        <v>26</v>
      </c>
      <c r="K364">
        <v>18.600000000000001</v>
      </c>
      <c r="L364">
        <v>74.599999999999994</v>
      </c>
      <c r="M364" t="s">
        <v>22</v>
      </c>
      <c r="N364">
        <v>23</v>
      </c>
      <c r="O364">
        <v>185</v>
      </c>
      <c r="P364">
        <v>4</v>
      </c>
      <c r="Q364" t="s">
        <v>27</v>
      </c>
      <c r="R364">
        <v>77.8</v>
      </c>
      <c r="S364">
        <v>215</v>
      </c>
      <c r="T364">
        <v>1</v>
      </c>
      <c r="U364" t="str" cm="1">
        <f t="array" ref="U364">_xlfn.IFS(smart_dataset[[#This Row],[Waiting_Time]]&lt;=20,"Low",smart_dataset[[#This Row],[Waiting_Time]]&lt;=40,"Medium",TRUE,"High")</f>
        <v>Medium</v>
      </c>
      <c r="V364" t="str" cm="1">
        <f t="array" ref="V364">_xlfn.IFS(smart_dataset[[#This Row],[Temperature]]&lt;=20,"Cold",smart_dataset[[#This Row],[Temperature]]&lt;=28,"Normal",TRUE,"Hot")</f>
        <v>Cold</v>
      </c>
      <c r="W364" t="str" cm="1">
        <f t="array" ref="W364">_xlfn.IFS(smart_dataset[[#This Row],[Asset_Utilization]]&lt;=75,"Low",smart_dataset[[#This Row],[Asset_Utilization]]&lt;=90,"Medium",TRUE,"High")</f>
        <v>Medium</v>
      </c>
    </row>
    <row r="365" spans="1:23" hidden="1" x14ac:dyDescent="0.25">
      <c r="A365" s="1">
        <v>45541.126851851855</v>
      </c>
      <c r="B365" s="1">
        <f>INT(smart_dataset[[#This Row],[Timestamp]])</f>
        <v>45541</v>
      </c>
      <c r="C365" s="1">
        <f>MOD(smart_dataset[[#This Row],[Timestamp]],1)</f>
        <v>0.12685185185546288</v>
      </c>
      <c r="D365" s="1">
        <f>YEAR(smart_dataset[[#This Row],[Date]])</f>
        <v>2024</v>
      </c>
      <c r="E365" s="1">
        <f>MONTH(smart_dataset[[#This Row],[Timestamp]])</f>
        <v>9</v>
      </c>
      <c r="F365" t="s">
        <v>25</v>
      </c>
      <c r="G365">
        <v>3.8184</v>
      </c>
      <c r="H365">
        <v>139.48759999999999</v>
      </c>
      <c r="I365">
        <v>414</v>
      </c>
      <c r="J365" t="s">
        <v>26</v>
      </c>
      <c r="K365">
        <v>29</v>
      </c>
      <c r="L365">
        <v>70.599999999999994</v>
      </c>
      <c r="M365" t="s">
        <v>22</v>
      </c>
      <c r="N365">
        <v>25</v>
      </c>
      <c r="O365">
        <v>291</v>
      </c>
      <c r="P365">
        <v>4</v>
      </c>
      <c r="Q365" t="s">
        <v>27</v>
      </c>
      <c r="R365">
        <v>92.9</v>
      </c>
      <c r="S365">
        <v>154</v>
      </c>
      <c r="T365">
        <v>1</v>
      </c>
      <c r="U365" t="str" cm="1">
        <f t="array" ref="U365">_xlfn.IFS(smart_dataset[[#This Row],[Waiting_Time]]&lt;=20,"Low",smart_dataset[[#This Row],[Waiting_Time]]&lt;=40,"Medium",TRUE,"High")</f>
        <v>Medium</v>
      </c>
      <c r="V365" t="str" cm="1">
        <f t="array" ref="V365">_xlfn.IFS(smart_dataset[[#This Row],[Temperature]]&lt;=20,"Cold",smart_dataset[[#This Row],[Temperature]]&lt;=28,"Normal",TRUE,"Hot")</f>
        <v>Hot</v>
      </c>
      <c r="W365" t="str" cm="1">
        <f t="array" ref="W365">_xlfn.IFS(smart_dataset[[#This Row],[Asset_Utilization]]&lt;=75,"Low",smart_dataset[[#This Row],[Asset_Utilization]]&lt;=90,"Medium",TRUE,"High")</f>
        <v>High</v>
      </c>
    </row>
    <row r="366" spans="1:23" x14ac:dyDescent="0.25">
      <c r="A366" s="1">
        <v>45509.697754629633</v>
      </c>
      <c r="B366" s="1">
        <f>INT(smart_dataset[[#This Row],[Timestamp]])</f>
        <v>45509</v>
      </c>
      <c r="C366" s="7">
        <f>MOD(smart_dataset[[#This Row],[Timestamp]],1)</f>
        <v>0.69775462963298196</v>
      </c>
      <c r="D366">
        <f>YEAR(smart_dataset[[#This Row],[Date]])</f>
        <v>2024</v>
      </c>
      <c r="E366">
        <f>MONTH(smart_dataset[[#This Row],[Timestamp]])</f>
        <v>8</v>
      </c>
      <c r="F366" t="s">
        <v>20</v>
      </c>
      <c r="G366">
        <v>66.341700000000003</v>
      </c>
      <c r="H366">
        <v>-154.12430000000001</v>
      </c>
      <c r="I366">
        <v>498</v>
      </c>
      <c r="J366" t="s">
        <v>17</v>
      </c>
      <c r="K366">
        <v>23.8</v>
      </c>
      <c r="L366">
        <v>55.9</v>
      </c>
      <c r="M366" t="s">
        <v>18</v>
      </c>
      <c r="N366">
        <v>16</v>
      </c>
      <c r="O366">
        <v>381</v>
      </c>
      <c r="P366">
        <v>7</v>
      </c>
      <c r="Q366" t="s">
        <v>19</v>
      </c>
      <c r="R366">
        <v>67.2</v>
      </c>
      <c r="S366">
        <v>131</v>
      </c>
      <c r="T366">
        <v>1</v>
      </c>
      <c r="U366" t="str" cm="1">
        <f t="array" ref="U366">_xlfn.IFS(smart_dataset[[#This Row],[Waiting_Time]]&lt;=20,"Low",smart_dataset[[#This Row],[Waiting_Time]]&lt;=40,"Medium",TRUE,"High")</f>
        <v>Low</v>
      </c>
      <c r="V366" t="str" cm="1">
        <f t="array" ref="V366">_xlfn.IFS(smart_dataset[[#This Row],[Temperature]]&lt;=20,"Cold",smart_dataset[[#This Row],[Temperature]]&lt;=28,"Normal",TRUE,"Hot")</f>
        <v>Normal</v>
      </c>
      <c r="W366" t="str" cm="1">
        <f t="array" ref="W366">_xlfn.IFS(smart_dataset[[#This Row],[Asset_Utilization]]&lt;=75,"Low",smart_dataset[[#This Row],[Asset_Utilization]]&lt;=90,"Medium",TRUE,"High")</f>
        <v>Low</v>
      </c>
    </row>
    <row r="367" spans="1:23" x14ac:dyDescent="0.25">
      <c r="A367" s="1">
        <v>45520.448599537034</v>
      </c>
      <c r="B367" s="1">
        <f>INT(smart_dataset[[#This Row],[Timestamp]])</f>
        <v>45520</v>
      </c>
      <c r="C367" s="7">
        <f>MOD(smart_dataset[[#This Row],[Timestamp]],1)</f>
        <v>0.44859953703416977</v>
      </c>
      <c r="D367">
        <f>YEAR(smart_dataset[[#This Row],[Date]])</f>
        <v>2024</v>
      </c>
      <c r="E367">
        <f>MONTH(smart_dataset[[#This Row],[Timestamp]])</f>
        <v>8</v>
      </c>
      <c r="F367" t="s">
        <v>29</v>
      </c>
      <c r="G367">
        <v>-61.862299999999998</v>
      </c>
      <c r="H367">
        <v>113.63039999999999</v>
      </c>
      <c r="I367">
        <v>334</v>
      </c>
      <c r="J367" t="s">
        <v>26</v>
      </c>
      <c r="K367">
        <v>22.5</v>
      </c>
      <c r="L367">
        <v>57.1</v>
      </c>
      <c r="M367" t="s">
        <v>28</v>
      </c>
      <c r="N367">
        <v>43</v>
      </c>
      <c r="O367">
        <v>381</v>
      </c>
      <c r="P367">
        <v>6</v>
      </c>
      <c r="Q367" t="s">
        <v>19</v>
      </c>
      <c r="R367">
        <v>73.8</v>
      </c>
      <c r="S367">
        <v>157</v>
      </c>
      <c r="T367">
        <v>0</v>
      </c>
      <c r="U367" t="str" cm="1">
        <f t="array" ref="U367">_xlfn.IFS(smart_dataset[[#This Row],[Waiting_Time]]&lt;=20,"Low",smart_dataset[[#This Row],[Waiting_Time]]&lt;=40,"Medium",TRUE,"High")</f>
        <v>High</v>
      </c>
      <c r="V367" t="str" cm="1">
        <f t="array" ref="V367">_xlfn.IFS(smart_dataset[[#This Row],[Temperature]]&lt;=20,"Cold",smart_dataset[[#This Row],[Temperature]]&lt;=28,"Normal",TRUE,"Hot")</f>
        <v>Normal</v>
      </c>
      <c r="W367" t="str" cm="1">
        <f t="array" ref="W367">_xlfn.IFS(smart_dataset[[#This Row],[Asset_Utilization]]&lt;=75,"Low",smart_dataset[[#This Row],[Asset_Utilization]]&lt;=90,"Medium",TRUE,"High")</f>
        <v>Low</v>
      </c>
    </row>
    <row r="368" spans="1:23" hidden="1" x14ac:dyDescent="0.25">
      <c r="A368" s="1">
        <v>45485.115937499999</v>
      </c>
      <c r="B368" s="1">
        <f>INT(smart_dataset[[#This Row],[Timestamp]])</f>
        <v>45485</v>
      </c>
      <c r="C368" s="1">
        <f>MOD(smart_dataset[[#This Row],[Timestamp]],1)</f>
        <v>0.11593749999883585</v>
      </c>
      <c r="D368" s="1">
        <f>YEAR(smart_dataset[[#This Row],[Date]])</f>
        <v>2024</v>
      </c>
      <c r="E368" s="1">
        <f>MONTH(smart_dataset[[#This Row],[Timestamp]])</f>
        <v>7</v>
      </c>
      <c r="F368" t="s">
        <v>30</v>
      </c>
      <c r="G368">
        <v>44.502000000000002</v>
      </c>
      <c r="H368">
        <v>66.581900000000005</v>
      </c>
      <c r="I368">
        <v>144</v>
      </c>
      <c r="J368" t="s">
        <v>17</v>
      </c>
      <c r="K368">
        <v>23</v>
      </c>
      <c r="L368">
        <v>70.3</v>
      </c>
      <c r="M368" t="s">
        <v>22</v>
      </c>
      <c r="N368">
        <v>54</v>
      </c>
      <c r="O368">
        <v>152</v>
      </c>
      <c r="P368">
        <v>1</v>
      </c>
      <c r="Q368" t="s">
        <v>31</v>
      </c>
      <c r="R368">
        <v>84.3</v>
      </c>
      <c r="S368">
        <v>242</v>
      </c>
      <c r="T368">
        <v>1</v>
      </c>
      <c r="U368" t="str" cm="1">
        <f t="array" ref="U368">_xlfn.IFS(smart_dataset[[#This Row],[Waiting_Time]]&lt;=20,"Low",smart_dataset[[#This Row],[Waiting_Time]]&lt;=40,"Medium",TRUE,"High")</f>
        <v>High</v>
      </c>
      <c r="V368" t="str" cm="1">
        <f t="array" ref="V368">_xlfn.IFS(smart_dataset[[#This Row],[Temperature]]&lt;=20,"Cold",smart_dataset[[#This Row],[Temperature]]&lt;=28,"Normal",TRUE,"Hot")</f>
        <v>Normal</v>
      </c>
      <c r="W368" t="str" cm="1">
        <f t="array" ref="W368">_xlfn.IFS(smart_dataset[[#This Row],[Asset_Utilization]]&lt;=75,"Low",smart_dataset[[#This Row],[Asset_Utilization]]&lt;=90,"Medium",TRUE,"High")</f>
        <v>Medium</v>
      </c>
    </row>
    <row r="369" spans="1:23" x14ac:dyDescent="0.25">
      <c r="A369" s="1">
        <v>45315.364166666666</v>
      </c>
      <c r="B369" s="1">
        <f>INT(smart_dataset[[#This Row],[Timestamp]])</f>
        <v>45315</v>
      </c>
      <c r="C369" s="7">
        <f>MOD(smart_dataset[[#This Row],[Timestamp]],1)</f>
        <v>0.36416666666627862</v>
      </c>
      <c r="D369">
        <f>YEAR(smart_dataset[[#This Row],[Date]])</f>
        <v>2024</v>
      </c>
      <c r="E369">
        <f>MONTH(smart_dataset[[#This Row],[Timestamp]])</f>
        <v>1</v>
      </c>
      <c r="F369" t="s">
        <v>33</v>
      </c>
      <c r="G369">
        <v>-12.288500000000001</v>
      </c>
      <c r="H369">
        <v>38.428699999999999</v>
      </c>
      <c r="I369">
        <v>231</v>
      </c>
      <c r="J369" t="s">
        <v>26</v>
      </c>
      <c r="K369">
        <v>28.2</v>
      </c>
      <c r="L369">
        <v>67.2</v>
      </c>
      <c r="M369" t="s">
        <v>28</v>
      </c>
      <c r="N369">
        <v>50</v>
      </c>
      <c r="O369">
        <v>221</v>
      </c>
      <c r="P369">
        <v>1</v>
      </c>
      <c r="Q369" t="s">
        <v>19</v>
      </c>
      <c r="R369">
        <v>84.8</v>
      </c>
      <c r="S369">
        <v>270</v>
      </c>
      <c r="T369">
        <v>0</v>
      </c>
      <c r="U369" t="str" cm="1">
        <f t="array" ref="U369">_xlfn.IFS(smart_dataset[[#This Row],[Waiting_Time]]&lt;=20,"Low",smart_dataset[[#This Row],[Waiting_Time]]&lt;=40,"Medium",TRUE,"High")</f>
        <v>High</v>
      </c>
      <c r="V369" t="str" cm="1">
        <f t="array" ref="V369">_xlfn.IFS(smart_dataset[[#This Row],[Temperature]]&lt;=20,"Cold",smart_dataset[[#This Row],[Temperature]]&lt;=28,"Normal",TRUE,"Hot")</f>
        <v>Hot</v>
      </c>
      <c r="W369" t="str" cm="1">
        <f t="array" ref="W369">_xlfn.IFS(smart_dataset[[#This Row],[Asset_Utilization]]&lt;=75,"Low",smart_dataset[[#This Row],[Asset_Utilization]]&lt;=90,"Medium",TRUE,"High")</f>
        <v>Medium</v>
      </c>
    </row>
    <row r="370" spans="1:23" hidden="1" x14ac:dyDescent="0.25">
      <c r="A370" s="1">
        <v>45304.907997685186</v>
      </c>
      <c r="B370" s="1">
        <f>INT(smart_dataset[[#This Row],[Timestamp]])</f>
        <v>45304</v>
      </c>
      <c r="C370" s="1">
        <f>MOD(smart_dataset[[#This Row],[Timestamp]],1)</f>
        <v>0.90799768518627388</v>
      </c>
      <c r="D370" s="1">
        <f>YEAR(smart_dataset[[#This Row],[Date]])</f>
        <v>2024</v>
      </c>
      <c r="E370" s="1">
        <f>MONTH(smart_dataset[[#This Row],[Timestamp]])</f>
        <v>1</v>
      </c>
      <c r="F370" t="s">
        <v>34</v>
      </c>
      <c r="G370">
        <v>-40.827500000000001</v>
      </c>
      <c r="H370">
        <v>-46.7423</v>
      </c>
      <c r="I370">
        <v>324</v>
      </c>
      <c r="J370" t="s">
        <v>17</v>
      </c>
      <c r="K370">
        <v>25.5</v>
      </c>
      <c r="L370">
        <v>65.2</v>
      </c>
      <c r="M370" t="s">
        <v>28</v>
      </c>
      <c r="N370">
        <v>51</v>
      </c>
      <c r="O370">
        <v>233</v>
      </c>
      <c r="P370">
        <v>9</v>
      </c>
      <c r="Q370" t="s">
        <v>27</v>
      </c>
      <c r="R370">
        <v>90.2</v>
      </c>
      <c r="S370">
        <v>145</v>
      </c>
      <c r="T370">
        <v>1</v>
      </c>
      <c r="U370" t="str" cm="1">
        <f t="array" ref="U370">_xlfn.IFS(smart_dataset[[#This Row],[Waiting_Time]]&lt;=20,"Low",smart_dataset[[#This Row],[Waiting_Time]]&lt;=40,"Medium",TRUE,"High")</f>
        <v>High</v>
      </c>
      <c r="V370" t="str" cm="1">
        <f t="array" ref="V370">_xlfn.IFS(smart_dataset[[#This Row],[Temperature]]&lt;=20,"Cold",smart_dataset[[#This Row],[Temperature]]&lt;=28,"Normal",TRUE,"Hot")</f>
        <v>Normal</v>
      </c>
      <c r="W370" t="str" cm="1">
        <f t="array" ref="W370">_xlfn.IFS(smart_dataset[[#This Row],[Asset_Utilization]]&lt;=75,"Low",smart_dataset[[#This Row],[Asset_Utilization]]&lt;=90,"Medium",TRUE,"High")</f>
        <v>High</v>
      </c>
    </row>
    <row r="371" spans="1:23" hidden="1" x14ac:dyDescent="0.25">
      <c r="A371" s="1">
        <v>45398.335787037038</v>
      </c>
      <c r="B371" s="1">
        <f>INT(smart_dataset[[#This Row],[Timestamp]])</f>
        <v>45398</v>
      </c>
      <c r="C371" s="1">
        <f>MOD(smart_dataset[[#This Row],[Timestamp]],1)</f>
        <v>0.33578703703824431</v>
      </c>
      <c r="D371" s="1">
        <f>YEAR(smart_dataset[[#This Row],[Date]])</f>
        <v>2024</v>
      </c>
      <c r="E371" s="1">
        <f>MONTH(smart_dataset[[#This Row],[Timestamp]])</f>
        <v>4</v>
      </c>
      <c r="F371" t="s">
        <v>20</v>
      </c>
      <c r="G371">
        <v>-76.575699999999998</v>
      </c>
      <c r="H371">
        <v>-52.268999999999998</v>
      </c>
      <c r="I371">
        <v>246</v>
      </c>
      <c r="J371" t="s">
        <v>26</v>
      </c>
      <c r="K371">
        <v>19.399999999999999</v>
      </c>
      <c r="L371">
        <v>56.3</v>
      </c>
      <c r="M371" t="s">
        <v>28</v>
      </c>
      <c r="N371">
        <v>16</v>
      </c>
      <c r="O371">
        <v>406</v>
      </c>
      <c r="P371">
        <v>9</v>
      </c>
      <c r="Q371" t="s">
        <v>23</v>
      </c>
      <c r="R371">
        <v>65.7</v>
      </c>
      <c r="S371">
        <v>140</v>
      </c>
      <c r="T371">
        <v>0</v>
      </c>
      <c r="U371" t="str" cm="1">
        <f t="array" ref="U371">_xlfn.IFS(smart_dataset[[#This Row],[Waiting_Time]]&lt;=20,"Low",smart_dataset[[#This Row],[Waiting_Time]]&lt;=40,"Medium",TRUE,"High")</f>
        <v>Low</v>
      </c>
      <c r="V371" t="str" cm="1">
        <f t="array" ref="V371">_xlfn.IFS(smart_dataset[[#This Row],[Temperature]]&lt;=20,"Cold",smart_dataset[[#This Row],[Temperature]]&lt;=28,"Normal",TRUE,"Hot")</f>
        <v>Cold</v>
      </c>
      <c r="W371" t="str" cm="1">
        <f t="array" ref="W371">_xlfn.IFS(smart_dataset[[#This Row],[Asset_Utilization]]&lt;=75,"Low",smart_dataset[[#This Row],[Asset_Utilization]]&lt;=90,"Medium",TRUE,"High")</f>
        <v>Low</v>
      </c>
    </row>
    <row r="372" spans="1:23" hidden="1" x14ac:dyDescent="0.25">
      <c r="A372" s="1">
        <v>45334.140324074076</v>
      </c>
      <c r="B372" s="1">
        <f>INT(smart_dataset[[#This Row],[Timestamp]])</f>
        <v>45334</v>
      </c>
      <c r="C372" s="1">
        <f>MOD(smart_dataset[[#This Row],[Timestamp]],1)</f>
        <v>0.14032407407648861</v>
      </c>
      <c r="D372" s="1">
        <f>YEAR(smart_dataset[[#This Row],[Date]])</f>
        <v>2024</v>
      </c>
      <c r="E372" s="1">
        <f>MONTH(smart_dataset[[#This Row],[Timestamp]])</f>
        <v>2</v>
      </c>
      <c r="F372" t="s">
        <v>30</v>
      </c>
      <c r="G372">
        <v>-79.278999999999996</v>
      </c>
      <c r="H372">
        <v>69.567999999999998</v>
      </c>
      <c r="I372">
        <v>283</v>
      </c>
      <c r="J372" t="s">
        <v>17</v>
      </c>
      <c r="K372">
        <v>27.7</v>
      </c>
      <c r="L372">
        <v>52.4</v>
      </c>
      <c r="M372" t="s">
        <v>22</v>
      </c>
      <c r="N372">
        <v>16</v>
      </c>
      <c r="O372">
        <v>280</v>
      </c>
      <c r="P372">
        <v>8</v>
      </c>
      <c r="Q372" t="s">
        <v>27</v>
      </c>
      <c r="R372">
        <v>96</v>
      </c>
      <c r="S372">
        <v>297</v>
      </c>
      <c r="T372">
        <v>1</v>
      </c>
      <c r="U372" t="str" cm="1">
        <f t="array" ref="U372">_xlfn.IFS(smart_dataset[[#This Row],[Waiting_Time]]&lt;=20,"Low",smart_dataset[[#This Row],[Waiting_Time]]&lt;=40,"Medium",TRUE,"High")</f>
        <v>Low</v>
      </c>
      <c r="V372" t="str" cm="1">
        <f t="array" ref="V372">_xlfn.IFS(smart_dataset[[#This Row],[Temperature]]&lt;=20,"Cold",smart_dataset[[#This Row],[Temperature]]&lt;=28,"Normal",TRUE,"Hot")</f>
        <v>Normal</v>
      </c>
      <c r="W372" t="str" cm="1">
        <f t="array" ref="W372">_xlfn.IFS(smart_dataset[[#This Row],[Asset_Utilization]]&lt;=75,"Low",smart_dataset[[#This Row],[Asset_Utilization]]&lt;=90,"Medium",TRUE,"High")</f>
        <v>High</v>
      </c>
    </row>
    <row r="373" spans="1:23" hidden="1" x14ac:dyDescent="0.25">
      <c r="A373" s="1">
        <v>45420.162812499999</v>
      </c>
      <c r="B373" s="1">
        <f>INT(smart_dataset[[#This Row],[Timestamp]])</f>
        <v>45420</v>
      </c>
      <c r="C373" s="1">
        <f>MOD(smart_dataset[[#This Row],[Timestamp]],1)</f>
        <v>0.16281249999883585</v>
      </c>
      <c r="D373" s="1">
        <f>YEAR(smart_dataset[[#This Row],[Date]])</f>
        <v>2024</v>
      </c>
      <c r="E373" s="1">
        <f>MONTH(smart_dataset[[#This Row],[Timestamp]])</f>
        <v>5</v>
      </c>
      <c r="F373" t="s">
        <v>24</v>
      </c>
      <c r="G373">
        <v>84.345100000000002</v>
      </c>
      <c r="H373">
        <v>-106.877</v>
      </c>
      <c r="I373">
        <v>453</v>
      </c>
      <c r="J373" t="s">
        <v>17</v>
      </c>
      <c r="K373">
        <v>21.8</v>
      </c>
      <c r="L373">
        <v>66.400000000000006</v>
      </c>
      <c r="M373" t="s">
        <v>28</v>
      </c>
      <c r="N373">
        <v>48</v>
      </c>
      <c r="O373">
        <v>305</v>
      </c>
      <c r="P373">
        <v>2</v>
      </c>
      <c r="Q373" t="s">
        <v>31</v>
      </c>
      <c r="R373">
        <v>68.900000000000006</v>
      </c>
      <c r="S373">
        <v>212</v>
      </c>
      <c r="T373">
        <v>1</v>
      </c>
      <c r="U373" t="str" cm="1">
        <f t="array" ref="U373">_xlfn.IFS(smart_dataset[[#This Row],[Waiting_Time]]&lt;=20,"Low",smart_dataset[[#This Row],[Waiting_Time]]&lt;=40,"Medium",TRUE,"High")</f>
        <v>High</v>
      </c>
      <c r="V373" t="str" cm="1">
        <f t="array" ref="V373">_xlfn.IFS(smart_dataset[[#This Row],[Temperature]]&lt;=20,"Cold",smart_dataset[[#This Row],[Temperature]]&lt;=28,"Normal",TRUE,"Hot")</f>
        <v>Normal</v>
      </c>
      <c r="W373" t="str" cm="1">
        <f t="array" ref="W373">_xlfn.IFS(smart_dataset[[#This Row],[Asset_Utilization]]&lt;=75,"Low",smart_dataset[[#This Row],[Asset_Utilization]]&lt;=90,"Medium",TRUE,"High")</f>
        <v>Low</v>
      </c>
    </row>
    <row r="374" spans="1:23" hidden="1" x14ac:dyDescent="0.25">
      <c r="A374" s="1">
        <v>45633.535370370373</v>
      </c>
      <c r="B374" s="1">
        <f>INT(smart_dataset[[#This Row],[Timestamp]])</f>
        <v>45633</v>
      </c>
      <c r="C374" s="1">
        <f>MOD(smart_dataset[[#This Row],[Timestamp]],1)</f>
        <v>0.53537037037312984</v>
      </c>
      <c r="D374" s="1">
        <f>YEAR(smart_dataset[[#This Row],[Date]])</f>
        <v>2024</v>
      </c>
      <c r="E374" s="1">
        <f>MONTH(smart_dataset[[#This Row],[Timestamp]])</f>
        <v>12</v>
      </c>
      <c r="F374" t="s">
        <v>24</v>
      </c>
      <c r="G374">
        <v>-19.072099999999999</v>
      </c>
      <c r="H374">
        <v>161.72460000000001</v>
      </c>
      <c r="I374">
        <v>392</v>
      </c>
      <c r="J374" t="s">
        <v>26</v>
      </c>
      <c r="K374">
        <v>30</v>
      </c>
      <c r="L374">
        <v>72.099999999999994</v>
      </c>
      <c r="M374" t="s">
        <v>18</v>
      </c>
      <c r="N374">
        <v>52</v>
      </c>
      <c r="O374">
        <v>329</v>
      </c>
      <c r="P374">
        <v>4</v>
      </c>
      <c r="Q374" t="s">
        <v>27</v>
      </c>
      <c r="R374">
        <v>66.599999999999994</v>
      </c>
      <c r="S374">
        <v>174</v>
      </c>
      <c r="T374">
        <v>0</v>
      </c>
      <c r="U374" t="str" cm="1">
        <f t="array" ref="U374">_xlfn.IFS(smart_dataset[[#This Row],[Waiting_Time]]&lt;=20,"Low",smart_dataset[[#This Row],[Waiting_Time]]&lt;=40,"Medium",TRUE,"High")</f>
        <v>High</v>
      </c>
      <c r="V374" t="str" cm="1">
        <f t="array" ref="V374">_xlfn.IFS(smart_dataset[[#This Row],[Temperature]]&lt;=20,"Cold",smart_dataset[[#This Row],[Temperature]]&lt;=28,"Normal",TRUE,"Hot")</f>
        <v>Hot</v>
      </c>
      <c r="W374" t="str" cm="1">
        <f t="array" ref="W374">_xlfn.IFS(smart_dataset[[#This Row],[Asset_Utilization]]&lt;=75,"Low",smart_dataset[[#This Row],[Asset_Utilization]]&lt;=90,"Medium",TRUE,"High")</f>
        <v>Low</v>
      </c>
    </row>
    <row r="375" spans="1:23" hidden="1" x14ac:dyDescent="0.25">
      <c r="A375" s="1">
        <v>45622.025173611109</v>
      </c>
      <c r="B375" s="1">
        <f>INT(smart_dataset[[#This Row],[Timestamp]])</f>
        <v>45622</v>
      </c>
      <c r="C375" s="1">
        <f>MOD(smart_dataset[[#This Row],[Timestamp]],1)</f>
        <v>2.5173611109494232E-2</v>
      </c>
      <c r="D375" s="1">
        <f>YEAR(smart_dataset[[#This Row],[Date]])</f>
        <v>2024</v>
      </c>
      <c r="E375" s="1">
        <f>MONTH(smart_dataset[[#This Row],[Timestamp]])</f>
        <v>11</v>
      </c>
      <c r="F375" t="s">
        <v>20</v>
      </c>
      <c r="G375">
        <v>-69.031099999999995</v>
      </c>
      <c r="H375">
        <v>-32.957500000000003</v>
      </c>
      <c r="I375">
        <v>343</v>
      </c>
      <c r="J375" t="s">
        <v>21</v>
      </c>
      <c r="K375">
        <v>25.2</v>
      </c>
      <c r="L375">
        <v>72.599999999999994</v>
      </c>
      <c r="M375" t="s">
        <v>28</v>
      </c>
      <c r="N375">
        <v>21</v>
      </c>
      <c r="O375">
        <v>400</v>
      </c>
      <c r="P375">
        <v>9</v>
      </c>
      <c r="Q375" t="s">
        <v>23</v>
      </c>
      <c r="R375">
        <v>87.7</v>
      </c>
      <c r="S375">
        <v>300</v>
      </c>
      <c r="T375">
        <v>0</v>
      </c>
      <c r="U375" t="str" cm="1">
        <f t="array" ref="U375">_xlfn.IFS(smart_dataset[[#This Row],[Waiting_Time]]&lt;=20,"Low",smart_dataset[[#This Row],[Waiting_Time]]&lt;=40,"Medium",TRUE,"High")</f>
        <v>Medium</v>
      </c>
      <c r="V375" t="str" cm="1">
        <f t="array" ref="V375">_xlfn.IFS(smart_dataset[[#This Row],[Temperature]]&lt;=20,"Cold",smart_dataset[[#This Row],[Temperature]]&lt;=28,"Normal",TRUE,"Hot")</f>
        <v>Normal</v>
      </c>
      <c r="W375" t="str" cm="1">
        <f t="array" ref="W375">_xlfn.IFS(smart_dataset[[#This Row],[Asset_Utilization]]&lt;=75,"Low",smart_dataset[[#This Row],[Asset_Utilization]]&lt;=90,"Medium",TRUE,"High")</f>
        <v>Medium</v>
      </c>
    </row>
    <row r="376" spans="1:23" hidden="1" x14ac:dyDescent="0.25">
      <c r="A376" s="1">
        <v>45419.344027777777</v>
      </c>
      <c r="B376" s="1">
        <f>INT(smart_dataset[[#This Row],[Timestamp]])</f>
        <v>45419</v>
      </c>
      <c r="C376" s="1">
        <f>MOD(smart_dataset[[#This Row],[Timestamp]],1)</f>
        <v>0.34402777777722804</v>
      </c>
      <c r="D376" s="1">
        <f>YEAR(smart_dataset[[#This Row],[Date]])</f>
        <v>2024</v>
      </c>
      <c r="E376" s="1">
        <f>MONTH(smart_dataset[[#This Row],[Timestamp]])</f>
        <v>5</v>
      </c>
      <c r="F376" t="s">
        <v>29</v>
      </c>
      <c r="G376">
        <v>87.779300000000006</v>
      </c>
      <c r="H376">
        <v>-108.9268</v>
      </c>
      <c r="I376">
        <v>144</v>
      </c>
      <c r="J376" t="s">
        <v>17</v>
      </c>
      <c r="K376">
        <v>25.8</v>
      </c>
      <c r="L376">
        <v>65.599999999999994</v>
      </c>
      <c r="M376" t="s">
        <v>18</v>
      </c>
      <c r="N376">
        <v>23</v>
      </c>
      <c r="O376">
        <v>362</v>
      </c>
      <c r="P376">
        <v>10</v>
      </c>
      <c r="Q376" t="s">
        <v>27</v>
      </c>
      <c r="R376">
        <v>88.9</v>
      </c>
      <c r="S376">
        <v>199</v>
      </c>
      <c r="T376">
        <v>1</v>
      </c>
      <c r="U376" t="str" cm="1">
        <f t="array" ref="U376">_xlfn.IFS(smart_dataset[[#This Row],[Waiting_Time]]&lt;=20,"Low",smart_dataset[[#This Row],[Waiting_Time]]&lt;=40,"Medium",TRUE,"High")</f>
        <v>Medium</v>
      </c>
      <c r="V376" t="str" cm="1">
        <f t="array" ref="V376">_xlfn.IFS(smart_dataset[[#This Row],[Temperature]]&lt;=20,"Cold",smart_dataset[[#This Row],[Temperature]]&lt;=28,"Normal",TRUE,"Hot")</f>
        <v>Normal</v>
      </c>
      <c r="W376" t="str" cm="1">
        <f t="array" ref="W376">_xlfn.IFS(smart_dataset[[#This Row],[Asset_Utilization]]&lt;=75,"Low",smart_dataset[[#This Row],[Asset_Utilization]]&lt;=90,"Medium",TRUE,"High")</f>
        <v>Medium</v>
      </c>
    </row>
    <row r="377" spans="1:23" hidden="1" x14ac:dyDescent="0.25">
      <c r="A377" s="1">
        <v>45601.915648148148</v>
      </c>
      <c r="B377" s="1">
        <f>INT(smart_dataset[[#This Row],[Timestamp]])</f>
        <v>45601</v>
      </c>
      <c r="C377" s="1">
        <f>MOD(smart_dataset[[#This Row],[Timestamp]],1)</f>
        <v>0.91564814814773854</v>
      </c>
      <c r="D377" s="1">
        <f>YEAR(smart_dataset[[#This Row],[Date]])</f>
        <v>2024</v>
      </c>
      <c r="E377" s="1">
        <f>MONTH(smart_dataset[[#This Row],[Timestamp]])</f>
        <v>11</v>
      </c>
      <c r="F377" t="s">
        <v>25</v>
      </c>
      <c r="G377">
        <v>-48.363300000000002</v>
      </c>
      <c r="H377">
        <v>-36.293599999999998</v>
      </c>
      <c r="I377">
        <v>151</v>
      </c>
      <c r="J377" t="s">
        <v>17</v>
      </c>
      <c r="K377">
        <v>22.1</v>
      </c>
      <c r="L377">
        <v>59.7</v>
      </c>
      <c r="M377" t="s">
        <v>28</v>
      </c>
      <c r="N377">
        <v>58</v>
      </c>
      <c r="O377">
        <v>338</v>
      </c>
      <c r="P377">
        <v>1</v>
      </c>
      <c r="Q377" t="s">
        <v>27</v>
      </c>
      <c r="R377">
        <v>81.5</v>
      </c>
      <c r="S377">
        <v>248</v>
      </c>
      <c r="T377">
        <v>1</v>
      </c>
      <c r="U377" t="str" cm="1">
        <f t="array" ref="U377">_xlfn.IFS(smart_dataset[[#This Row],[Waiting_Time]]&lt;=20,"Low",smart_dataset[[#This Row],[Waiting_Time]]&lt;=40,"Medium",TRUE,"High")</f>
        <v>High</v>
      </c>
      <c r="V377" t="str" cm="1">
        <f t="array" ref="V377">_xlfn.IFS(smart_dataset[[#This Row],[Temperature]]&lt;=20,"Cold",smart_dataset[[#This Row],[Temperature]]&lt;=28,"Normal",TRUE,"Hot")</f>
        <v>Normal</v>
      </c>
      <c r="W377" t="str" cm="1">
        <f t="array" ref="W377">_xlfn.IFS(smart_dataset[[#This Row],[Asset_Utilization]]&lt;=75,"Low",smart_dataset[[#This Row],[Asset_Utilization]]&lt;=90,"Medium",TRUE,"High")</f>
        <v>Medium</v>
      </c>
    </row>
    <row r="378" spans="1:23" hidden="1" x14ac:dyDescent="0.25">
      <c r="A378" s="1">
        <v>45350.492222222223</v>
      </c>
      <c r="B378" s="1">
        <f>INT(smart_dataset[[#This Row],[Timestamp]])</f>
        <v>45350</v>
      </c>
      <c r="C378" s="1">
        <f>MOD(smart_dataset[[#This Row],[Timestamp]],1)</f>
        <v>0.492222222223063</v>
      </c>
      <c r="D378" s="1">
        <f>YEAR(smart_dataset[[#This Row],[Date]])</f>
        <v>2024</v>
      </c>
      <c r="E378" s="1">
        <f>MONTH(smart_dataset[[#This Row],[Timestamp]])</f>
        <v>2</v>
      </c>
      <c r="F378" t="s">
        <v>16</v>
      </c>
      <c r="G378">
        <v>-36.410400000000003</v>
      </c>
      <c r="H378">
        <v>-4.335</v>
      </c>
      <c r="I378">
        <v>389</v>
      </c>
      <c r="J378" t="s">
        <v>21</v>
      </c>
      <c r="K378">
        <v>27.2</v>
      </c>
      <c r="L378">
        <v>59.8</v>
      </c>
      <c r="M378" t="s">
        <v>22</v>
      </c>
      <c r="N378">
        <v>20</v>
      </c>
      <c r="O378">
        <v>129</v>
      </c>
      <c r="P378">
        <v>8</v>
      </c>
      <c r="Q378" t="s">
        <v>27</v>
      </c>
      <c r="R378">
        <v>80.8</v>
      </c>
      <c r="S378">
        <v>164</v>
      </c>
      <c r="T378">
        <v>1</v>
      </c>
      <c r="U378" t="str" cm="1">
        <f t="array" ref="U378">_xlfn.IFS(smart_dataset[[#This Row],[Waiting_Time]]&lt;=20,"Low",smart_dataset[[#This Row],[Waiting_Time]]&lt;=40,"Medium",TRUE,"High")</f>
        <v>Low</v>
      </c>
      <c r="V378" t="str" cm="1">
        <f t="array" ref="V378">_xlfn.IFS(smart_dataset[[#This Row],[Temperature]]&lt;=20,"Cold",smart_dataset[[#This Row],[Temperature]]&lt;=28,"Normal",TRUE,"Hot")</f>
        <v>Normal</v>
      </c>
      <c r="W378" t="str" cm="1">
        <f t="array" ref="W378">_xlfn.IFS(smart_dataset[[#This Row],[Asset_Utilization]]&lt;=75,"Low",smart_dataset[[#This Row],[Asset_Utilization]]&lt;=90,"Medium",TRUE,"High")</f>
        <v>Medium</v>
      </c>
    </row>
    <row r="379" spans="1:23" hidden="1" x14ac:dyDescent="0.25">
      <c r="A379" s="1">
        <v>45398.961273148147</v>
      </c>
      <c r="B379" s="1">
        <f>INT(smart_dataset[[#This Row],[Timestamp]])</f>
        <v>45398</v>
      </c>
      <c r="C379" s="1">
        <f>MOD(smart_dataset[[#This Row],[Timestamp]],1)</f>
        <v>0.96127314814657439</v>
      </c>
      <c r="D379" s="1">
        <f>YEAR(smart_dataset[[#This Row],[Date]])</f>
        <v>2024</v>
      </c>
      <c r="E379" s="1">
        <f>MONTH(smart_dataset[[#This Row],[Timestamp]])</f>
        <v>4</v>
      </c>
      <c r="F379" t="s">
        <v>30</v>
      </c>
      <c r="G379">
        <v>-39.225000000000001</v>
      </c>
      <c r="H379">
        <v>-156.4228</v>
      </c>
      <c r="I379">
        <v>355</v>
      </c>
      <c r="J379" t="s">
        <v>17</v>
      </c>
      <c r="K379">
        <v>19.2</v>
      </c>
      <c r="L379">
        <v>62.2</v>
      </c>
      <c r="M379" t="s">
        <v>28</v>
      </c>
      <c r="N379">
        <v>10</v>
      </c>
      <c r="O379">
        <v>137</v>
      </c>
      <c r="P379">
        <v>2</v>
      </c>
      <c r="Q379" t="s">
        <v>27</v>
      </c>
      <c r="R379">
        <v>67</v>
      </c>
      <c r="S379">
        <v>269</v>
      </c>
      <c r="T379">
        <v>1</v>
      </c>
      <c r="U379" t="str" cm="1">
        <f t="array" ref="U379">_xlfn.IFS(smart_dataset[[#This Row],[Waiting_Time]]&lt;=20,"Low",smart_dataset[[#This Row],[Waiting_Time]]&lt;=40,"Medium",TRUE,"High")</f>
        <v>Low</v>
      </c>
      <c r="V379" t="str" cm="1">
        <f t="array" ref="V379">_xlfn.IFS(smart_dataset[[#This Row],[Temperature]]&lt;=20,"Cold",smart_dataset[[#This Row],[Temperature]]&lt;=28,"Normal",TRUE,"Hot")</f>
        <v>Cold</v>
      </c>
      <c r="W379" t="str" cm="1">
        <f t="array" ref="W379">_xlfn.IFS(smart_dataset[[#This Row],[Asset_Utilization]]&lt;=75,"Low",smart_dataset[[#This Row],[Asset_Utilization]]&lt;=90,"Medium",TRUE,"High")</f>
        <v>Low</v>
      </c>
    </row>
    <row r="380" spans="1:23" hidden="1" x14ac:dyDescent="0.25">
      <c r="A380" s="1">
        <v>45624.025393518517</v>
      </c>
      <c r="B380" s="1">
        <f>INT(smart_dataset[[#This Row],[Timestamp]])</f>
        <v>45624</v>
      </c>
      <c r="C380" s="1">
        <f>MOD(smart_dataset[[#This Row],[Timestamp]],1)</f>
        <v>2.5393518517375924E-2</v>
      </c>
      <c r="D380" s="1">
        <f>YEAR(smart_dataset[[#This Row],[Date]])</f>
        <v>2024</v>
      </c>
      <c r="E380" s="1">
        <f>MONTH(smart_dataset[[#This Row],[Timestamp]])</f>
        <v>11</v>
      </c>
      <c r="F380" t="s">
        <v>24</v>
      </c>
      <c r="G380">
        <v>84.040700000000001</v>
      </c>
      <c r="H380">
        <v>-74.709800000000001</v>
      </c>
      <c r="I380">
        <v>493</v>
      </c>
      <c r="J380" t="s">
        <v>17</v>
      </c>
      <c r="K380">
        <v>20.7</v>
      </c>
      <c r="L380">
        <v>70.900000000000006</v>
      </c>
      <c r="M380" t="s">
        <v>28</v>
      </c>
      <c r="N380">
        <v>52</v>
      </c>
      <c r="O380">
        <v>478</v>
      </c>
      <c r="P380">
        <v>1</v>
      </c>
      <c r="Q380" t="s">
        <v>27</v>
      </c>
      <c r="R380">
        <v>62.5</v>
      </c>
      <c r="S380">
        <v>103</v>
      </c>
      <c r="T380">
        <v>1</v>
      </c>
      <c r="U380" t="str" cm="1">
        <f t="array" ref="U380">_xlfn.IFS(smart_dataset[[#This Row],[Waiting_Time]]&lt;=20,"Low",smart_dataset[[#This Row],[Waiting_Time]]&lt;=40,"Medium",TRUE,"High")</f>
        <v>High</v>
      </c>
      <c r="V380" t="str" cm="1">
        <f t="array" ref="V380">_xlfn.IFS(smart_dataset[[#This Row],[Temperature]]&lt;=20,"Cold",smart_dataset[[#This Row],[Temperature]]&lt;=28,"Normal",TRUE,"Hot")</f>
        <v>Normal</v>
      </c>
      <c r="W380" t="str" cm="1">
        <f t="array" ref="W380">_xlfn.IFS(smart_dataset[[#This Row],[Asset_Utilization]]&lt;=75,"Low",smart_dataset[[#This Row],[Asset_Utilization]]&lt;=90,"Medium",TRUE,"High")</f>
        <v>Low</v>
      </c>
    </row>
    <row r="381" spans="1:23" x14ac:dyDescent="0.25">
      <c r="A381" s="1">
        <v>45331.278252314813</v>
      </c>
      <c r="B381" s="1">
        <f>INT(smart_dataset[[#This Row],[Timestamp]])</f>
        <v>45331</v>
      </c>
      <c r="C381" s="7">
        <f>MOD(smart_dataset[[#This Row],[Timestamp]],1)</f>
        <v>0.27825231481256196</v>
      </c>
      <c r="D381">
        <f>YEAR(smart_dataset[[#This Row],[Date]])</f>
        <v>2024</v>
      </c>
      <c r="E381">
        <f>MONTH(smart_dataset[[#This Row],[Timestamp]])</f>
        <v>2</v>
      </c>
      <c r="F381" t="s">
        <v>25</v>
      </c>
      <c r="G381">
        <v>-68.532399999999996</v>
      </c>
      <c r="H381">
        <v>127.5394</v>
      </c>
      <c r="I381">
        <v>181</v>
      </c>
      <c r="J381" t="s">
        <v>26</v>
      </c>
      <c r="K381">
        <v>22.9</v>
      </c>
      <c r="L381">
        <v>70.3</v>
      </c>
      <c r="M381" t="s">
        <v>18</v>
      </c>
      <c r="N381">
        <v>49</v>
      </c>
      <c r="O381">
        <v>441</v>
      </c>
      <c r="P381">
        <v>7</v>
      </c>
      <c r="Q381" t="s">
        <v>19</v>
      </c>
      <c r="R381">
        <v>94.7</v>
      </c>
      <c r="S381">
        <v>168</v>
      </c>
      <c r="T381">
        <v>0</v>
      </c>
      <c r="U381" t="str" cm="1">
        <f t="array" ref="U381">_xlfn.IFS(smart_dataset[[#This Row],[Waiting_Time]]&lt;=20,"Low",smart_dataset[[#This Row],[Waiting_Time]]&lt;=40,"Medium",TRUE,"High")</f>
        <v>High</v>
      </c>
      <c r="V381" t="str" cm="1">
        <f t="array" ref="V381">_xlfn.IFS(smart_dataset[[#This Row],[Temperature]]&lt;=20,"Cold",smart_dataset[[#This Row],[Temperature]]&lt;=28,"Normal",TRUE,"Hot")</f>
        <v>Normal</v>
      </c>
      <c r="W381" t="str" cm="1">
        <f t="array" ref="W381">_xlfn.IFS(smart_dataset[[#This Row],[Asset_Utilization]]&lt;=75,"Low",smart_dataset[[#This Row],[Asset_Utilization]]&lt;=90,"Medium",TRUE,"High")</f>
        <v>High</v>
      </c>
    </row>
    <row r="382" spans="1:23" x14ac:dyDescent="0.25">
      <c r="A382" s="1">
        <v>45426.559282407405</v>
      </c>
      <c r="B382" s="1">
        <f>INT(smart_dataset[[#This Row],[Timestamp]])</f>
        <v>45426</v>
      </c>
      <c r="C382" s="7">
        <f>MOD(smart_dataset[[#This Row],[Timestamp]],1)</f>
        <v>0.55928240740468027</v>
      </c>
      <c r="D382">
        <f>YEAR(smart_dataset[[#This Row],[Date]])</f>
        <v>2024</v>
      </c>
      <c r="E382">
        <f>MONTH(smart_dataset[[#This Row],[Timestamp]])</f>
        <v>5</v>
      </c>
      <c r="F382" t="s">
        <v>20</v>
      </c>
      <c r="G382">
        <v>-8.4586000000000006</v>
      </c>
      <c r="H382">
        <v>44.477899999999998</v>
      </c>
      <c r="I382">
        <v>342</v>
      </c>
      <c r="J382" t="s">
        <v>21</v>
      </c>
      <c r="K382">
        <v>22.6</v>
      </c>
      <c r="L382">
        <v>55.5</v>
      </c>
      <c r="M382" t="s">
        <v>18</v>
      </c>
      <c r="N382">
        <v>35</v>
      </c>
      <c r="O382">
        <v>119</v>
      </c>
      <c r="P382">
        <v>3</v>
      </c>
      <c r="Q382" t="s">
        <v>19</v>
      </c>
      <c r="R382">
        <v>73.900000000000006</v>
      </c>
      <c r="S382">
        <v>199</v>
      </c>
      <c r="T382">
        <v>0</v>
      </c>
      <c r="U382" t="str" cm="1">
        <f t="array" ref="U382">_xlfn.IFS(smart_dataset[[#This Row],[Waiting_Time]]&lt;=20,"Low",smart_dataset[[#This Row],[Waiting_Time]]&lt;=40,"Medium",TRUE,"High")</f>
        <v>Medium</v>
      </c>
      <c r="V382" t="str" cm="1">
        <f t="array" ref="V382">_xlfn.IFS(smart_dataset[[#This Row],[Temperature]]&lt;=20,"Cold",smart_dataset[[#This Row],[Temperature]]&lt;=28,"Normal",TRUE,"Hot")</f>
        <v>Normal</v>
      </c>
      <c r="W382" t="str" cm="1">
        <f t="array" ref="W382">_xlfn.IFS(smart_dataset[[#This Row],[Asset_Utilization]]&lt;=75,"Low",smart_dataset[[#This Row],[Asset_Utilization]]&lt;=90,"Medium",TRUE,"High")</f>
        <v>Low</v>
      </c>
    </row>
    <row r="383" spans="1:23" x14ac:dyDescent="0.25">
      <c r="A383" s="1">
        <v>45532.564837962964</v>
      </c>
      <c r="B383" s="1">
        <f>INT(smart_dataset[[#This Row],[Timestamp]])</f>
        <v>45532</v>
      </c>
      <c r="C383" s="7">
        <f>MOD(smart_dataset[[#This Row],[Timestamp]],1)</f>
        <v>0.56483796296379296</v>
      </c>
      <c r="D383">
        <f>YEAR(smart_dataset[[#This Row],[Date]])</f>
        <v>2024</v>
      </c>
      <c r="E383">
        <f>MONTH(smart_dataset[[#This Row],[Timestamp]])</f>
        <v>8</v>
      </c>
      <c r="F383" t="s">
        <v>25</v>
      </c>
      <c r="G383">
        <v>14.0092</v>
      </c>
      <c r="H383">
        <v>-131.97579999999999</v>
      </c>
      <c r="I383">
        <v>376</v>
      </c>
      <c r="J383" t="s">
        <v>17</v>
      </c>
      <c r="K383">
        <v>20.5</v>
      </c>
      <c r="L383">
        <v>55.5</v>
      </c>
      <c r="M383" t="s">
        <v>28</v>
      </c>
      <c r="N383">
        <v>34</v>
      </c>
      <c r="O383">
        <v>315</v>
      </c>
      <c r="P383">
        <v>9</v>
      </c>
      <c r="Q383" t="s">
        <v>19</v>
      </c>
      <c r="R383">
        <v>70.7</v>
      </c>
      <c r="S383">
        <v>297</v>
      </c>
      <c r="T383">
        <v>1</v>
      </c>
      <c r="U383" t="str" cm="1">
        <f t="array" ref="U383">_xlfn.IFS(smart_dataset[[#This Row],[Waiting_Time]]&lt;=20,"Low",smart_dataset[[#This Row],[Waiting_Time]]&lt;=40,"Medium",TRUE,"High")</f>
        <v>Medium</v>
      </c>
      <c r="V383" t="str" cm="1">
        <f t="array" ref="V383">_xlfn.IFS(smart_dataset[[#This Row],[Temperature]]&lt;=20,"Cold",smart_dataset[[#This Row],[Temperature]]&lt;=28,"Normal",TRUE,"Hot")</f>
        <v>Normal</v>
      </c>
      <c r="W383" t="str" cm="1">
        <f t="array" ref="W383">_xlfn.IFS(smart_dataset[[#This Row],[Asset_Utilization]]&lt;=75,"Low",smart_dataset[[#This Row],[Asset_Utilization]]&lt;=90,"Medium",TRUE,"High")</f>
        <v>Low</v>
      </c>
    </row>
    <row r="384" spans="1:23" x14ac:dyDescent="0.25">
      <c r="A384" s="1">
        <v>45343.118842592594</v>
      </c>
      <c r="B384" s="1">
        <f>INT(smart_dataset[[#This Row],[Timestamp]])</f>
        <v>45343</v>
      </c>
      <c r="C384" s="7">
        <f>MOD(smart_dataset[[#This Row],[Timestamp]],1)</f>
        <v>0.11884259259386454</v>
      </c>
      <c r="D384">
        <f>YEAR(smart_dataset[[#This Row],[Date]])</f>
        <v>2024</v>
      </c>
      <c r="E384">
        <f>MONTH(smart_dataset[[#This Row],[Timestamp]])</f>
        <v>2</v>
      </c>
      <c r="F384" t="s">
        <v>29</v>
      </c>
      <c r="G384">
        <v>3.6602000000000001</v>
      </c>
      <c r="H384">
        <v>107.779</v>
      </c>
      <c r="I384">
        <v>464</v>
      </c>
      <c r="J384" t="s">
        <v>21</v>
      </c>
      <c r="K384">
        <v>20.8</v>
      </c>
      <c r="L384">
        <v>50.1</v>
      </c>
      <c r="M384" t="s">
        <v>22</v>
      </c>
      <c r="N384">
        <v>16</v>
      </c>
      <c r="O384">
        <v>441</v>
      </c>
      <c r="P384">
        <v>7</v>
      </c>
      <c r="Q384" t="s">
        <v>19</v>
      </c>
      <c r="R384">
        <v>91.1</v>
      </c>
      <c r="S384">
        <v>240</v>
      </c>
      <c r="T384">
        <v>1</v>
      </c>
      <c r="U384" t="str" cm="1">
        <f t="array" ref="U384">_xlfn.IFS(smart_dataset[[#This Row],[Waiting_Time]]&lt;=20,"Low",smart_dataset[[#This Row],[Waiting_Time]]&lt;=40,"Medium",TRUE,"High")</f>
        <v>Low</v>
      </c>
      <c r="V384" t="str" cm="1">
        <f t="array" ref="V384">_xlfn.IFS(smart_dataset[[#This Row],[Temperature]]&lt;=20,"Cold",smart_dataset[[#This Row],[Temperature]]&lt;=28,"Normal",TRUE,"Hot")</f>
        <v>Normal</v>
      </c>
      <c r="W384" t="str" cm="1">
        <f t="array" ref="W384">_xlfn.IFS(smart_dataset[[#This Row],[Asset_Utilization]]&lt;=75,"Low",smart_dataset[[#This Row],[Asset_Utilization]]&lt;=90,"Medium",TRUE,"High")</f>
        <v>High</v>
      </c>
    </row>
    <row r="385" spans="1:23" x14ac:dyDescent="0.25">
      <c r="A385" s="1">
        <v>45590.246261574073</v>
      </c>
      <c r="B385" s="1">
        <f>INT(smart_dataset[[#This Row],[Timestamp]])</f>
        <v>45590</v>
      </c>
      <c r="C385" s="7">
        <f>MOD(smart_dataset[[#This Row],[Timestamp]],1)</f>
        <v>0.24626157407328719</v>
      </c>
      <c r="D385">
        <f>YEAR(smart_dataset[[#This Row],[Date]])</f>
        <v>2024</v>
      </c>
      <c r="E385">
        <f>MONTH(smart_dataset[[#This Row],[Timestamp]])</f>
        <v>10</v>
      </c>
      <c r="F385" t="s">
        <v>33</v>
      </c>
      <c r="G385">
        <v>29.341999999999999</v>
      </c>
      <c r="H385">
        <v>-68.568200000000004</v>
      </c>
      <c r="I385">
        <v>452</v>
      </c>
      <c r="J385" t="s">
        <v>21</v>
      </c>
      <c r="K385">
        <v>26.7</v>
      </c>
      <c r="L385">
        <v>64.099999999999994</v>
      </c>
      <c r="M385" t="s">
        <v>28</v>
      </c>
      <c r="N385">
        <v>36</v>
      </c>
      <c r="O385">
        <v>152</v>
      </c>
      <c r="P385">
        <v>1</v>
      </c>
      <c r="Q385" t="s">
        <v>19</v>
      </c>
      <c r="R385">
        <v>90.1</v>
      </c>
      <c r="S385">
        <v>231</v>
      </c>
      <c r="T385">
        <v>0</v>
      </c>
      <c r="U385" t="str" cm="1">
        <f t="array" ref="U385">_xlfn.IFS(smart_dataset[[#This Row],[Waiting_Time]]&lt;=20,"Low",smart_dataset[[#This Row],[Waiting_Time]]&lt;=40,"Medium",TRUE,"High")</f>
        <v>Medium</v>
      </c>
      <c r="V385" t="str" cm="1">
        <f t="array" ref="V385">_xlfn.IFS(smart_dataset[[#This Row],[Temperature]]&lt;=20,"Cold",smart_dataset[[#This Row],[Temperature]]&lt;=28,"Normal",TRUE,"Hot")</f>
        <v>Normal</v>
      </c>
      <c r="W385" t="str" cm="1">
        <f t="array" ref="W385">_xlfn.IFS(smart_dataset[[#This Row],[Asset_Utilization]]&lt;=75,"Low",smart_dataset[[#This Row],[Asset_Utilization]]&lt;=90,"Medium",TRUE,"High")</f>
        <v>High</v>
      </c>
    </row>
    <row r="386" spans="1:23" hidden="1" x14ac:dyDescent="0.25">
      <c r="A386" s="1">
        <v>45491.979768518519</v>
      </c>
      <c r="B386" s="1">
        <f>INT(smart_dataset[[#This Row],[Timestamp]])</f>
        <v>45491</v>
      </c>
      <c r="C386" s="1">
        <f>MOD(smart_dataset[[#This Row],[Timestamp]],1)</f>
        <v>0.97976851851854008</v>
      </c>
      <c r="D386" s="1">
        <f>YEAR(smart_dataset[[#This Row],[Date]])</f>
        <v>2024</v>
      </c>
      <c r="E386" s="1">
        <f>MONTH(smart_dataset[[#This Row],[Timestamp]])</f>
        <v>7</v>
      </c>
      <c r="F386" t="s">
        <v>25</v>
      </c>
      <c r="G386">
        <v>-20.6524</v>
      </c>
      <c r="H386">
        <v>-102.5762</v>
      </c>
      <c r="I386">
        <v>228</v>
      </c>
      <c r="J386" t="s">
        <v>26</v>
      </c>
      <c r="K386">
        <v>28.7</v>
      </c>
      <c r="L386">
        <v>65</v>
      </c>
      <c r="M386" t="s">
        <v>22</v>
      </c>
      <c r="N386">
        <v>26</v>
      </c>
      <c r="O386">
        <v>271</v>
      </c>
      <c r="P386">
        <v>3</v>
      </c>
      <c r="Q386" t="s">
        <v>27</v>
      </c>
      <c r="R386">
        <v>66</v>
      </c>
      <c r="S386">
        <v>290</v>
      </c>
      <c r="T386">
        <v>1</v>
      </c>
      <c r="U386" t="str" cm="1">
        <f t="array" ref="U386">_xlfn.IFS(smart_dataset[[#This Row],[Waiting_Time]]&lt;=20,"Low",smart_dataset[[#This Row],[Waiting_Time]]&lt;=40,"Medium",TRUE,"High")</f>
        <v>Medium</v>
      </c>
      <c r="V386" t="str" cm="1">
        <f t="array" ref="V386">_xlfn.IFS(smart_dataset[[#This Row],[Temperature]]&lt;=20,"Cold",smart_dataset[[#This Row],[Temperature]]&lt;=28,"Normal",TRUE,"Hot")</f>
        <v>Hot</v>
      </c>
      <c r="W386" t="str" cm="1">
        <f t="array" ref="W386">_xlfn.IFS(smart_dataset[[#This Row],[Asset_Utilization]]&lt;=75,"Low",smart_dataset[[#This Row],[Asset_Utilization]]&lt;=90,"Medium",TRUE,"High")</f>
        <v>Low</v>
      </c>
    </row>
    <row r="387" spans="1:23" x14ac:dyDescent="0.25">
      <c r="A387" s="1">
        <v>45350.977696759262</v>
      </c>
      <c r="B387" s="1">
        <f>INT(smart_dataset[[#This Row],[Timestamp]])</f>
        <v>45350</v>
      </c>
      <c r="C387" s="7">
        <f>MOD(smart_dataset[[#This Row],[Timestamp]],1)</f>
        <v>0.97769675926247146</v>
      </c>
      <c r="D387">
        <f>YEAR(smart_dataset[[#This Row],[Date]])</f>
        <v>2024</v>
      </c>
      <c r="E387">
        <f>MONTH(smart_dataset[[#This Row],[Timestamp]])</f>
        <v>2</v>
      </c>
      <c r="F387" t="s">
        <v>24</v>
      </c>
      <c r="G387">
        <v>-88.695999999999998</v>
      </c>
      <c r="H387">
        <v>117.39019999999999</v>
      </c>
      <c r="I387">
        <v>288</v>
      </c>
      <c r="J387" t="s">
        <v>26</v>
      </c>
      <c r="K387">
        <v>27.1</v>
      </c>
      <c r="L387">
        <v>69.400000000000006</v>
      </c>
      <c r="M387" t="s">
        <v>22</v>
      </c>
      <c r="N387">
        <v>37</v>
      </c>
      <c r="O387">
        <v>144</v>
      </c>
      <c r="P387">
        <v>2</v>
      </c>
      <c r="Q387" t="s">
        <v>19</v>
      </c>
      <c r="R387">
        <v>63.6</v>
      </c>
      <c r="S387">
        <v>126</v>
      </c>
      <c r="T387">
        <v>1</v>
      </c>
      <c r="U387" t="str" cm="1">
        <f t="array" ref="U387">_xlfn.IFS(smart_dataset[[#This Row],[Waiting_Time]]&lt;=20,"Low",smart_dataset[[#This Row],[Waiting_Time]]&lt;=40,"Medium",TRUE,"High")</f>
        <v>Medium</v>
      </c>
      <c r="V387" t="str" cm="1">
        <f t="array" ref="V387">_xlfn.IFS(smart_dataset[[#This Row],[Temperature]]&lt;=20,"Cold",smart_dataset[[#This Row],[Temperature]]&lt;=28,"Normal",TRUE,"Hot")</f>
        <v>Normal</v>
      </c>
      <c r="W387" t="str" cm="1">
        <f t="array" ref="W387">_xlfn.IFS(smart_dataset[[#This Row],[Asset_Utilization]]&lt;=75,"Low",smart_dataset[[#This Row],[Asset_Utilization]]&lt;=90,"Medium",TRUE,"High")</f>
        <v>Low</v>
      </c>
    </row>
    <row r="388" spans="1:23" hidden="1" x14ac:dyDescent="0.25">
      <c r="A388" s="1">
        <v>45486.65347222222</v>
      </c>
      <c r="B388" s="1">
        <f>INT(smart_dataset[[#This Row],[Timestamp]])</f>
        <v>45486</v>
      </c>
      <c r="C388" s="1">
        <f>MOD(smart_dataset[[#This Row],[Timestamp]],1)</f>
        <v>0.65347222222044365</v>
      </c>
      <c r="D388" s="1">
        <f>YEAR(smart_dataset[[#This Row],[Date]])</f>
        <v>2024</v>
      </c>
      <c r="E388" s="1">
        <f>MONTH(smart_dataset[[#This Row],[Timestamp]])</f>
        <v>7</v>
      </c>
      <c r="F388" t="s">
        <v>24</v>
      </c>
      <c r="G388">
        <v>-27.031500000000001</v>
      </c>
      <c r="H388">
        <v>40.245100000000001</v>
      </c>
      <c r="I388">
        <v>133</v>
      </c>
      <c r="J388" t="s">
        <v>17</v>
      </c>
      <c r="K388">
        <v>18.600000000000001</v>
      </c>
      <c r="L388">
        <v>79.400000000000006</v>
      </c>
      <c r="M388" t="s">
        <v>28</v>
      </c>
      <c r="N388">
        <v>14</v>
      </c>
      <c r="O388">
        <v>314</v>
      </c>
      <c r="P388">
        <v>10</v>
      </c>
      <c r="Q388" t="s">
        <v>31</v>
      </c>
      <c r="R388">
        <v>98.8</v>
      </c>
      <c r="S388">
        <v>109</v>
      </c>
      <c r="T388">
        <v>1</v>
      </c>
      <c r="U388" t="str" cm="1">
        <f t="array" ref="U388">_xlfn.IFS(smart_dataset[[#This Row],[Waiting_Time]]&lt;=20,"Low",smart_dataset[[#This Row],[Waiting_Time]]&lt;=40,"Medium",TRUE,"High")</f>
        <v>Low</v>
      </c>
      <c r="V388" t="str" cm="1">
        <f t="array" ref="V388">_xlfn.IFS(smart_dataset[[#This Row],[Temperature]]&lt;=20,"Cold",smart_dataset[[#This Row],[Temperature]]&lt;=28,"Normal",TRUE,"Hot")</f>
        <v>Cold</v>
      </c>
      <c r="W388" t="str" cm="1">
        <f t="array" ref="W388">_xlfn.IFS(smart_dataset[[#This Row],[Asset_Utilization]]&lt;=75,"Low",smart_dataset[[#This Row],[Asset_Utilization]]&lt;=90,"Medium",TRUE,"High")</f>
        <v>High</v>
      </c>
    </row>
    <row r="389" spans="1:23" x14ac:dyDescent="0.25">
      <c r="A389" s="1">
        <v>45464.175636574073</v>
      </c>
      <c r="B389" s="1">
        <f>INT(smart_dataset[[#This Row],[Timestamp]])</f>
        <v>45464</v>
      </c>
      <c r="C389" s="7">
        <f>MOD(smart_dataset[[#This Row],[Timestamp]],1)</f>
        <v>0.17563657407299615</v>
      </c>
      <c r="D389">
        <f>YEAR(smart_dataset[[#This Row],[Date]])</f>
        <v>2024</v>
      </c>
      <c r="E389">
        <f>MONTH(smart_dataset[[#This Row],[Timestamp]])</f>
        <v>6</v>
      </c>
      <c r="F389" t="s">
        <v>20</v>
      </c>
      <c r="G389">
        <v>25.513500000000001</v>
      </c>
      <c r="H389">
        <v>-147.3897</v>
      </c>
      <c r="I389">
        <v>117</v>
      </c>
      <c r="J389" t="s">
        <v>21</v>
      </c>
      <c r="K389">
        <v>29.7</v>
      </c>
      <c r="L389">
        <v>63.7</v>
      </c>
      <c r="M389" t="s">
        <v>28</v>
      </c>
      <c r="N389">
        <v>17</v>
      </c>
      <c r="O389">
        <v>159</v>
      </c>
      <c r="P389">
        <v>8</v>
      </c>
      <c r="Q389" t="s">
        <v>19</v>
      </c>
      <c r="R389">
        <v>77</v>
      </c>
      <c r="S389">
        <v>106</v>
      </c>
      <c r="T389">
        <v>0</v>
      </c>
      <c r="U389" t="str" cm="1">
        <f t="array" ref="U389">_xlfn.IFS(smart_dataset[[#This Row],[Waiting_Time]]&lt;=20,"Low",smart_dataset[[#This Row],[Waiting_Time]]&lt;=40,"Medium",TRUE,"High")</f>
        <v>Low</v>
      </c>
      <c r="V389" t="str" cm="1">
        <f t="array" ref="V389">_xlfn.IFS(smart_dataset[[#This Row],[Temperature]]&lt;=20,"Cold",smart_dataset[[#This Row],[Temperature]]&lt;=28,"Normal",TRUE,"Hot")</f>
        <v>Hot</v>
      </c>
      <c r="W389" t="str" cm="1">
        <f t="array" ref="W389">_xlfn.IFS(smart_dataset[[#This Row],[Asset_Utilization]]&lt;=75,"Low",smart_dataset[[#This Row],[Asset_Utilization]]&lt;=90,"Medium",TRUE,"High")</f>
        <v>Medium</v>
      </c>
    </row>
    <row r="390" spans="1:23" x14ac:dyDescent="0.25">
      <c r="A390" s="1">
        <v>45564.74895833333</v>
      </c>
      <c r="B390" s="1">
        <f>INT(smart_dataset[[#This Row],[Timestamp]])</f>
        <v>45564</v>
      </c>
      <c r="C390" s="7">
        <f>MOD(smart_dataset[[#This Row],[Timestamp]],1)</f>
        <v>0.74895833332993789</v>
      </c>
      <c r="D390">
        <f>YEAR(smart_dataset[[#This Row],[Date]])</f>
        <v>2024</v>
      </c>
      <c r="E390">
        <f>MONTH(smart_dataset[[#This Row],[Timestamp]])</f>
        <v>9</v>
      </c>
      <c r="F390" t="s">
        <v>30</v>
      </c>
      <c r="G390">
        <v>68.401399999999995</v>
      </c>
      <c r="H390">
        <v>-52.086199999999998</v>
      </c>
      <c r="I390">
        <v>428</v>
      </c>
      <c r="J390" t="s">
        <v>17</v>
      </c>
      <c r="K390">
        <v>28.4</v>
      </c>
      <c r="L390">
        <v>74.2</v>
      </c>
      <c r="M390" t="s">
        <v>28</v>
      </c>
      <c r="N390">
        <v>54</v>
      </c>
      <c r="O390">
        <v>492</v>
      </c>
      <c r="P390">
        <v>1</v>
      </c>
      <c r="Q390" t="s">
        <v>19</v>
      </c>
      <c r="R390">
        <v>86.2</v>
      </c>
      <c r="S390">
        <v>286</v>
      </c>
      <c r="T390">
        <v>1</v>
      </c>
      <c r="U390" t="str" cm="1">
        <f t="array" ref="U390">_xlfn.IFS(smart_dataset[[#This Row],[Waiting_Time]]&lt;=20,"Low",smart_dataset[[#This Row],[Waiting_Time]]&lt;=40,"Medium",TRUE,"High")</f>
        <v>High</v>
      </c>
      <c r="V390" t="str" cm="1">
        <f t="array" ref="V390">_xlfn.IFS(smart_dataset[[#This Row],[Temperature]]&lt;=20,"Cold",smart_dataset[[#This Row],[Temperature]]&lt;=28,"Normal",TRUE,"Hot")</f>
        <v>Hot</v>
      </c>
      <c r="W390" t="str" cm="1">
        <f t="array" ref="W390">_xlfn.IFS(smart_dataset[[#This Row],[Asset_Utilization]]&lt;=75,"Low",smart_dataset[[#This Row],[Asset_Utilization]]&lt;=90,"Medium",TRUE,"High")</f>
        <v>Medium</v>
      </c>
    </row>
    <row r="391" spans="1:23" hidden="1" x14ac:dyDescent="0.25">
      <c r="A391" s="1">
        <v>45448.314363425925</v>
      </c>
      <c r="B391" s="1">
        <f>INT(smart_dataset[[#This Row],[Timestamp]])</f>
        <v>45448</v>
      </c>
      <c r="C391" s="1">
        <f>MOD(smart_dataset[[#This Row],[Timestamp]],1)</f>
        <v>0.31436342592496658</v>
      </c>
      <c r="D391" s="1">
        <f>YEAR(smart_dataset[[#This Row],[Date]])</f>
        <v>2024</v>
      </c>
      <c r="E391" s="1">
        <f>MONTH(smart_dataset[[#This Row],[Timestamp]])</f>
        <v>6</v>
      </c>
      <c r="F391" t="s">
        <v>32</v>
      </c>
      <c r="G391">
        <v>-7.1543000000000001</v>
      </c>
      <c r="H391">
        <v>-132.8372</v>
      </c>
      <c r="I391">
        <v>381</v>
      </c>
      <c r="J391" t="s">
        <v>26</v>
      </c>
      <c r="K391">
        <v>18</v>
      </c>
      <c r="L391">
        <v>53</v>
      </c>
      <c r="M391" t="s">
        <v>28</v>
      </c>
      <c r="N391">
        <v>25</v>
      </c>
      <c r="O391">
        <v>398</v>
      </c>
      <c r="P391">
        <v>9</v>
      </c>
      <c r="Q391" t="s">
        <v>23</v>
      </c>
      <c r="R391">
        <v>94.6</v>
      </c>
      <c r="S391">
        <v>100</v>
      </c>
      <c r="T391">
        <v>0</v>
      </c>
      <c r="U391" t="str" cm="1">
        <f t="array" ref="U391">_xlfn.IFS(smart_dataset[[#This Row],[Waiting_Time]]&lt;=20,"Low",smart_dataset[[#This Row],[Waiting_Time]]&lt;=40,"Medium",TRUE,"High")</f>
        <v>Medium</v>
      </c>
      <c r="V391" t="str" cm="1">
        <f t="array" ref="V391">_xlfn.IFS(smart_dataset[[#This Row],[Temperature]]&lt;=20,"Cold",smart_dataset[[#This Row],[Temperature]]&lt;=28,"Normal",TRUE,"Hot")</f>
        <v>Cold</v>
      </c>
      <c r="W391" t="str" cm="1">
        <f t="array" ref="W391">_xlfn.IFS(smart_dataset[[#This Row],[Asset_Utilization]]&lt;=75,"Low",smart_dataset[[#This Row],[Asset_Utilization]]&lt;=90,"Medium",TRUE,"High")</f>
        <v>High</v>
      </c>
    </row>
    <row r="392" spans="1:23" hidden="1" x14ac:dyDescent="0.25">
      <c r="A392" s="1">
        <v>45645.894803240742</v>
      </c>
      <c r="B392" s="1">
        <f>INT(smart_dataset[[#This Row],[Timestamp]])</f>
        <v>45645</v>
      </c>
      <c r="C392" s="1">
        <f>MOD(smart_dataset[[#This Row],[Timestamp]],1)</f>
        <v>0.89480324074247619</v>
      </c>
      <c r="D392" s="1">
        <f>YEAR(smart_dataset[[#This Row],[Date]])</f>
        <v>2024</v>
      </c>
      <c r="E392" s="1">
        <f>MONTH(smart_dataset[[#This Row],[Timestamp]])</f>
        <v>12</v>
      </c>
      <c r="F392" t="s">
        <v>25</v>
      </c>
      <c r="G392">
        <v>-78.276300000000006</v>
      </c>
      <c r="H392">
        <v>151.39429999999999</v>
      </c>
      <c r="I392">
        <v>166</v>
      </c>
      <c r="J392" t="s">
        <v>17</v>
      </c>
      <c r="K392">
        <v>22.5</v>
      </c>
      <c r="L392">
        <v>53.8</v>
      </c>
      <c r="M392" t="s">
        <v>28</v>
      </c>
      <c r="N392">
        <v>57</v>
      </c>
      <c r="O392">
        <v>442</v>
      </c>
      <c r="P392">
        <v>6</v>
      </c>
      <c r="Q392" t="s">
        <v>23</v>
      </c>
      <c r="R392">
        <v>72.099999999999994</v>
      </c>
      <c r="S392">
        <v>284</v>
      </c>
      <c r="T392">
        <v>1</v>
      </c>
      <c r="U392" t="str" cm="1">
        <f t="array" ref="U392">_xlfn.IFS(smart_dataset[[#This Row],[Waiting_Time]]&lt;=20,"Low",smart_dataset[[#This Row],[Waiting_Time]]&lt;=40,"Medium",TRUE,"High")</f>
        <v>High</v>
      </c>
      <c r="V392" t="str" cm="1">
        <f t="array" ref="V392">_xlfn.IFS(smart_dataset[[#This Row],[Temperature]]&lt;=20,"Cold",smart_dataset[[#This Row],[Temperature]]&lt;=28,"Normal",TRUE,"Hot")</f>
        <v>Normal</v>
      </c>
      <c r="W392" t="str" cm="1">
        <f t="array" ref="W392">_xlfn.IFS(smart_dataset[[#This Row],[Asset_Utilization]]&lt;=75,"Low",smart_dataset[[#This Row],[Asset_Utilization]]&lt;=90,"Medium",TRUE,"High")</f>
        <v>Low</v>
      </c>
    </row>
    <row r="393" spans="1:23" hidden="1" x14ac:dyDescent="0.25">
      <c r="A393" s="1">
        <v>45405.785717592589</v>
      </c>
      <c r="B393" s="1">
        <f>INT(smart_dataset[[#This Row],[Timestamp]])</f>
        <v>45405</v>
      </c>
      <c r="C393" s="1">
        <f>MOD(smart_dataset[[#This Row],[Timestamp]],1)</f>
        <v>0.78571759258920792</v>
      </c>
      <c r="D393" s="1">
        <f>YEAR(smart_dataset[[#This Row],[Date]])</f>
        <v>2024</v>
      </c>
      <c r="E393" s="1">
        <f>MONTH(smart_dataset[[#This Row],[Timestamp]])</f>
        <v>4</v>
      </c>
      <c r="F393" t="s">
        <v>30</v>
      </c>
      <c r="G393">
        <v>33.966500000000003</v>
      </c>
      <c r="H393">
        <v>-46.542299999999997</v>
      </c>
      <c r="I393">
        <v>225</v>
      </c>
      <c r="J393" t="s">
        <v>21</v>
      </c>
      <c r="K393">
        <v>26.1</v>
      </c>
      <c r="L393">
        <v>75.8</v>
      </c>
      <c r="M393" t="s">
        <v>22</v>
      </c>
      <c r="N393">
        <v>41</v>
      </c>
      <c r="O393">
        <v>286</v>
      </c>
      <c r="P393">
        <v>3</v>
      </c>
      <c r="Q393" t="s">
        <v>31</v>
      </c>
      <c r="R393">
        <v>72.900000000000006</v>
      </c>
      <c r="S393">
        <v>224</v>
      </c>
      <c r="T393">
        <v>1</v>
      </c>
      <c r="U393" t="str" cm="1">
        <f t="array" ref="U393">_xlfn.IFS(smart_dataset[[#This Row],[Waiting_Time]]&lt;=20,"Low",smart_dataset[[#This Row],[Waiting_Time]]&lt;=40,"Medium",TRUE,"High")</f>
        <v>High</v>
      </c>
      <c r="V393" t="str" cm="1">
        <f t="array" ref="V393">_xlfn.IFS(smart_dataset[[#This Row],[Temperature]]&lt;=20,"Cold",smart_dataset[[#This Row],[Temperature]]&lt;=28,"Normal",TRUE,"Hot")</f>
        <v>Normal</v>
      </c>
      <c r="W393" t="str" cm="1">
        <f t="array" ref="W393">_xlfn.IFS(smart_dataset[[#This Row],[Asset_Utilization]]&lt;=75,"Low",smart_dataset[[#This Row],[Asset_Utilization]]&lt;=90,"Medium",TRUE,"High")</f>
        <v>Low</v>
      </c>
    </row>
    <row r="394" spans="1:23" hidden="1" x14ac:dyDescent="0.25">
      <c r="A394" s="1">
        <v>45339.839872685188</v>
      </c>
      <c r="B394" s="1">
        <f>INT(smart_dataset[[#This Row],[Timestamp]])</f>
        <v>45339</v>
      </c>
      <c r="C394" s="1">
        <f>MOD(smart_dataset[[#This Row],[Timestamp]],1)</f>
        <v>0.83987268518831115</v>
      </c>
      <c r="D394" s="1">
        <f>YEAR(smart_dataset[[#This Row],[Date]])</f>
        <v>2024</v>
      </c>
      <c r="E394" s="1">
        <f>MONTH(smart_dataset[[#This Row],[Timestamp]])</f>
        <v>2</v>
      </c>
      <c r="F394" t="s">
        <v>30</v>
      </c>
      <c r="G394">
        <v>-59.689900000000002</v>
      </c>
      <c r="H394">
        <v>143.0428</v>
      </c>
      <c r="I394">
        <v>364</v>
      </c>
      <c r="J394" t="s">
        <v>17</v>
      </c>
      <c r="K394">
        <v>18.8</v>
      </c>
      <c r="L394">
        <v>68.2</v>
      </c>
      <c r="M394" t="s">
        <v>18</v>
      </c>
      <c r="N394">
        <v>41</v>
      </c>
      <c r="O394">
        <v>373</v>
      </c>
      <c r="P394">
        <v>1</v>
      </c>
      <c r="Q394" t="s">
        <v>23</v>
      </c>
      <c r="R394">
        <v>88.7</v>
      </c>
      <c r="S394">
        <v>215</v>
      </c>
      <c r="T394">
        <v>1</v>
      </c>
      <c r="U394" t="str" cm="1">
        <f t="array" ref="U394">_xlfn.IFS(smart_dataset[[#This Row],[Waiting_Time]]&lt;=20,"Low",smart_dataset[[#This Row],[Waiting_Time]]&lt;=40,"Medium",TRUE,"High")</f>
        <v>High</v>
      </c>
      <c r="V394" t="str" cm="1">
        <f t="array" ref="V394">_xlfn.IFS(smart_dataset[[#This Row],[Temperature]]&lt;=20,"Cold",smart_dataset[[#This Row],[Temperature]]&lt;=28,"Normal",TRUE,"Hot")</f>
        <v>Cold</v>
      </c>
      <c r="W394" t="str" cm="1">
        <f t="array" ref="W394">_xlfn.IFS(smart_dataset[[#This Row],[Asset_Utilization]]&lt;=75,"Low",smart_dataset[[#This Row],[Asset_Utilization]]&lt;=90,"Medium",TRUE,"High")</f>
        <v>Medium</v>
      </c>
    </row>
    <row r="395" spans="1:23" hidden="1" x14ac:dyDescent="0.25">
      <c r="A395" s="1">
        <v>45494.259074074071</v>
      </c>
      <c r="B395" s="1">
        <f>INT(smart_dataset[[#This Row],[Timestamp]])</f>
        <v>45494</v>
      </c>
      <c r="C395" s="1">
        <f>MOD(smart_dataset[[#This Row],[Timestamp]],1)</f>
        <v>0.25907407407066785</v>
      </c>
      <c r="D395" s="1">
        <f>YEAR(smart_dataset[[#This Row],[Date]])</f>
        <v>2024</v>
      </c>
      <c r="E395" s="1">
        <f>MONTH(smart_dataset[[#This Row],[Timestamp]])</f>
        <v>7</v>
      </c>
      <c r="F395" t="s">
        <v>16</v>
      </c>
      <c r="G395">
        <v>25.704699999999999</v>
      </c>
      <c r="H395">
        <v>150.6302</v>
      </c>
      <c r="I395">
        <v>318</v>
      </c>
      <c r="J395" t="s">
        <v>21</v>
      </c>
      <c r="K395">
        <v>25.3</v>
      </c>
      <c r="L395">
        <v>74.599999999999994</v>
      </c>
      <c r="M395" t="s">
        <v>28</v>
      </c>
      <c r="N395">
        <v>32</v>
      </c>
      <c r="O395">
        <v>486</v>
      </c>
      <c r="P395">
        <v>9</v>
      </c>
      <c r="Q395" t="s">
        <v>23</v>
      </c>
      <c r="R395">
        <v>68.099999999999994</v>
      </c>
      <c r="S395">
        <v>277</v>
      </c>
      <c r="T395">
        <v>0</v>
      </c>
      <c r="U395" t="str" cm="1">
        <f t="array" ref="U395">_xlfn.IFS(smart_dataset[[#This Row],[Waiting_Time]]&lt;=20,"Low",smart_dataset[[#This Row],[Waiting_Time]]&lt;=40,"Medium",TRUE,"High")</f>
        <v>Medium</v>
      </c>
      <c r="V395" t="str" cm="1">
        <f t="array" ref="V395">_xlfn.IFS(smart_dataset[[#This Row],[Temperature]]&lt;=20,"Cold",smart_dataset[[#This Row],[Temperature]]&lt;=28,"Normal",TRUE,"Hot")</f>
        <v>Normal</v>
      </c>
      <c r="W395" t="str" cm="1">
        <f t="array" ref="W395">_xlfn.IFS(smart_dataset[[#This Row],[Asset_Utilization]]&lt;=75,"Low",smart_dataset[[#This Row],[Asset_Utilization]]&lt;=90,"Medium",TRUE,"High")</f>
        <v>Low</v>
      </c>
    </row>
    <row r="396" spans="1:23" hidden="1" x14ac:dyDescent="0.25">
      <c r="A396" s="1">
        <v>45385.225162037037</v>
      </c>
      <c r="B396" s="1">
        <f>INT(smart_dataset[[#This Row],[Timestamp]])</f>
        <v>45385</v>
      </c>
      <c r="C396" s="1">
        <f>MOD(smart_dataset[[#This Row],[Timestamp]],1)</f>
        <v>0.22516203703708015</v>
      </c>
      <c r="D396" s="1">
        <f>YEAR(smart_dataset[[#This Row],[Date]])</f>
        <v>2024</v>
      </c>
      <c r="E396" s="1">
        <f>MONTH(smart_dataset[[#This Row],[Timestamp]])</f>
        <v>4</v>
      </c>
      <c r="F396" t="s">
        <v>30</v>
      </c>
      <c r="G396">
        <v>15.4009</v>
      </c>
      <c r="H396">
        <v>52.353700000000003</v>
      </c>
      <c r="I396">
        <v>417</v>
      </c>
      <c r="J396" t="s">
        <v>21</v>
      </c>
      <c r="K396">
        <v>20</v>
      </c>
      <c r="L396">
        <v>61</v>
      </c>
      <c r="M396" t="s">
        <v>22</v>
      </c>
      <c r="N396">
        <v>54</v>
      </c>
      <c r="O396">
        <v>300</v>
      </c>
      <c r="P396">
        <v>4</v>
      </c>
      <c r="Q396" t="s">
        <v>27</v>
      </c>
      <c r="R396">
        <v>74.5</v>
      </c>
      <c r="S396">
        <v>156</v>
      </c>
      <c r="T396">
        <v>1</v>
      </c>
      <c r="U396" t="str" cm="1">
        <f t="array" ref="U396">_xlfn.IFS(smart_dataset[[#This Row],[Waiting_Time]]&lt;=20,"Low",smart_dataset[[#This Row],[Waiting_Time]]&lt;=40,"Medium",TRUE,"High")</f>
        <v>High</v>
      </c>
      <c r="V396" t="str" cm="1">
        <f t="array" ref="V396">_xlfn.IFS(smart_dataset[[#This Row],[Temperature]]&lt;=20,"Cold",smart_dataset[[#This Row],[Temperature]]&lt;=28,"Normal",TRUE,"Hot")</f>
        <v>Cold</v>
      </c>
      <c r="W396" t="str" cm="1">
        <f t="array" ref="W396">_xlfn.IFS(smart_dataset[[#This Row],[Asset_Utilization]]&lt;=75,"Low",smart_dataset[[#This Row],[Asset_Utilization]]&lt;=90,"Medium",TRUE,"High")</f>
        <v>Low</v>
      </c>
    </row>
    <row r="397" spans="1:23" hidden="1" x14ac:dyDescent="0.25">
      <c r="A397" s="1">
        <v>45587.44703703704</v>
      </c>
      <c r="B397" s="1">
        <f>INT(smart_dataset[[#This Row],[Timestamp]])</f>
        <v>45587</v>
      </c>
      <c r="C397" s="1">
        <f>MOD(smart_dataset[[#This Row],[Timestamp]],1)</f>
        <v>0.44703703703999054</v>
      </c>
      <c r="D397" s="1">
        <f>YEAR(smart_dataset[[#This Row],[Date]])</f>
        <v>2024</v>
      </c>
      <c r="E397" s="1">
        <f>MONTH(smart_dataset[[#This Row],[Timestamp]])</f>
        <v>10</v>
      </c>
      <c r="F397" t="s">
        <v>16</v>
      </c>
      <c r="G397">
        <v>-86.779899999999998</v>
      </c>
      <c r="H397">
        <v>-102.14960000000001</v>
      </c>
      <c r="I397">
        <v>180</v>
      </c>
      <c r="J397" t="s">
        <v>17</v>
      </c>
      <c r="K397">
        <v>18.5</v>
      </c>
      <c r="L397">
        <v>52.1</v>
      </c>
      <c r="M397" t="s">
        <v>28</v>
      </c>
      <c r="N397">
        <v>10</v>
      </c>
      <c r="O397">
        <v>182</v>
      </c>
      <c r="P397">
        <v>5</v>
      </c>
      <c r="Q397" t="s">
        <v>31</v>
      </c>
      <c r="R397">
        <v>99</v>
      </c>
      <c r="S397">
        <v>279</v>
      </c>
      <c r="T397">
        <v>1</v>
      </c>
      <c r="U397" t="str" cm="1">
        <f t="array" ref="U397">_xlfn.IFS(smart_dataset[[#This Row],[Waiting_Time]]&lt;=20,"Low",smart_dataset[[#This Row],[Waiting_Time]]&lt;=40,"Medium",TRUE,"High")</f>
        <v>Low</v>
      </c>
      <c r="V397" t="str" cm="1">
        <f t="array" ref="V397">_xlfn.IFS(smart_dataset[[#This Row],[Temperature]]&lt;=20,"Cold",smart_dataset[[#This Row],[Temperature]]&lt;=28,"Normal",TRUE,"Hot")</f>
        <v>Cold</v>
      </c>
      <c r="W397" t="str" cm="1">
        <f t="array" ref="W397">_xlfn.IFS(smart_dataset[[#This Row],[Asset_Utilization]]&lt;=75,"Low",smart_dataset[[#This Row],[Asset_Utilization]]&lt;=90,"Medium",TRUE,"High")</f>
        <v>High</v>
      </c>
    </row>
    <row r="398" spans="1:23" hidden="1" x14ac:dyDescent="0.25">
      <c r="A398" s="1">
        <v>45410.527025462965</v>
      </c>
      <c r="B398" s="1">
        <f>INT(smart_dataset[[#This Row],[Timestamp]])</f>
        <v>45410</v>
      </c>
      <c r="C398" s="1">
        <f>MOD(smart_dataset[[#This Row],[Timestamp]],1)</f>
        <v>0.52702546296495711</v>
      </c>
      <c r="D398" s="1">
        <f>YEAR(smart_dataset[[#This Row],[Date]])</f>
        <v>2024</v>
      </c>
      <c r="E398" s="1">
        <f>MONTH(smart_dataset[[#This Row],[Timestamp]])</f>
        <v>4</v>
      </c>
      <c r="F398" t="s">
        <v>32</v>
      </c>
      <c r="G398">
        <v>40.340600000000002</v>
      </c>
      <c r="H398">
        <v>159.07230000000001</v>
      </c>
      <c r="I398">
        <v>134</v>
      </c>
      <c r="J398" t="s">
        <v>17</v>
      </c>
      <c r="K398">
        <v>24.1</v>
      </c>
      <c r="L398">
        <v>68.2</v>
      </c>
      <c r="M398" t="s">
        <v>22</v>
      </c>
      <c r="N398">
        <v>35</v>
      </c>
      <c r="O398">
        <v>187</v>
      </c>
      <c r="P398">
        <v>6</v>
      </c>
      <c r="Q398" t="s">
        <v>31</v>
      </c>
      <c r="R398">
        <v>99.9</v>
      </c>
      <c r="S398">
        <v>102</v>
      </c>
      <c r="T398">
        <v>1</v>
      </c>
      <c r="U398" t="str" cm="1">
        <f t="array" ref="U398">_xlfn.IFS(smart_dataset[[#This Row],[Waiting_Time]]&lt;=20,"Low",smart_dataset[[#This Row],[Waiting_Time]]&lt;=40,"Medium",TRUE,"High")</f>
        <v>Medium</v>
      </c>
      <c r="V398" t="str" cm="1">
        <f t="array" ref="V398">_xlfn.IFS(smart_dataset[[#This Row],[Temperature]]&lt;=20,"Cold",smart_dataset[[#This Row],[Temperature]]&lt;=28,"Normal",TRUE,"Hot")</f>
        <v>Normal</v>
      </c>
      <c r="W398" t="str" cm="1">
        <f t="array" ref="W398">_xlfn.IFS(smart_dataset[[#This Row],[Asset_Utilization]]&lt;=75,"Low",smart_dataset[[#This Row],[Asset_Utilization]]&lt;=90,"Medium",TRUE,"High")</f>
        <v>High</v>
      </c>
    </row>
    <row r="399" spans="1:23" hidden="1" x14ac:dyDescent="0.25">
      <c r="A399" s="1">
        <v>45563.507835648146</v>
      </c>
      <c r="B399" s="1">
        <f>INT(smart_dataset[[#This Row],[Timestamp]])</f>
        <v>45563</v>
      </c>
      <c r="C399" s="1">
        <f>MOD(smart_dataset[[#This Row],[Timestamp]],1)</f>
        <v>0.50783564814628335</v>
      </c>
      <c r="D399" s="1">
        <f>YEAR(smart_dataset[[#This Row],[Date]])</f>
        <v>2024</v>
      </c>
      <c r="E399" s="1">
        <f>MONTH(smart_dataset[[#This Row],[Timestamp]])</f>
        <v>9</v>
      </c>
      <c r="F399" t="s">
        <v>32</v>
      </c>
      <c r="G399">
        <v>40.400500000000001</v>
      </c>
      <c r="H399">
        <v>-149.15209999999999</v>
      </c>
      <c r="I399">
        <v>237</v>
      </c>
      <c r="J399" t="s">
        <v>21</v>
      </c>
      <c r="K399">
        <v>28.1</v>
      </c>
      <c r="L399">
        <v>75.5</v>
      </c>
      <c r="M399" t="s">
        <v>18</v>
      </c>
      <c r="N399">
        <v>18</v>
      </c>
      <c r="O399">
        <v>349</v>
      </c>
      <c r="P399">
        <v>2</v>
      </c>
      <c r="Q399" t="s">
        <v>23</v>
      </c>
      <c r="R399">
        <v>90.5</v>
      </c>
      <c r="S399">
        <v>189</v>
      </c>
      <c r="T399">
        <v>0</v>
      </c>
      <c r="U399" t="str" cm="1">
        <f t="array" ref="U399">_xlfn.IFS(smart_dataset[[#This Row],[Waiting_Time]]&lt;=20,"Low",smart_dataset[[#This Row],[Waiting_Time]]&lt;=40,"Medium",TRUE,"High")</f>
        <v>Low</v>
      </c>
      <c r="V399" t="str" cm="1">
        <f t="array" ref="V399">_xlfn.IFS(smart_dataset[[#This Row],[Temperature]]&lt;=20,"Cold",smart_dataset[[#This Row],[Temperature]]&lt;=28,"Normal",TRUE,"Hot")</f>
        <v>Hot</v>
      </c>
      <c r="W399" t="str" cm="1">
        <f t="array" ref="W399">_xlfn.IFS(smart_dataset[[#This Row],[Asset_Utilization]]&lt;=75,"Low",smart_dataset[[#This Row],[Asset_Utilization]]&lt;=90,"Medium",TRUE,"High")</f>
        <v>High</v>
      </c>
    </row>
    <row r="400" spans="1:23" hidden="1" x14ac:dyDescent="0.25">
      <c r="A400" s="1">
        <v>45544.493923611109</v>
      </c>
      <c r="B400" s="1">
        <f>INT(smart_dataset[[#This Row],[Timestamp]])</f>
        <v>45544</v>
      </c>
      <c r="C400" s="1">
        <f>MOD(smart_dataset[[#This Row],[Timestamp]],1)</f>
        <v>0.49392361110949423</v>
      </c>
      <c r="D400" s="1">
        <f>YEAR(smart_dataset[[#This Row],[Date]])</f>
        <v>2024</v>
      </c>
      <c r="E400" s="1">
        <f>MONTH(smart_dataset[[#This Row],[Timestamp]])</f>
        <v>9</v>
      </c>
      <c r="F400" t="s">
        <v>34</v>
      </c>
      <c r="G400">
        <v>-85.135199999999998</v>
      </c>
      <c r="H400">
        <v>73.251099999999994</v>
      </c>
      <c r="I400">
        <v>259</v>
      </c>
      <c r="J400" t="s">
        <v>17</v>
      </c>
      <c r="K400">
        <v>26.6</v>
      </c>
      <c r="L400">
        <v>53</v>
      </c>
      <c r="M400" t="s">
        <v>28</v>
      </c>
      <c r="N400">
        <v>28</v>
      </c>
      <c r="O400">
        <v>118</v>
      </c>
      <c r="P400">
        <v>4</v>
      </c>
      <c r="Q400" t="s">
        <v>27</v>
      </c>
      <c r="R400">
        <v>60.2</v>
      </c>
      <c r="S400">
        <v>249</v>
      </c>
      <c r="T400">
        <v>1</v>
      </c>
      <c r="U400" t="str" cm="1">
        <f t="array" ref="U400">_xlfn.IFS(smart_dataset[[#This Row],[Waiting_Time]]&lt;=20,"Low",smart_dataset[[#This Row],[Waiting_Time]]&lt;=40,"Medium",TRUE,"High")</f>
        <v>Medium</v>
      </c>
      <c r="V400" t="str" cm="1">
        <f t="array" ref="V400">_xlfn.IFS(smart_dataset[[#This Row],[Temperature]]&lt;=20,"Cold",smart_dataset[[#This Row],[Temperature]]&lt;=28,"Normal",TRUE,"Hot")</f>
        <v>Normal</v>
      </c>
      <c r="W400" t="str" cm="1">
        <f t="array" ref="W400">_xlfn.IFS(smart_dataset[[#This Row],[Asset_Utilization]]&lt;=75,"Low",smart_dataset[[#This Row],[Asset_Utilization]]&lt;=90,"Medium",TRUE,"High")</f>
        <v>Low</v>
      </c>
    </row>
    <row r="401" spans="1:23" hidden="1" x14ac:dyDescent="0.25">
      <c r="A401" s="1">
        <v>45567.909201388888</v>
      </c>
      <c r="B401" s="1">
        <f>INT(smart_dataset[[#This Row],[Timestamp]])</f>
        <v>45567</v>
      </c>
      <c r="C401" s="1">
        <f>MOD(smart_dataset[[#This Row],[Timestamp]],1)</f>
        <v>0.90920138888759539</v>
      </c>
      <c r="D401" s="1">
        <f>YEAR(smart_dataset[[#This Row],[Date]])</f>
        <v>2024</v>
      </c>
      <c r="E401" s="1">
        <f>MONTH(smart_dataset[[#This Row],[Timestamp]])</f>
        <v>10</v>
      </c>
      <c r="F401" t="s">
        <v>33</v>
      </c>
      <c r="G401">
        <v>-1.28</v>
      </c>
      <c r="H401">
        <v>1.0167999999999999</v>
      </c>
      <c r="I401">
        <v>463</v>
      </c>
      <c r="J401" t="s">
        <v>21</v>
      </c>
      <c r="K401">
        <v>19.8</v>
      </c>
      <c r="L401">
        <v>54.5</v>
      </c>
      <c r="M401" t="s">
        <v>22</v>
      </c>
      <c r="N401">
        <v>12</v>
      </c>
      <c r="O401">
        <v>408</v>
      </c>
      <c r="P401">
        <v>8</v>
      </c>
      <c r="Q401" t="s">
        <v>27</v>
      </c>
      <c r="R401">
        <v>71.2</v>
      </c>
      <c r="S401">
        <v>229</v>
      </c>
      <c r="T401">
        <v>1</v>
      </c>
      <c r="U401" t="str" cm="1">
        <f t="array" ref="U401">_xlfn.IFS(smart_dataset[[#This Row],[Waiting_Time]]&lt;=20,"Low",smart_dataset[[#This Row],[Waiting_Time]]&lt;=40,"Medium",TRUE,"High")</f>
        <v>Low</v>
      </c>
      <c r="V401" t="str" cm="1">
        <f t="array" ref="V401">_xlfn.IFS(smart_dataset[[#This Row],[Temperature]]&lt;=20,"Cold",smart_dataset[[#This Row],[Temperature]]&lt;=28,"Normal",TRUE,"Hot")</f>
        <v>Cold</v>
      </c>
      <c r="W401" t="str" cm="1">
        <f t="array" ref="W401">_xlfn.IFS(smart_dataset[[#This Row],[Asset_Utilization]]&lt;=75,"Low",smart_dataset[[#This Row],[Asset_Utilization]]&lt;=90,"Medium",TRUE,"High")</f>
        <v>Low</v>
      </c>
    </row>
    <row r="402" spans="1:23" hidden="1" x14ac:dyDescent="0.25">
      <c r="A402" s="1">
        <v>45417.237615740742</v>
      </c>
      <c r="B402" s="1">
        <f>INT(smart_dataset[[#This Row],[Timestamp]])</f>
        <v>45417</v>
      </c>
      <c r="C402" s="1">
        <f>MOD(smart_dataset[[#This Row],[Timestamp]],1)</f>
        <v>0.23761574074160308</v>
      </c>
      <c r="D402" s="1">
        <f>YEAR(smart_dataset[[#This Row],[Date]])</f>
        <v>2024</v>
      </c>
      <c r="E402" s="1">
        <f>MONTH(smart_dataset[[#This Row],[Timestamp]])</f>
        <v>5</v>
      </c>
      <c r="F402" t="s">
        <v>24</v>
      </c>
      <c r="G402">
        <v>45.261699999999998</v>
      </c>
      <c r="H402">
        <v>-152.39519999999999</v>
      </c>
      <c r="I402">
        <v>290</v>
      </c>
      <c r="J402" t="s">
        <v>26</v>
      </c>
      <c r="K402">
        <v>23.7</v>
      </c>
      <c r="L402">
        <v>53.5</v>
      </c>
      <c r="M402" t="s">
        <v>18</v>
      </c>
      <c r="N402">
        <v>44</v>
      </c>
      <c r="O402">
        <v>237</v>
      </c>
      <c r="P402">
        <v>5</v>
      </c>
      <c r="Q402" t="s">
        <v>31</v>
      </c>
      <c r="R402">
        <v>85.8</v>
      </c>
      <c r="S402">
        <v>270</v>
      </c>
      <c r="T402">
        <v>0</v>
      </c>
      <c r="U402" t="str" cm="1">
        <f t="array" ref="U402">_xlfn.IFS(smart_dataset[[#This Row],[Waiting_Time]]&lt;=20,"Low",smart_dataset[[#This Row],[Waiting_Time]]&lt;=40,"Medium",TRUE,"High")</f>
        <v>High</v>
      </c>
      <c r="V402" t="str" cm="1">
        <f t="array" ref="V402">_xlfn.IFS(smart_dataset[[#This Row],[Temperature]]&lt;=20,"Cold",smart_dataset[[#This Row],[Temperature]]&lt;=28,"Normal",TRUE,"Hot")</f>
        <v>Normal</v>
      </c>
      <c r="W402" t="str" cm="1">
        <f t="array" ref="W402">_xlfn.IFS(smart_dataset[[#This Row],[Asset_Utilization]]&lt;=75,"Low",smart_dataset[[#This Row],[Asset_Utilization]]&lt;=90,"Medium",TRUE,"High")</f>
        <v>Medium</v>
      </c>
    </row>
    <row r="403" spans="1:23" hidden="1" x14ac:dyDescent="0.25">
      <c r="A403" s="1">
        <v>45433.106585648151</v>
      </c>
      <c r="B403" s="1">
        <f>INT(smart_dataset[[#This Row],[Timestamp]])</f>
        <v>45433</v>
      </c>
      <c r="C403" s="1">
        <f>MOD(smart_dataset[[#This Row],[Timestamp]],1)</f>
        <v>0.10658564815093996</v>
      </c>
      <c r="D403" s="1">
        <f>YEAR(smart_dataset[[#This Row],[Date]])</f>
        <v>2024</v>
      </c>
      <c r="E403" s="1">
        <f>MONTH(smart_dataset[[#This Row],[Timestamp]])</f>
        <v>5</v>
      </c>
      <c r="F403" t="s">
        <v>32</v>
      </c>
      <c r="G403">
        <v>-14.7713</v>
      </c>
      <c r="H403">
        <v>-117.3565</v>
      </c>
      <c r="I403">
        <v>345</v>
      </c>
      <c r="J403" t="s">
        <v>17</v>
      </c>
      <c r="K403">
        <v>21.3</v>
      </c>
      <c r="L403">
        <v>53.6</v>
      </c>
      <c r="M403" t="s">
        <v>28</v>
      </c>
      <c r="N403">
        <v>35</v>
      </c>
      <c r="O403">
        <v>388</v>
      </c>
      <c r="P403">
        <v>4</v>
      </c>
      <c r="Q403" t="s">
        <v>23</v>
      </c>
      <c r="R403">
        <v>83.5</v>
      </c>
      <c r="S403">
        <v>159</v>
      </c>
      <c r="T403">
        <v>1</v>
      </c>
      <c r="U403" t="str" cm="1">
        <f t="array" ref="U403">_xlfn.IFS(smart_dataset[[#This Row],[Waiting_Time]]&lt;=20,"Low",smart_dataset[[#This Row],[Waiting_Time]]&lt;=40,"Medium",TRUE,"High")</f>
        <v>Medium</v>
      </c>
      <c r="V403" t="str" cm="1">
        <f t="array" ref="V403">_xlfn.IFS(smart_dataset[[#This Row],[Temperature]]&lt;=20,"Cold",smart_dataset[[#This Row],[Temperature]]&lt;=28,"Normal",TRUE,"Hot")</f>
        <v>Normal</v>
      </c>
      <c r="W403" t="str" cm="1">
        <f t="array" ref="W403">_xlfn.IFS(smart_dataset[[#This Row],[Asset_Utilization]]&lt;=75,"Low",smart_dataset[[#This Row],[Asset_Utilization]]&lt;=90,"Medium",TRUE,"High")</f>
        <v>Medium</v>
      </c>
    </row>
    <row r="404" spans="1:23" hidden="1" x14ac:dyDescent="0.25">
      <c r="A404" s="1">
        <v>45366.930104166669</v>
      </c>
      <c r="B404" s="1">
        <f>INT(smart_dataset[[#This Row],[Timestamp]])</f>
        <v>45366</v>
      </c>
      <c r="C404" s="1">
        <f>MOD(smart_dataset[[#This Row],[Timestamp]],1)</f>
        <v>0.93010416666948004</v>
      </c>
      <c r="D404" s="1">
        <f>YEAR(smart_dataset[[#This Row],[Date]])</f>
        <v>2024</v>
      </c>
      <c r="E404" s="1">
        <f>MONTH(smart_dataset[[#This Row],[Timestamp]])</f>
        <v>3</v>
      </c>
      <c r="F404" t="s">
        <v>20</v>
      </c>
      <c r="G404">
        <v>51.422499999999999</v>
      </c>
      <c r="H404">
        <v>112.33620000000001</v>
      </c>
      <c r="I404">
        <v>165</v>
      </c>
      <c r="J404" t="s">
        <v>17</v>
      </c>
      <c r="K404">
        <v>25.6</v>
      </c>
      <c r="L404">
        <v>61.7</v>
      </c>
      <c r="M404" t="s">
        <v>18</v>
      </c>
      <c r="N404">
        <v>50</v>
      </c>
      <c r="O404">
        <v>149</v>
      </c>
      <c r="P404">
        <v>10</v>
      </c>
      <c r="Q404" t="s">
        <v>27</v>
      </c>
      <c r="R404">
        <v>62.6</v>
      </c>
      <c r="S404">
        <v>252</v>
      </c>
      <c r="T404">
        <v>1</v>
      </c>
      <c r="U404" t="str" cm="1">
        <f t="array" ref="U404">_xlfn.IFS(smart_dataset[[#This Row],[Waiting_Time]]&lt;=20,"Low",smart_dataset[[#This Row],[Waiting_Time]]&lt;=40,"Medium",TRUE,"High")</f>
        <v>High</v>
      </c>
      <c r="V404" t="str" cm="1">
        <f t="array" ref="V404">_xlfn.IFS(smart_dataset[[#This Row],[Temperature]]&lt;=20,"Cold",smart_dataset[[#This Row],[Temperature]]&lt;=28,"Normal",TRUE,"Hot")</f>
        <v>Normal</v>
      </c>
      <c r="W404" t="str" cm="1">
        <f t="array" ref="W404">_xlfn.IFS(smart_dataset[[#This Row],[Asset_Utilization]]&lt;=75,"Low",smart_dataset[[#This Row],[Asset_Utilization]]&lt;=90,"Medium",TRUE,"High")</f>
        <v>Low</v>
      </c>
    </row>
    <row r="405" spans="1:23" hidden="1" x14ac:dyDescent="0.25">
      <c r="A405" s="1">
        <v>45329.823495370372</v>
      </c>
      <c r="B405" s="1">
        <f>INT(smart_dataset[[#This Row],[Timestamp]])</f>
        <v>45329</v>
      </c>
      <c r="C405" s="1">
        <f>MOD(smart_dataset[[#This Row],[Timestamp]],1)</f>
        <v>0.82349537037225673</v>
      </c>
      <c r="D405" s="1">
        <f>YEAR(smart_dataset[[#This Row],[Date]])</f>
        <v>2024</v>
      </c>
      <c r="E405" s="1">
        <f>MONTH(smart_dataset[[#This Row],[Timestamp]])</f>
        <v>2</v>
      </c>
      <c r="F405" t="s">
        <v>33</v>
      </c>
      <c r="G405">
        <v>-15.299099999999999</v>
      </c>
      <c r="H405">
        <v>-95.011200000000002</v>
      </c>
      <c r="I405">
        <v>259</v>
      </c>
      <c r="J405" t="s">
        <v>21</v>
      </c>
      <c r="K405">
        <v>27</v>
      </c>
      <c r="L405">
        <v>79.7</v>
      </c>
      <c r="M405" t="s">
        <v>22</v>
      </c>
      <c r="N405">
        <v>15</v>
      </c>
      <c r="O405">
        <v>167</v>
      </c>
      <c r="P405">
        <v>9</v>
      </c>
      <c r="Q405" t="s">
        <v>27</v>
      </c>
      <c r="R405">
        <v>88.6</v>
      </c>
      <c r="S405">
        <v>147</v>
      </c>
      <c r="T405">
        <v>1</v>
      </c>
      <c r="U405" t="str" cm="1">
        <f t="array" ref="U405">_xlfn.IFS(smart_dataset[[#This Row],[Waiting_Time]]&lt;=20,"Low",smart_dataset[[#This Row],[Waiting_Time]]&lt;=40,"Medium",TRUE,"High")</f>
        <v>Low</v>
      </c>
      <c r="V405" t="str" cm="1">
        <f t="array" ref="V405">_xlfn.IFS(smart_dataset[[#This Row],[Temperature]]&lt;=20,"Cold",smart_dataset[[#This Row],[Temperature]]&lt;=28,"Normal",TRUE,"Hot")</f>
        <v>Normal</v>
      </c>
      <c r="W405" t="str" cm="1">
        <f t="array" ref="W405">_xlfn.IFS(smart_dataset[[#This Row],[Asset_Utilization]]&lt;=75,"Low",smart_dataset[[#This Row],[Asset_Utilization]]&lt;=90,"Medium",TRUE,"High")</f>
        <v>Medium</v>
      </c>
    </row>
    <row r="406" spans="1:23" hidden="1" x14ac:dyDescent="0.25">
      <c r="A406" s="1">
        <v>45423.221365740741</v>
      </c>
      <c r="B406" s="1">
        <f>INT(smart_dataset[[#This Row],[Timestamp]])</f>
        <v>45423</v>
      </c>
      <c r="C406" s="1">
        <f>MOD(smart_dataset[[#This Row],[Timestamp]],1)</f>
        <v>0.221365740741021</v>
      </c>
      <c r="D406" s="1">
        <f>YEAR(smart_dataset[[#This Row],[Date]])</f>
        <v>2024</v>
      </c>
      <c r="E406" s="1">
        <f>MONTH(smart_dataset[[#This Row],[Timestamp]])</f>
        <v>5</v>
      </c>
      <c r="F406" t="s">
        <v>16</v>
      </c>
      <c r="G406">
        <v>86.6678</v>
      </c>
      <c r="H406">
        <v>-139.69550000000001</v>
      </c>
      <c r="I406">
        <v>330</v>
      </c>
      <c r="J406" t="s">
        <v>26</v>
      </c>
      <c r="K406">
        <v>26.9</v>
      </c>
      <c r="L406">
        <v>62.9</v>
      </c>
      <c r="M406" t="s">
        <v>18</v>
      </c>
      <c r="N406">
        <v>47</v>
      </c>
      <c r="O406">
        <v>382</v>
      </c>
      <c r="P406">
        <v>6</v>
      </c>
      <c r="Q406" t="s">
        <v>23</v>
      </c>
      <c r="R406">
        <v>90.3</v>
      </c>
      <c r="S406">
        <v>115</v>
      </c>
      <c r="T406">
        <v>0</v>
      </c>
      <c r="U406" t="str" cm="1">
        <f t="array" ref="U406">_xlfn.IFS(smart_dataset[[#This Row],[Waiting_Time]]&lt;=20,"Low",smart_dataset[[#This Row],[Waiting_Time]]&lt;=40,"Medium",TRUE,"High")</f>
        <v>High</v>
      </c>
      <c r="V406" t="str" cm="1">
        <f t="array" ref="V406">_xlfn.IFS(smart_dataset[[#This Row],[Temperature]]&lt;=20,"Cold",smart_dataset[[#This Row],[Temperature]]&lt;=28,"Normal",TRUE,"Hot")</f>
        <v>Normal</v>
      </c>
      <c r="W406" t="str" cm="1">
        <f t="array" ref="W406">_xlfn.IFS(smart_dataset[[#This Row],[Asset_Utilization]]&lt;=75,"Low",smart_dataset[[#This Row],[Asset_Utilization]]&lt;=90,"Medium",TRUE,"High")</f>
        <v>High</v>
      </c>
    </row>
    <row r="407" spans="1:23" hidden="1" x14ac:dyDescent="0.25">
      <c r="A407" s="1">
        <v>45322.23028935185</v>
      </c>
      <c r="B407" s="1">
        <f>INT(smart_dataset[[#This Row],[Timestamp]])</f>
        <v>45322</v>
      </c>
      <c r="C407" s="1">
        <f>MOD(smart_dataset[[#This Row],[Timestamp]],1)</f>
        <v>0.23028935184993315</v>
      </c>
      <c r="D407" s="1">
        <f>YEAR(smart_dataset[[#This Row],[Date]])</f>
        <v>2024</v>
      </c>
      <c r="E407" s="1">
        <f>MONTH(smart_dataset[[#This Row],[Timestamp]])</f>
        <v>1</v>
      </c>
      <c r="F407" t="s">
        <v>34</v>
      </c>
      <c r="G407">
        <v>44.544199999999996</v>
      </c>
      <c r="H407">
        <v>-73.434600000000003</v>
      </c>
      <c r="I407">
        <v>467</v>
      </c>
      <c r="J407" t="s">
        <v>26</v>
      </c>
      <c r="K407">
        <v>19.3</v>
      </c>
      <c r="L407">
        <v>62.1</v>
      </c>
      <c r="M407" t="s">
        <v>18</v>
      </c>
      <c r="N407">
        <v>39</v>
      </c>
      <c r="O407">
        <v>180</v>
      </c>
      <c r="P407">
        <v>8</v>
      </c>
      <c r="Q407" t="s">
        <v>31</v>
      </c>
      <c r="R407">
        <v>63.8</v>
      </c>
      <c r="S407">
        <v>145</v>
      </c>
      <c r="T407">
        <v>0</v>
      </c>
      <c r="U407" t="str" cm="1">
        <f t="array" ref="U407">_xlfn.IFS(smart_dataset[[#This Row],[Waiting_Time]]&lt;=20,"Low",smart_dataset[[#This Row],[Waiting_Time]]&lt;=40,"Medium",TRUE,"High")</f>
        <v>Medium</v>
      </c>
      <c r="V407" t="str" cm="1">
        <f t="array" ref="V407">_xlfn.IFS(smart_dataset[[#This Row],[Temperature]]&lt;=20,"Cold",smart_dataset[[#This Row],[Temperature]]&lt;=28,"Normal",TRUE,"Hot")</f>
        <v>Cold</v>
      </c>
      <c r="W407" t="str" cm="1">
        <f t="array" ref="W407">_xlfn.IFS(smart_dataset[[#This Row],[Asset_Utilization]]&lt;=75,"Low",smart_dataset[[#This Row],[Asset_Utilization]]&lt;=90,"Medium",TRUE,"High")</f>
        <v>Low</v>
      </c>
    </row>
    <row r="408" spans="1:23" hidden="1" x14ac:dyDescent="0.25">
      <c r="A408" s="1">
        <v>45597.061203703706</v>
      </c>
      <c r="B408" s="1">
        <f>INT(smart_dataset[[#This Row],[Timestamp]])</f>
        <v>45597</v>
      </c>
      <c r="C408" s="1">
        <f>MOD(smart_dataset[[#This Row],[Timestamp]],1)</f>
        <v>6.1203703706269152E-2</v>
      </c>
      <c r="D408" s="1">
        <f>YEAR(smart_dataset[[#This Row],[Date]])</f>
        <v>2024</v>
      </c>
      <c r="E408" s="1">
        <f>MONTH(smart_dataset[[#This Row],[Timestamp]])</f>
        <v>11</v>
      </c>
      <c r="F408" t="s">
        <v>33</v>
      </c>
      <c r="G408">
        <v>-48.450299999999999</v>
      </c>
      <c r="H408">
        <v>-99.997799999999998</v>
      </c>
      <c r="I408">
        <v>329</v>
      </c>
      <c r="J408" t="s">
        <v>21</v>
      </c>
      <c r="K408">
        <v>26.7</v>
      </c>
      <c r="L408">
        <v>56.2</v>
      </c>
      <c r="M408" t="s">
        <v>18</v>
      </c>
      <c r="N408">
        <v>16</v>
      </c>
      <c r="O408">
        <v>261</v>
      </c>
      <c r="P408">
        <v>9</v>
      </c>
      <c r="Q408" t="s">
        <v>27</v>
      </c>
      <c r="R408">
        <v>90.7</v>
      </c>
      <c r="S408">
        <v>104</v>
      </c>
      <c r="T408">
        <v>0</v>
      </c>
      <c r="U408" t="str" cm="1">
        <f t="array" ref="U408">_xlfn.IFS(smart_dataset[[#This Row],[Waiting_Time]]&lt;=20,"Low",smart_dataset[[#This Row],[Waiting_Time]]&lt;=40,"Medium",TRUE,"High")</f>
        <v>Low</v>
      </c>
      <c r="V408" t="str" cm="1">
        <f t="array" ref="V408">_xlfn.IFS(smart_dataset[[#This Row],[Temperature]]&lt;=20,"Cold",smart_dataset[[#This Row],[Temperature]]&lt;=28,"Normal",TRUE,"Hot")</f>
        <v>Normal</v>
      </c>
      <c r="W408" t="str" cm="1">
        <f t="array" ref="W408">_xlfn.IFS(smart_dataset[[#This Row],[Asset_Utilization]]&lt;=75,"Low",smart_dataset[[#This Row],[Asset_Utilization]]&lt;=90,"Medium",TRUE,"High")</f>
        <v>High</v>
      </c>
    </row>
    <row r="409" spans="1:23" hidden="1" x14ac:dyDescent="0.25">
      <c r="A409" s="1">
        <v>45354.178483796299</v>
      </c>
      <c r="B409" s="1">
        <f>INT(smart_dataset[[#This Row],[Timestamp]])</f>
        <v>45354</v>
      </c>
      <c r="C409" s="1">
        <f>MOD(smart_dataset[[#This Row],[Timestamp]],1)</f>
        <v>0.1784837962986785</v>
      </c>
      <c r="D409" s="1">
        <f>YEAR(smart_dataset[[#This Row],[Date]])</f>
        <v>2024</v>
      </c>
      <c r="E409" s="1">
        <f>MONTH(smart_dataset[[#This Row],[Timestamp]])</f>
        <v>3</v>
      </c>
      <c r="F409" t="s">
        <v>25</v>
      </c>
      <c r="G409">
        <v>-37.3934</v>
      </c>
      <c r="H409">
        <v>31.409300000000002</v>
      </c>
      <c r="I409">
        <v>122</v>
      </c>
      <c r="J409" t="s">
        <v>26</v>
      </c>
      <c r="K409">
        <v>22.9</v>
      </c>
      <c r="L409">
        <v>64</v>
      </c>
      <c r="M409" t="s">
        <v>22</v>
      </c>
      <c r="N409">
        <v>24</v>
      </c>
      <c r="O409">
        <v>409</v>
      </c>
      <c r="P409">
        <v>5</v>
      </c>
      <c r="Q409" t="s">
        <v>31</v>
      </c>
      <c r="R409">
        <v>99.7</v>
      </c>
      <c r="S409">
        <v>184</v>
      </c>
      <c r="T409">
        <v>1</v>
      </c>
      <c r="U409" t="str" cm="1">
        <f t="array" ref="U409">_xlfn.IFS(smart_dataset[[#This Row],[Waiting_Time]]&lt;=20,"Low",smart_dataset[[#This Row],[Waiting_Time]]&lt;=40,"Medium",TRUE,"High")</f>
        <v>Medium</v>
      </c>
      <c r="V409" t="str" cm="1">
        <f t="array" ref="V409">_xlfn.IFS(smart_dataset[[#This Row],[Temperature]]&lt;=20,"Cold",smart_dataset[[#This Row],[Temperature]]&lt;=28,"Normal",TRUE,"Hot")</f>
        <v>Normal</v>
      </c>
      <c r="W409" t="str" cm="1">
        <f t="array" ref="W409">_xlfn.IFS(smart_dataset[[#This Row],[Asset_Utilization]]&lt;=75,"Low",smart_dataset[[#This Row],[Asset_Utilization]]&lt;=90,"Medium",TRUE,"High")</f>
        <v>High</v>
      </c>
    </row>
    <row r="410" spans="1:23" x14ac:dyDescent="0.25">
      <c r="A410" s="1">
        <v>45360.007337962961</v>
      </c>
      <c r="B410" s="1">
        <f>INT(smart_dataset[[#This Row],[Timestamp]])</f>
        <v>45360</v>
      </c>
      <c r="C410" s="7">
        <f>MOD(smart_dataset[[#This Row],[Timestamp]],1)</f>
        <v>7.3379629611736163E-3</v>
      </c>
      <c r="D410">
        <f>YEAR(smart_dataset[[#This Row],[Date]])</f>
        <v>2024</v>
      </c>
      <c r="E410">
        <f>MONTH(smart_dataset[[#This Row],[Timestamp]])</f>
        <v>3</v>
      </c>
      <c r="F410" t="s">
        <v>33</v>
      </c>
      <c r="G410">
        <v>34.071199999999997</v>
      </c>
      <c r="H410">
        <v>123.02370000000001</v>
      </c>
      <c r="I410">
        <v>146</v>
      </c>
      <c r="J410" t="s">
        <v>21</v>
      </c>
      <c r="K410">
        <v>24.2</v>
      </c>
      <c r="L410">
        <v>69.099999999999994</v>
      </c>
      <c r="M410" t="s">
        <v>28</v>
      </c>
      <c r="N410">
        <v>58</v>
      </c>
      <c r="O410">
        <v>301</v>
      </c>
      <c r="P410">
        <v>2</v>
      </c>
      <c r="Q410" t="s">
        <v>19</v>
      </c>
      <c r="R410">
        <v>82</v>
      </c>
      <c r="S410">
        <v>238</v>
      </c>
      <c r="T410">
        <v>0</v>
      </c>
      <c r="U410" t="str" cm="1">
        <f t="array" ref="U410">_xlfn.IFS(smart_dataset[[#This Row],[Waiting_Time]]&lt;=20,"Low",smart_dataset[[#This Row],[Waiting_Time]]&lt;=40,"Medium",TRUE,"High")</f>
        <v>High</v>
      </c>
      <c r="V410" t="str" cm="1">
        <f t="array" ref="V410">_xlfn.IFS(smart_dataset[[#This Row],[Temperature]]&lt;=20,"Cold",smart_dataset[[#This Row],[Temperature]]&lt;=28,"Normal",TRUE,"Hot")</f>
        <v>Normal</v>
      </c>
      <c r="W410" t="str" cm="1">
        <f t="array" ref="W410">_xlfn.IFS(smart_dataset[[#This Row],[Asset_Utilization]]&lt;=75,"Low",smart_dataset[[#This Row],[Asset_Utilization]]&lt;=90,"Medium",TRUE,"High")</f>
        <v>Medium</v>
      </c>
    </row>
    <row r="411" spans="1:23" x14ac:dyDescent="0.25">
      <c r="A411" s="1">
        <v>45399.728148148148</v>
      </c>
      <c r="B411" s="1">
        <f>INT(smart_dataset[[#This Row],[Timestamp]])</f>
        <v>45399</v>
      </c>
      <c r="C411" s="7">
        <f>MOD(smart_dataset[[#This Row],[Timestamp]],1)</f>
        <v>0.72814814814773854</v>
      </c>
      <c r="D411">
        <f>YEAR(smart_dataset[[#This Row],[Date]])</f>
        <v>2024</v>
      </c>
      <c r="E411">
        <f>MONTH(smart_dataset[[#This Row],[Timestamp]])</f>
        <v>4</v>
      </c>
      <c r="F411" t="s">
        <v>24</v>
      </c>
      <c r="G411">
        <v>-21.563300000000002</v>
      </c>
      <c r="H411">
        <v>-12.848699999999999</v>
      </c>
      <c r="I411">
        <v>419</v>
      </c>
      <c r="J411" t="s">
        <v>26</v>
      </c>
      <c r="K411">
        <v>26.1</v>
      </c>
      <c r="L411">
        <v>62</v>
      </c>
      <c r="M411" t="s">
        <v>22</v>
      </c>
      <c r="N411">
        <v>19</v>
      </c>
      <c r="O411">
        <v>484</v>
      </c>
      <c r="P411">
        <v>8</v>
      </c>
      <c r="Q411" t="s">
        <v>19</v>
      </c>
      <c r="R411">
        <v>96.4</v>
      </c>
      <c r="S411">
        <v>262</v>
      </c>
      <c r="T411">
        <v>1</v>
      </c>
      <c r="U411" t="str" cm="1">
        <f t="array" ref="U411">_xlfn.IFS(smart_dataset[[#This Row],[Waiting_Time]]&lt;=20,"Low",smart_dataset[[#This Row],[Waiting_Time]]&lt;=40,"Medium",TRUE,"High")</f>
        <v>Low</v>
      </c>
      <c r="V411" t="str" cm="1">
        <f t="array" ref="V411">_xlfn.IFS(smart_dataset[[#This Row],[Temperature]]&lt;=20,"Cold",smart_dataset[[#This Row],[Temperature]]&lt;=28,"Normal",TRUE,"Hot")</f>
        <v>Normal</v>
      </c>
      <c r="W411" t="str" cm="1">
        <f t="array" ref="W411">_xlfn.IFS(smart_dataset[[#This Row],[Asset_Utilization]]&lt;=75,"Low",smart_dataset[[#This Row],[Asset_Utilization]]&lt;=90,"Medium",TRUE,"High")</f>
        <v>High</v>
      </c>
    </row>
    <row r="412" spans="1:23" x14ac:dyDescent="0.25">
      <c r="A412" s="1">
        <v>45556.439641203702</v>
      </c>
      <c r="B412" s="1">
        <f>INT(smart_dataset[[#This Row],[Timestamp]])</f>
        <v>45556</v>
      </c>
      <c r="C412" s="7">
        <f>MOD(smart_dataset[[#This Row],[Timestamp]],1)</f>
        <v>0.43964120370219462</v>
      </c>
      <c r="D412">
        <f>YEAR(smart_dataset[[#This Row],[Date]])</f>
        <v>2024</v>
      </c>
      <c r="E412">
        <f>MONTH(smart_dataset[[#This Row],[Timestamp]])</f>
        <v>9</v>
      </c>
      <c r="F412" t="s">
        <v>16</v>
      </c>
      <c r="G412">
        <v>-33.375599999999999</v>
      </c>
      <c r="H412">
        <v>7.8261000000000003</v>
      </c>
      <c r="I412">
        <v>143</v>
      </c>
      <c r="J412" t="s">
        <v>21</v>
      </c>
      <c r="K412">
        <v>20.100000000000001</v>
      </c>
      <c r="L412">
        <v>57</v>
      </c>
      <c r="M412" t="s">
        <v>18</v>
      </c>
      <c r="N412">
        <v>41</v>
      </c>
      <c r="O412">
        <v>143</v>
      </c>
      <c r="P412">
        <v>9</v>
      </c>
      <c r="Q412" t="s">
        <v>19</v>
      </c>
      <c r="R412">
        <v>62.1</v>
      </c>
      <c r="S412">
        <v>106</v>
      </c>
      <c r="T412">
        <v>0</v>
      </c>
      <c r="U412" t="str" cm="1">
        <f t="array" ref="U412">_xlfn.IFS(smart_dataset[[#This Row],[Waiting_Time]]&lt;=20,"Low",smart_dataset[[#This Row],[Waiting_Time]]&lt;=40,"Medium",TRUE,"High")</f>
        <v>High</v>
      </c>
      <c r="V412" t="str" cm="1">
        <f t="array" ref="V412">_xlfn.IFS(smart_dataset[[#This Row],[Temperature]]&lt;=20,"Cold",smart_dataset[[#This Row],[Temperature]]&lt;=28,"Normal",TRUE,"Hot")</f>
        <v>Normal</v>
      </c>
      <c r="W412" t="str" cm="1">
        <f t="array" ref="W412">_xlfn.IFS(smart_dataset[[#This Row],[Asset_Utilization]]&lt;=75,"Low",smart_dataset[[#This Row],[Asset_Utilization]]&lt;=90,"Medium",TRUE,"High")</f>
        <v>Low</v>
      </c>
    </row>
    <row r="413" spans="1:23" hidden="1" x14ac:dyDescent="0.25">
      <c r="A413" s="1">
        <v>45333.438773148147</v>
      </c>
      <c r="B413" s="1">
        <f>INT(smart_dataset[[#This Row],[Timestamp]])</f>
        <v>45333</v>
      </c>
      <c r="C413" s="1">
        <f>MOD(smart_dataset[[#This Row],[Timestamp]],1)</f>
        <v>0.4387731481474475</v>
      </c>
      <c r="D413" s="1">
        <f>YEAR(smart_dataset[[#This Row],[Date]])</f>
        <v>2024</v>
      </c>
      <c r="E413" s="1">
        <f>MONTH(smart_dataset[[#This Row],[Timestamp]])</f>
        <v>2</v>
      </c>
      <c r="F413" t="s">
        <v>24</v>
      </c>
      <c r="G413">
        <v>-61.848999999999997</v>
      </c>
      <c r="H413">
        <v>-123.7835</v>
      </c>
      <c r="I413">
        <v>445</v>
      </c>
      <c r="J413" t="s">
        <v>26</v>
      </c>
      <c r="K413">
        <v>19.8</v>
      </c>
      <c r="L413">
        <v>54.1</v>
      </c>
      <c r="M413" t="s">
        <v>28</v>
      </c>
      <c r="N413">
        <v>39</v>
      </c>
      <c r="O413">
        <v>375</v>
      </c>
      <c r="P413">
        <v>2</v>
      </c>
      <c r="Q413" t="s">
        <v>23</v>
      </c>
      <c r="R413">
        <v>88.3</v>
      </c>
      <c r="S413">
        <v>247</v>
      </c>
      <c r="T413">
        <v>0</v>
      </c>
      <c r="U413" t="str" cm="1">
        <f t="array" ref="U413">_xlfn.IFS(smart_dataset[[#This Row],[Waiting_Time]]&lt;=20,"Low",smart_dataset[[#This Row],[Waiting_Time]]&lt;=40,"Medium",TRUE,"High")</f>
        <v>Medium</v>
      </c>
      <c r="V413" t="str" cm="1">
        <f t="array" ref="V413">_xlfn.IFS(smart_dataset[[#This Row],[Temperature]]&lt;=20,"Cold",smart_dataset[[#This Row],[Temperature]]&lt;=28,"Normal",TRUE,"Hot")</f>
        <v>Cold</v>
      </c>
      <c r="W413" t="str" cm="1">
        <f t="array" ref="W413">_xlfn.IFS(smart_dataset[[#This Row],[Asset_Utilization]]&lt;=75,"Low",smart_dataset[[#This Row],[Asset_Utilization]]&lt;=90,"Medium",TRUE,"High")</f>
        <v>Medium</v>
      </c>
    </row>
    <row r="414" spans="1:23" hidden="1" x14ac:dyDescent="0.25">
      <c r="A414" s="1">
        <v>45458.499756944446</v>
      </c>
      <c r="B414" s="1">
        <f>INT(smart_dataset[[#This Row],[Timestamp]])</f>
        <v>45458</v>
      </c>
      <c r="C414" s="1">
        <f>MOD(smart_dataset[[#This Row],[Timestamp]],1)</f>
        <v>0.49975694444583496</v>
      </c>
      <c r="D414" s="1">
        <f>YEAR(smart_dataset[[#This Row],[Date]])</f>
        <v>2024</v>
      </c>
      <c r="E414" s="1">
        <f>MONTH(smart_dataset[[#This Row],[Timestamp]])</f>
        <v>6</v>
      </c>
      <c r="F414" t="s">
        <v>34</v>
      </c>
      <c r="G414">
        <v>88.568600000000004</v>
      </c>
      <c r="H414">
        <v>-161.73820000000001</v>
      </c>
      <c r="I414">
        <v>450</v>
      </c>
      <c r="J414" t="s">
        <v>17</v>
      </c>
      <c r="K414">
        <v>18.7</v>
      </c>
      <c r="L414">
        <v>56.4</v>
      </c>
      <c r="M414" t="s">
        <v>18</v>
      </c>
      <c r="N414">
        <v>12</v>
      </c>
      <c r="O414">
        <v>140</v>
      </c>
      <c r="P414">
        <v>8</v>
      </c>
      <c r="Q414" t="s">
        <v>31</v>
      </c>
      <c r="R414">
        <v>61.9</v>
      </c>
      <c r="S414">
        <v>160</v>
      </c>
      <c r="T414">
        <v>1</v>
      </c>
      <c r="U414" t="str" cm="1">
        <f t="array" ref="U414">_xlfn.IFS(smart_dataset[[#This Row],[Waiting_Time]]&lt;=20,"Low",smart_dataset[[#This Row],[Waiting_Time]]&lt;=40,"Medium",TRUE,"High")</f>
        <v>Low</v>
      </c>
      <c r="V414" t="str" cm="1">
        <f t="array" ref="V414">_xlfn.IFS(smart_dataset[[#This Row],[Temperature]]&lt;=20,"Cold",smart_dataset[[#This Row],[Temperature]]&lt;=28,"Normal",TRUE,"Hot")</f>
        <v>Cold</v>
      </c>
      <c r="W414" t="str" cm="1">
        <f t="array" ref="W414">_xlfn.IFS(smart_dataset[[#This Row],[Asset_Utilization]]&lt;=75,"Low",smart_dataset[[#This Row],[Asset_Utilization]]&lt;=90,"Medium",TRUE,"High")</f>
        <v>Low</v>
      </c>
    </row>
    <row r="415" spans="1:23" x14ac:dyDescent="0.25">
      <c r="A415" s="1">
        <v>45513.125393518516</v>
      </c>
      <c r="B415" s="1">
        <f>INT(smart_dataset[[#This Row],[Timestamp]])</f>
        <v>45513</v>
      </c>
      <c r="C415" s="7">
        <f>MOD(smart_dataset[[#This Row],[Timestamp]],1)</f>
        <v>0.12539351851592073</v>
      </c>
      <c r="D415">
        <f>YEAR(smart_dataset[[#This Row],[Date]])</f>
        <v>2024</v>
      </c>
      <c r="E415">
        <f>MONTH(smart_dataset[[#This Row],[Timestamp]])</f>
        <v>8</v>
      </c>
      <c r="F415" t="s">
        <v>30</v>
      </c>
      <c r="G415">
        <v>-69.408000000000001</v>
      </c>
      <c r="H415">
        <v>-8.1702999999999992</v>
      </c>
      <c r="I415">
        <v>451</v>
      </c>
      <c r="J415" t="s">
        <v>26</v>
      </c>
      <c r="K415">
        <v>22.5</v>
      </c>
      <c r="L415">
        <v>51.6</v>
      </c>
      <c r="M415" t="s">
        <v>18</v>
      </c>
      <c r="N415">
        <v>28</v>
      </c>
      <c r="O415">
        <v>421</v>
      </c>
      <c r="P415">
        <v>6</v>
      </c>
      <c r="Q415" t="s">
        <v>19</v>
      </c>
      <c r="R415">
        <v>68.8</v>
      </c>
      <c r="S415">
        <v>107</v>
      </c>
      <c r="T415">
        <v>0</v>
      </c>
      <c r="U415" t="str" cm="1">
        <f t="array" ref="U415">_xlfn.IFS(smart_dataset[[#This Row],[Waiting_Time]]&lt;=20,"Low",smart_dataset[[#This Row],[Waiting_Time]]&lt;=40,"Medium",TRUE,"High")</f>
        <v>Medium</v>
      </c>
      <c r="V415" t="str" cm="1">
        <f t="array" ref="V415">_xlfn.IFS(smart_dataset[[#This Row],[Temperature]]&lt;=20,"Cold",smart_dataset[[#This Row],[Temperature]]&lt;=28,"Normal",TRUE,"Hot")</f>
        <v>Normal</v>
      </c>
      <c r="W415" t="str" cm="1">
        <f t="array" ref="W415">_xlfn.IFS(smart_dataset[[#This Row],[Asset_Utilization]]&lt;=75,"Low",smart_dataset[[#This Row],[Asset_Utilization]]&lt;=90,"Medium",TRUE,"High")</f>
        <v>Low</v>
      </c>
    </row>
    <row r="416" spans="1:23" hidden="1" x14ac:dyDescent="0.25">
      <c r="A416" s="1">
        <v>45495.039120370369</v>
      </c>
      <c r="B416" s="1">
        <f>INT(smart_dataset[[#This Row],[Timestamp]])</f>
        <v>45495</v>
      </c>
      <c r="C416" s="1">
        <f>MOD(smart_dataset[[#This Row],[Timestamp]],1)</f>
        <v>3.9120370369346347E-2</v>
      </c>
      <c r="D416" s="1">
        <f>YEAR(smart_dataset[[#This Row],[Date]])</f>
        <v>2024</v>
      </c>
      <c r="E416" s="1">
        <f>MONTH(smart_dataset[[#This Row],[Timestamp]])</f>
        <v>7</v>
      </c>
      <c r="F416" t="s">
        <v>29</v>
      </c>
      <c r="G416">
        <v>-49.1524</v>
      </c>
      <c r="H416">
        <v>14.116400000000001</v>
      </c>
      <c r="I416">
        <v>425</v>
      </c>
      <c r="J416" t="s">
        <v>17</v>
      </c>
      <c r="K416">
        <v>22.4</v>
      </c>
      <c r="L416">
        <v>65.900000000000006</v>
      </c>
      <c r="M416" t="s">
        <v>28</v>
      </c>
      <c r="N416">
        <v>30</v>
      </c>
      <c r="O416">
        <v>452</v>
      </c>
      <c r="P416">
        <v>10</v>
      </c>
      <c r="Q416" t="s">
        <v>27</v>
      </c>
      <c r="R416">
        <v>91.4</v>
      </c>
      <c r="S416">
        <v>163</v>
      </c>
      <c r="T416">
        <v>1</v>
      </c>
      <c r="U416" t="str" cm="1">
        <f t="array" ref="U416">_xlfn.IFS(smart_dataset[[#This Row],[Waiting_Time]]&lt;=20,"Low",smart_dataset[[#This Row],[Waiting_Time]]&lt;=40,"Medium",TRUE,"High")</f>
        <v>Medium</v>
      </c>
      <c r="V416" t="str" cm="1">
        <f t="array" ref="V416">_xlfn.IFS(smart_dataset[[#This Row],[Temperature]]&lt;=20,"Cold",smart_dataset[[#This Row],[Temperature]]&lt;=28,"Normal",TRUE,"Hot")</f>
        <v>Normal</v>
      </c>
      <c r="W416" t="str" cm="1">
        <f t="array" ref="W416">_xlfn.IFS(smart_dataset[[#This Row],[Asset_Utilization]]&lt;=75,"Low",smart_dataset[[#This Row],[Asset_Utilization]]&lt;=90,"Medium",TRUE,"High")</f>
        <v>High</v>
      </c>
    </row>
    <row r="417" spans="1:23" hidden="1" x14ac:dyDescent="0.25">
      <c r="A417" s="1">
        <v>45521.317384259259</v>
      </c>
      <c r="B417" s="1">
        <f>INT(smart_dataset[[#This Row],[Timestamp]])</f>
        <v>45521</v>
      </c>
      <c r="C417" s="1">
        <f>MOD(smart_dataset[[#This Row],[Timestamp]],1)</f>
        <v>0.31738425925868796</v>
      </c>
      <c r="D417" s="1">
        <f>YEAR(smart_dataset[[#This Row],[Date]])</f>
        <v>2024</v>
      </c>
      <c r="E417" s="1">
        <f>MONTH(smart_dataset[[#This Row],[Timestamp]])</f>
        <v>8</v>
      </c>
      <c r="F417" t="s">
        <v>32</v>
      </c>
      <c r="G417">
        <v>27.786999999999999</v>
      </c>
      <c r="H417">
        <v>8.2287999999999997</v>
      </c>
      <c r="I417">
        <v>235</v>
      </c>
      <c r="J417" t="s">
        <v>26</v>
      </c>
      <c r="K417">
        <v>25.8</v>
      </c>
      <c r="L417">
        <v>62.6</v>
      </c>
      <c r="M417" t="s">
        <v>22</v>
      </c>
      <c r="N417">
        <v>51</v>
      </c>
      <c r="O417">
        <v>171</v>
      </c>
      <c r="P417">
        <v>6</v>
      </c>
      <c r="Q417" t="s">
        <v>31</v>
      </c>
      <c r="R417">
        <v>87.5</v>
      </c>
      <c r="S417">
        <v>207</v>
      </c>
      <c r="T417">
        <v>1</v>
      </c>
      <c r="U417" t="str" cm="1">
        <f t="array" ref="U417">_xlfn.IFS(smart_dataset[[#This Row],[Waiting_Time]]&lt;=20,"Low",smart_dataset[[#This Row],[Waiting_Time]]&lt;=40,"Medium",TRUE,"High")</f>
        <v>High</v>
      </c>
      <c r="V417" t="str" cm="1">
        <f t="array" ref="V417">_xlfn.IFS(smart_dataset[[#This Row],[Temperature]]&lt;=20,"Cold",smart_dataset[[#This Row],[Temperature]]&lt;=28,"Normal",TRUE,"Hot")</f>
        <v>Normal</v>
      </c>
      <c r="W417" t="str" cm="1">
        <f t="array" ref="W417">_xlfn.IFS(smart_dataset[[#This Row],[Asset_Utilization]]&lt;=75,"Low",smart_dataset[[#This Row],[Asset_Utilization]]&lt;=90,"Medium",TRUE,"High")</f>
        <v>Medium</v>
      </c>
    </row>
    <row r="418" spans="1:23" x14ac:dyDescent="0.25">
      <c r="A418" s="1">
        <v>45637.991319444445</v>
      </c>
      <c r="B418" s="1">
        <f>INT(smart_dataset[[#This Row],[Timestamp]])</f>
        <v>45637</v>
      </c>
      <c r="C418" s="7">
        <f>MOD(smart_dataset[[#This Row],[Timestamp]],1)</f>
        <v>0.99131944444525288</v>
      </c>
      <c r="D418">
        <f>YEAR(smart_dataset[[#This Row],[Date]])</f>
        <v>2024</v>
      </c>
      <c r="E418">
        <f>MONTH(smart_dataset[[#This Row],[Timestamp]])</f>
        <v>12</v>
      </c>
      <c r="F418" t="s">
        <v>16</v>
      </c>
      <c r="G418">
        <v>-13.8485</v>
      </c>
      <c r="H418">
        <v>119.2071</v>
      </c>
      <c r="I418">
        <v>181</v>
      </c>
      <c r="J418" t="s">
        <v>21</v>
      </c>
      <c r="K418">
        <v>29.7</v>
      </c>
      <c r="L418">
        <v>51.8</v>
      </c>
      <c r="M418" t="s">
        <v>28</v>
      </c>
      <c r="N418">
        <v>38</v>
      </c>
      <c r="O418">
        <v>388</v>
      </c>
      <c r="P418">
        <v>10</v>
      </c>
      <c r="Q418" t="s">
        <v>19</v>
      </c>
      <c r="R418">
        <v>92.4</v>
      </c>
      <c r="S418">
        <v>292</v>
      </c>
      <c r="T418">
        <v>0</v>
      </c>
      <c r="U418" t="str" cm="1">
        <f t="array" ref="U418">_xlfn.IFS(smart_dataset[[#This Row],[Waiting_Time]]&lt;=20,"Low",smart_dataset[[#This Row],[Waiting_Time]]&lt;=40,"Medium",TRUE,"High")</f>
        <v>Medium</v>
      </c>
      <c r="V418" t="str" cm="1">
        <f t="array" ref="V418">_xlfn.IFS(smart_dataset[[#This Row],[Temperature]]&lt;=20,"Cold",smart_dataset[[#This Row],[Temperature]]&lt;=28,"Normal",TRUE,"Hot")</f>
        <v>Hot</v>
      </c>
      <c r="W418" t="str" cm="1">
        <f t="array" ref="W418">_xlfn.IFS(smart_dataset[[#This Row],[Asset_Utilization]]&lt;=75,"Low",smart_dataset[[#This Row],[Asset_Utilization]]&lt;=90,"Medium",TRUE,"High")</f>
        <v>High</v>
      </c>
    </row>
    <row r="419" spans="1:23" x14ac:dyDescent="0.25">
      <c r="A419" s="1">
        <v>45547.004618055558</v>
      </c>
      <c r="B419" s="1">
        <f>INT(smart_dataset[[#This Row],[Timestamp]])</f>
        <v>45547</v>
      </c>
      <c r="C419" s="7">
        <f>MOD(smart_dataset[[#This Row],[Timestamp]],1)</f>
        <v>4.6180555582395755E-3</v>
      </c>
      <c r="D419">
        <f>YEAR(smart_dataset[[#This Row],[Date]])</f>
        <v>2024</v>
      </c>
      <c r="E419">
        <f>MONTH(smart_dataset[[#This Row],[Timestamp]])</f>
        <v>9</v>
      </c>
      <c r="F419" t="s">
        <v>33</v>
      </c>
      <c r="G419">
        <v>25.500299999999999</v>
      </c>
      <c r="H419">
        <v>-47.571800000000003</v>
      </c>
      <c r="I419">
        <v>370</v>
      </c>
      <c r="J419" t="s">
        <v>26</v>
      </c>
      <c r="K419">
        <v>23.5</v>
      </c>
      <c r="L419">
        <v>74.400000000000006</v>
      </c>
      <c r="M419" t="s">
        <v>22</v>
      </c>
      <c r="N419">
        <v>60</v>
      </c>
      <c r="O419">
        <v>105</v>
      </c>
      <c r="P419">
        <v>1</v>
      </c>
      <c r="Q419" t="s">
        <v>19</v>
      </c>
      <c r="R419">
        <v>99.5</v>
      </c>
      <c r="S419">
        <v>128</v>
      </c>
      <c r="T419">
        <v>1</v>
      </c>
      <c r="U419" t="str" cm="1">
        <f t="array" ref="U419">_xlfn.IFS(smart_dataset[[#This Row],[Waiting_Time]]&lt;=20,"Low",smart_dataset[[#This Row],[Waiting_Time]]&lt;=40,"Medium",TRUE,"High")</f>
        <v>High</v>
      </c>
      <c r="V419" t="str" cm="1">
        <f t="array" ref="V419">_xlfn.IFS(smart_dataset[[#This Row],[Temperature]]&lt;=20,"Cold",smart_dataset[[#This Row],[Temperature]]&lt;=28,"Normal",TRUE,"Hot")</f>
        <v>Normal</v>
      </c>
      <c r="W419" t="str" cm="1">
        <f t="array" ref="W419">_xlfn.IFS(smart_dataset[[#This Row],[Asset_Utilization]]&lt;=75,"Low",smart_dataset[[#This Row],[Asset_Utilization]]&lt;=90,"Medium",TRUE,"High")</f>
        <v>High</v>
      </c>
    </row>
    <row r="420" spans="1:23" hidden="1" x14ac:dyDescent="0.25">
      <c r="A420" s="1">
        <v>45481.588530092595</v>
      </c>
      <c r="B420" s="1">
        <f>INT(smart_dataset[[#This Row],[Timestamp]])</f>
        <v>45481</v>
      </c>
      <c r="C420" s="1">
        <f>MOD(smart_dataset[[#This Row],[Timestamp]],1)</f>
        <v>0.58853009259473765</v>
      </c>
      <c r="D420" s="1">
        <f>YEAR(smart_dataset[[#This Row],[Date]])</f>
        <v>2024</v>
      </c>
      <c r="E420" s="1">
        <f>MONTH(smart_dataset[[#This Row],[Timestamp]])</f>
        <v>7</v>
      </c>
      <c r="F420" t="s">
        <v>33</v>
      </c>
      <c r="G420">
        <v>69.410600000000002</v>
      </c>
      <c r="H420">
        <v>61.736800000000002</v>
      </c>
      <c r="I420">
        <v>102</v>
      </c>
      <c r="J420" t="s">
        <v>17</v>
      </c>
      <c r="K420">
        <v>25.6</v>
      </c>
      <c r="L420">
        <v>76</v>
      </c>
      <c r="M420" t="s">
        <v>22</v>
      </c>
      <c r="N420">
        <v>50</v>
      </c>
      <c r="O420">
        <v>444</v>
      </c>
      <c r="P420">
        <v>9</v>
      </c>
      <c r="Q420" t="s">
        <v>27</v>
      </c>
      <c r="R420">
        <v>88.3</v>
      </c>
      <c r="S420">
        <v>105</v>
      </c>
      <c r="T420">
        <v>1</v>
      </c>
      <c r="U420" t="str" cm="1">
        <f t="array" ref="U420">_xlfn.IFS(smart_dataset[[#This Row],[Waiting_Time]]&lt;=20,"Low",smart_dataset[[#This Row],[Waiting_Time]]&lt;=40,"Medium",TRUE,"High")</f>
        <v>High</v>
      </c>
      <c r="V420" t="str" cm="1">
        <f t="array" ref="V420">_xlfn.IFS(smart_dataset[[#This Row],[Temperature]]&lt;=20,"Cold",smart_dataset[[#This Row],[Temperature]]&lt;=28,"Normal",TRUE,"Hot")</f>
        <v>Normal</v>
      </c>
      <c r="W420" t="str" cm="1">
        <f t="array" ref="W420">_xlfn.IFS(smart_dataset[[#This Row],[Asset_Utilization]]&lt;=75,"Low",smart_dataset[[#This Row],[Asset_Utilization]]&lt;=90,"Medium",TRUE,"High")</f>
        <v>Medium</v>
      </c>
    </row>
    <row r="421" spans="1:23" x14ac:dyDescent="0.25">
      <c r="A421" s="1">
        <v>45357.551793981482</v>
      </c>
      <c r="B421" s="1">
        <f>INT(smart_dataset[[#This Row],[Timestamp]])</f>
        <v>45357</v>
      </c>
      <c r="C421" s="7">
        <f>MOD(smart_dataset[[#This Row],[Timestamp]],1)</f>
        <v>0.55179398148175096</v>
      </c>
      <c r="D421">
        <f>YEAR(smart_dataset[[#This Row],[Date]])</f>
        <v>2024</v>
      </c>
      <c r="E421">
        <f>MONTH(smart_dataset[[#This Row],[Timestamp]])</f>
        <v>3</v>
      </c>
      <c r="F421" t="s">
        <v>33</v>
      </c>
      <c r="G421">
        <v>-6.8963999999999999</v>
      </c>
      <c r="H421">
        <v>-35.541800000000002</v>
      </c>
      <c r="I421">
        <v>200</v>
      </c>
      <c r="J421" t="s">
        <v>26</v>
      </c>
      <c r="K421">
        <v>18.5</v>
      </c>
      <c r="L421">
        <v>77.7</v>
      </c>
      <c r="M421" t="s">
        <v>18</v>
      </c>
      <c r="N421">
        <v>24</v>
      </c>
      <c r="O421">
        <v>158</v>
      </c>
      <c r="P421">
        <v>4</v>
      </c>
      <c r="Q421" t="s">
        <v>19</v>
      </c>
      <c r="R421">
        <v>82.5</v>
      </c>
      <c r="S421">
        <v>234</v>
      </c>
      <c r="T421">
        <v>0</v>
      </c>
      <c r="U421" t="str" cm="1">
        <f t="array" ref="U421">_xlfn.IFS(smart_dataset[[#This Row],[Waiting_Time]]&lt;=20,"Low",smart_dataset[[#This Row],[Waiting_Time]]&lt;=40,"Medium",TRUE,"High")</f>
        <v>Medium</v>
      </c>
      <c r="V421" t="str" cm="1">
        <f t="array" ref="V421">_xlfn.IFS(smart_dataset[[#This Row],[Temperature]]&lt;=20,"Cold",smart_dataset[[#This Row],[Temperature]]&lt;=28,"Normal",TRUE,"Hot")</f>
        <v>Cold</v>
      </c>
      <c r="W421" t="str" cm="1">
        <f t="array" ref="W421">_xlfn.IFS(smart_dataset[[#This Row],[Asset_Utilization]]&lt;=75,"Low",smart_dataset[[#This Row],[Asset_Utilization]]&lt;=90,"Medium",TRUE,"High")</f>
        <v>Medium</v>
      </c>
    </row>
    <row r="422" spans="1:23" hidden="1" x14ac:dyDescent="0.25">
      <c r="A422" s="1">
        <v>45595.20517361111</v>
      </c>
      <c r="B422" s="1">
        <f>INT(smart_dataset[[#This Row],[Timestamp]])</f>
        <v>45595</v>
      </c>
      <c r="C422" s="1">
        <f>MOD(smart_dataset[[#This Row],[Timestamp]],1)</f>
        <v>0.20517361110978527</v>
      </c>
      <c r="D422" s="1">
        <f>YEAR(smart_dataset[[#This Row],[Date]])</f>
        <v>2024</v>
      </c>
      <c r="E422" s="1">
        <f>MONTH(smart_dataset[[#This Row],[Timestamp]])</f>
        <v>10</v>
      </c>
      <c r="F422" t="s">
        <v>20</v>
      </c>
      <c r="G422">
        <v>-0.1148</v>
      </c>
      <c r="H422">
        <v>-127.6784</v>
      </c>
      <c r="I422">
        <v>292</v>
      </c>
      <c r="J422" t="s">
        <v>21</v>
      </c>
      <c r="K422">
        <v>23.2</v>
      </c>
      <c r="L422">
        <v>68.099999999999994</v>
      </c>
      <c r="M422" t="s">
        <v>22</v>
      </c>
      <c r="N422">
        <v>41</v>
      </c>
      <c r="O422">
        <v>440</v>
      </c>
      <c r="P422">
        <v>10</v>
      </c>
      <c r="Q422" t="s">
        <v>31</v>
      </c>
      <c r="R422">
        <v>88.9</v>
      </c>
      <c r="S422">
        <v>160</v>
      </c>
      <c r="T422">
        <v>1</v>
      </c>
      <c r="U422" t="str" cm="1">
        <f t="array" ref="U422">_xlfn.IFS(smart_dataset[[#This Row],[Waiting_Time]]&lt;=20,"Low",smart_dataset[[#This Row],[Waiting_Time]]&lt;=40,"Medium",TRUE,"High")</f>
        <v>High</v>
      </c>
      <c r="V422" t="str" cm="1">
        <f t="array" ref="V422">_xlfn.IFS(smart_dataset[[#This Row],[Temperature]]&lt;=20,"Cold",smart_dataset[[#This Row],[Temperature]]&lt;=28,"Normal",TRUE,"Hot")</f>
        <v>Normal</v>
      </c>
      <c r="W422" t="str" cm="1">
        <f t="array" ref="W422">_xlfn.IFS(smart_dataset[[#This Row],[Asset_Utilization]]&lt;=75,"Low",smart_dataset[[#This Row],[Asset_Utilization]]&lt;=90,"Medium",TRUE,"High")</f>
        <v>Medium</v>
      </c>
    </row>
    <row r="423" spans="1:23" x14ac:dyDescent="0.25">
      <c r="A423" s="1">
        <v>45572.454629629632</v>
      </c>
      <c r="B423" s="1">
        <f>INT(smart_dataset[[#This Row],[Timestamp]])</f>
        <v>45572</v>
      </c>
      <c r="C423" s="7">
        <f>MOD(smart_dataset[[#This Row],[Timestamp]],1)</f>
        <v>0.45462962963210884</v>
      </c>
      <c r="D423">
        <f>YEAR(smart_dataset[[#This Row],[Date]])</f>
        <v>2024</v>
      </c>
      <c r="E423">
        <f>MONTH(smart_dataset[[#This Row],[Timestamp]])</f>
        <v>10</v>
      </c>
      <c r="F423" t="s">
        <v>34</v>
      </c>
      <c r="G423">
        <v>-41.427900000000001</v>
      </c>
      <c r="H423">
        <v>178.86940000000001</v>
      </c>
      <c r="I423">
        <v>401</v>
      </c>
      <c r="J423" t="s">
        <v>21</v>
      </c>
      <c r="K423">
        <v>28.2</v>
      </c>
      <c r="L423">
        <v>51</v>
      </c>
      <c r="M423" t="s">
        <v>28</v>
      </c>
      <c r="N423">
        <v>51</v>
      </c>
      <c r="O423">
        <v>327</v>
      </c>
      <c r="P423">
        <v>3</v>
      </c>
      <c r="Q423" t="s">
        <v>19</v>
      </c>
      <c r="R423">
        <v>85.6</v>
      </c>
      <c r="S423">
        <v>138</v>
      </c>
      <c r="T423">
        <v>0</v>
      </c>
      <c r="U423" t="str" cm="1">
        <f t="array" ref="U423">_xlfn.IFS(smart_dataset[[#This Row],[Waiting_Time]]&lt;=20,"Low",smart_dataset[[#This Row],[Waiting_Time]]&lt;=40,"Medium",TRUE,"High")</f>
        <v>High</v>
      </c>
      <c r="V423" t="str" cm="1">
        <f t="array" ref="V423">_xlfn.IFS(smart_dataset[[#This Row],[Temperature]]&lt;=20,"Cold",smart_dataset[[#This Row],[Temperature]]&lt;=28,"Normal",TRUE,"Hot")</f>
        <v>Hot</v>
      </c>
      <c r="W423" t="str" cm="1">
        <f t="array" ref="W423">_xlfn.IFS(smart_dataset[[#This Row],[Asset_Utilization]]&lt;=75,"Low",smart_dataset[[#This Row],[Asset_Utilization]]&lt;=90,"Medium",TRUE,"High")</f>
        <v>Medium</v>
      </c>
    </row>
    <row r="424" spans="1:23" hidden="1" x14ac:dyDescent="0.25">
      <c r="A424" s="1">
        <v>45449.953252314815</v>
      </c>
      <c r="B424" s="1">
        <f>INT(smart_dataset[[#This Row],[Timestamp]])</f>
        <v>45449</v>
      </c>
      <c r="C424" s="1">
        <f>MOD(smart_dataset[[#This Row],[Timestamp]],1)</f>
        <v>0.95325231481547235</v>
      </c>
      <c r="D424" s="1">
        <f>YEAR(smart_dataset[[#This Row],[Date]])</f>
        <v>2024</v>
      </c>
      <c r="E424" s="1">
        <f>MONTH(smart_dataset[[#This Row],[Timestamp]])</f>
        <v>6</v>
      </c>
      <c r="F424" t="s">
        <v>33</v>
      </c>
      <c r="G424">
        <v>-0.93330000000000002</v>
      </c>
      <c r="H424">
        <v>124.84950000000001</v>
      </c>
      <c r="I424">
        <v>305</v>
      </c>
      <c r="J424" t="s">
        <v>17</v>
      </c>
      <c r="K424">
        <v>27.4</v>
      </c>
      <c r="L424">
        <v>50.8</v>
      </c>
      <c r="M424" t="s">
        <v>28</v>
      </c>
      <c r="N424">
        <v>34</v>
      </c>
      <c r="O424">
        <v>474</v>
      </c>
      <c r="P424">
        <v>1</v>
      </c>
      <c r="Q424" t="s">
        <v>31</v>
      </c>
      <c r="R424">
        <v>82</v>
      </c>
      <c r="S424">
        <v>226</v>
      </c>
      <c r="T424">
        <v>1</v>
      </c>
      <c r="U424" t="str" cm="1">
        <f t="array" ref="U424">_xlfn.IFS(smart_dataset[[#This Row],[Waiting_Time]]&lt;=20,"Low",smart_dataset[[#This Row],[Waiting_Time]]&lt;=40,"Medium",TRUE,"High")</f>
        <v>Medium</v>
      </c>
      <c r="V424" t="str" cm="1">
        <f t="array" ref="V424">_xlfn.IFS(smart_dataset[[#This Row],[Temperature]]&lt;=20,"Cold",smart_dataset[[#This Row],[Temperature]]&lt;=28,"Normal",TRUE,"Hot")</f>
        <v>Normal</v>
      </c>
      <c r="W424" t="str" cm="1">
        <f t="array" ref="W424">_xlfn.IFS(smart_dataset[[#This Row],[Asset_Utilization]]&lt;=75,"Low",smart_dataset[[#This Row],[Asset_Utilization]]&lt;=90,"Medium",TRUE,"High")</f>
        <v>Medium</v>
      </c>
    </row>
    <row r="425" spans="1:23" hidden="1" x14ac:dyDescent="0.25">
      <c r="A425" s="1">
        <v>45402.010115740741</v>
      </c>
      <c r="B425" s="1">
        <f>INT(smart_dataset[[#This Row],[Timestamp]])</f>
        <v>45402</v>
      </c>
      <c r="C425" s="1">
        <f>MOD(smart_dataset[[#This Row],[Timestamp]],1)</f>
        <v>1.0115740740729962E-2</v>
      </c>
      <c r="D425" s="1">
        <f>YEAR(smart_dataset[[#This Row],[Date]])</f>
        <v>2024</v>
      </c>
      <c r="E425" s="1">
        <f>MONTH(smart_dataset[[#This Row],[Timestamp]])</f>
        <v>4</v>
      </c>
      <c r="F425" t="s">
        <v>33</v>
      </c>
      <c r="G425">
        <v>-58.217500000000001</v>
      </c>
      <c r="H425">
        <v>7.2698999999999998</v>
      </c>
      <c r="I425">
        <v>441</v>
      </c>
      <c r="J425" t="s">
        <v>21</v>
      </c>
      <c r="K425">
        <v>25</v>
      </c>
      <c r="L425">
        <v>75.400000000000006</v>
      </c>
      <c r="M425" t="s">
        <v>22</v>
      </c>
      <c r="N425">
        <v>58</v>
      </c>
      <c r="O425">
        <v>149</v>
      </c>
      <c r="P425">
        <v>10</v>
      </c>
      <c r="Q425" t="s">
        <v>27</v>
      </c>
      <c r="R425">
        <v>61.3</v>
      </c>
      <c r="S425">
        <v>247</v>
      </c>
      <c r="T425">
        <v>1</v>
      </c>
      <c r="U425" t="str" cm="1">
        <f t="array" ref="U425">_xlfn.IFS(smart_dataset[[#This Row],[Waiting_Time]]&lt;=20,"Low",smart_dataset[[#This Row],[Waiting_Time]]&lt;=40,"Medium",TRUE,"High")</f>
        <v>High</v>
      </c>
      <c r="V425" t="str" cm="1">
        <f t="array" ref="V425">_xlfn.IFS(smart_dataset[[#This Row],[Temperature]]&lt;=20,"Cold",smart_dataset[[#This Row],[Temperature]]&lt;=28,"Normal",TRUE,"Hot")</f>
        <v>Normal</v>
      </c>
      <c r="W425" t="str" cm="1">
        <f t="array" ref="W425">_xlfn.IFS(smart_dataset[[#This Row],[Asset_Utilization]]&lt;=75,"Low",smart_dataset[[#This Row],[Asset_Utilization]]&lt;=90,"Medium",TRUE,"High")</f>
        <v>Low</v>
      </c>
    </row>
    <row r="426" spans="1:23" hidden="1" x14ac:dyDescent="0.25">
      <c r="A426" s="1">
        <v>45506.007569444446</v>
      </c>
      <c r="B426" s="1">
        <f>INT(smart_dataset[[#This Row],[Timestamp]])</f>
        <v>45506</v>
      </c>
      <c r="C426" s="1">
        <f>MOD(smart_dataset[[#This Row],[Timestamp]],1)</f>
        <v>7.5694444458349608E-3</v>
      </c>
      <c r="D426" s="1">
        <f>YEAR(smart_dataset[[#This Row],[Date]])</f>
        <v>2024</v>
      </c>
      <c r="E426" s="1">
        <f>MONTH(smart_dataset[[#This Row],[Timestamp]])</f>
        <v>8</v>
      </c>
      <c r="F426" t="s">
        <v>30</v>
      </c>
      <c r="G426">
        <v>83.328699999999998</v>
      </c>
      <c r="H426">
        <v>-84.273799999999994</v>
      </c>
      <c r="I426">
        <v>130</v>
      </c>
      <c r="J426" t="s">
        <v>17</v>
      </c>
      <c r="K426">
        <v>18.7</v>
      </c>
      <c r="L426">
        <v>67.2</v>
      </c>
      <c r="M426" t="s">
        <v>28</v>
      </c>
      <c r="N426">
        <v>47</v>
      </c>
      <c r="O426">
        <v>367</v>
      </c>
      <c r="P426">
        <v>1</v>
      </c>
      <c r="Q426" t="s">
        <v>27</v>
      </c>
      <c r="R426">
        <v>81.7</v>
      </c>
      <c r="S426">
        <v>131</v>
      </c>
      <c r="T426">
        <v>1</v>
      </c>
      <c r="U426" t="str" cm="1">
        <f t="array" ref="U426">_xlfn.IFS(smart_dataset[[#This Row],[Waiting_Time]]&lt;=20,"Low",smart_dataset[[#This Row],[Waiting_Time]]&lt;=40,"Medium",TRUE,"High")</f>
        <v>High</v>
      </c>
      <c r="V426" t="str" cm="1">
        <f t="array" ref="V426">_xlfn.IFS(smart_dataset[[#This Row],[Temperature]]&lt;=20,"Cold",smart_dataset[[#This Row],[Temperature]]&lt;=28,"Normal",TRUE,"Hot")</f>
        <v>Cold</v>
      </c>
      <c r="W426" t="str" cm="1">
        <f t="array" ref="W426">_xlfn.IFS(smart_dataset[[#This Row],[Asset_Utilization]]&lt;=75,"Low",smart_dataset[[#This Row],[Asset_Utilization]]&lt;=90,"Medium",TRUE,"High")</f>
        <v>Medium</v>
      </c>
    </row>
    <row r="427" spans="1:23" hidden="1" x14ac:dyDescent="0.25">
      <c r="A427" s="1">
        <v>45568.120868055557</v>
      </c>
      <c r="B427" s="1">
        <f>INT(smart_dataset[[#This Row],[Timestamp]])</f>
        <v>45568</v>
      </c>
      <c r="C427" s="1">
        <f>MOD(smart_dataset[[#This Row],[Timestamp]],1)</f>
        <v>0.12086805555736646</v>
      </c>
      <c r="D427" s="1">
        <f>YEAR(smart_dataset[[#This Row],[Date]])</f>
        <v>2024</v>
      </c>
      <c r="E427" s="1">
        <f>MONTH(smart_dataset[[#This Row],[Timestamp]])</f>
        <v>10</v>
      </c>
      <c r="F427" t="s">
        <v>20</v>
      </c>
      <c r="G427">
        <v>-33.2637</v>
      </c>
      <c r="H427">
        <v>45.412199999999999</v>
      </c>
      <c r="I427">
        <v>265</v>
      </c>
      <c r="J427" t="s">
        <v>21</v>
      </c>
      <c r="K427">
        <v>23.4</v>
      </c>
      <c r="L427">
        <v>56.1</v>
      </c>
      <c r="M427" t="s">
        <v>18</v>
      </c>
      <c r="N427">
        <v>34</v>
      </c>
      <c r="O427">
        <v>406</v>
      </c>
      <c r="P427">
        <v>6</v>
      </c>
      <c r="Q427" t="s">
        <v>31</v>
      </c>
      <c r="R427">
        <v>95</v>
      </c>
      <c r="S427">
        <v>133</v>
      </c>
      <c r="T427">
        <v>0</v>
      </c>
      <c r="U427" t="str" cm="1">
        <f t="array" ref="U427">_xlfn.IFS(smart_dataset[[#This Row],[Waiting_Time]]&lt;=20,"Low",smart_dataset[[#This Row],[Waiting_Time]]&lt;=40,"Medium",TRUE,"High")</f>
        <v>Medium</v>
      </c>
      <c r="V427" t="str" cm="1">
        <f t="array" ref="V427">_xlfn.IFS(smart_dataset[[#This Row],[Temperature]]&lt;=20,"Cold",smart_dataset[[#This Row],[Temperature]]&lt;=28,"Normal",TRUE,"Hot")</f>
        <v>Normal</v>
      </c>
      <c r="W427" t="str" cm="1">
        <f t="array" ref="W427">_xlfn.IFS(smart_dataset[[#This Row],[Asset_Utilization]]&lt;=75,"Low",smart_dataset[[#This Row],[Asset_Utilization]]&lt;=90,"Medium",TRUE,"High")</f>
        <v>High</v>
      </c>
    </row>
    <row r="428" spans="1:23" hidden="1" x14ac:dyDescent="0.25">
      <c r="A428" s="1">
        <v>45558.942928240744</v>
      </c>
      <c r="B428" s="1">
        <f>INT(smart_dataset[[#This Row],[Timestamp]])</f>
        <v>45558</v>
      </c>
      <c r="C428" s="1">
        <f>MOD(smart_dataset[[#This Row],[Timestamp]],1)</f>
        <v>0.94292824074364034</v>
      </c>
      <c r="D428" s="1">
        <f>YEAR(smart_dataset[[#This Row],[Date]])</f>
        <v>2024</v>
      </c>
      <c r="E428" s="1">
        <f>MONTH(smart_dataset[[#This Row],[Timestamp]])</f>
        <v>9</v>
      </c>
      <c r="F428" t="s">
        <v>35</v>
      </c>
      <c r="G428">
        <v>74.335599999999999</v>
      </c>
      <c r="H428">
        <v>112.5528</v>
      </c>
      <c r="I428">
        <v>426</v>
      </c>
      <c r="J428" t="s">
        <v>26</v>
      </c>
      <c r="K428">
        <v>26.3</v>
      </c>
      <c r="L428">
        <v>77.7</v>
      </c>
      <c r="M428" t="s">
        <v>18</v>
      </c>
      <c r="N428">
        <v>58</v>
      </c>
      <c r="O428">
        <v>373</v>
      </c>
      <c r="P428">
        <v>6</v>
      </c>
      <c r="Q428" t="s">
        <v>27</v>
      </c>
      <c r="R428">
        <v>93</v>
      </c>
      <c r="S428">
        <v>125</v>
      </c>
      <c r="T428">
        <v>0</v>
      </c>
      <c r="U428" t="str" cm="1">
        <f t="array" ref="U428">_xlfn.IFS(smart_dataset[[#This Row],[Waiting_Time]]&lt;=20,"Low",smart_dataset[[#This Row],[Waiting_Time]]&lt;=40,"Medium",TRUE,"High")</f>
        <v>High</v>
      </c>
      <c r="V428" t="str" cm="1">
        <f t="array" ref="V428">_xlfn.IFS(smart_dataset[[#This Row],[Temperature]]&lt;=20,"Cold",smart_dataset[[#This Row],[Temperature]]&lt;=28,"Normal",TRUE,"Hot")</f>
        <v>Normal</v>
      </c>
      <c r="W428" t="str" cm="1">
        <f t="array" ref="W428">_xlfn.IFS(smart_dataset[[#This Row],[Asset_Utilization]]&lt;=75,"Low",smart_dataset[[#This Row],[Asset_Utilization]]&lt;=90,"Medium",TRUE,"High")</f>
        <v>High</v>
      </c>
    </row>
    <row r="429" spans="1:23" hidden="1" x14ac:dyDescent="0.25">
      <c r="A429" s="1">
        <v>45339.674560185187</v>
      </c>
      <c r="B429" s="1">
        <f>INT(smart_dataset[[#This Row],[Timestamp]])</f>
        <v>45339</v>
      </c>
      <c r="C429" s="1">
        <f>MOD(smart_dataset[[#This Row],[Timestamp]],1)</f>
        <v>0.674560185187147</v>
      </c>
      <c r="D429" s="1">
        <f>YEAR(smart_dataset[[#This Row],[Date]])</f>
        <v>2024</v>
      </c>
      <c r="E429" s="1">
        <f>MONTH(smart_dataset[[#This Row],[Timestamp]])</f>
        <v>2</v>
      </c>
      <c r="F429" t="s">
        <v>20</v>
      </c>
      <c r="G429">
        <v>-53.301499999999997</v>
      </c>
      <c r="H429">
        <v>11.4861</v>
      </c>
      <c r="I429">
        <v>432</v>
      </c>
      <c r="J429" t="s">
        <v>21</v>
      </c>
      <c r="K429">
        <v>28</v>
      </c>
      <c r="L429">
        <v>65.2</v>
      </c>
      <c r="M429" t="s">
        <v>22</v>
      </c>
      <c r="N429">
        <v>35</v>
      </c>
      <c r="O429">
        <v>499</v>
      </c>
      <c r="P429">
        <v>8</v>
      </c>
      <c r="Q429" t="s">
        <v>23</v>
      </c>
      <c r="R429">
        <v>97.4</v>
      </c>
      <c r="S429">
        <v>110</v>
      </c>
      <c r="T429">
        <v>1</v>
      </c>
      <c r="U429" t="str" cm="1">
        <f t="array" ref="U429">_xlfn.IFS(smart_dataset[[#This Row],[Waiting_Time]]&lt;=20,"Low",smart_dataset[[#This Row],[Waiting_Time]]&lt;=40,"Medium",TRUE,"High")</f>
        <v>Medium</v>
      </c>
      <c r="V429" t="str" cm="1">
        <f t="array" ref="V429">_xlfn.IFS(smart_dataset[[#This Row],[Temperature]]&lt;=20,"Cold",smart_dataset[[#This Row],[Temperature]]&lt;=28,"Normal",TRUE,"Hot")</f>
        <v>Normal</v>
      </c>
      <c r="W429" t="str" cm="1">
        <f t="array" ref="W429">_xlfn.IFS(smart_dataset[[#This Row],[Asset_Utilization]]&lt;=75,"Low",smart_dataset[[#This Row],[Asset_Utilization]]&lt;=90,"Medium",TRUE,"High")</f>
        <v>High</v>
      </c>
    </row>
    <row r="430" spans="1:23" x14ac:dyDescent="0.25">
      <c r="A430" s="1">
        <v>45619.194745370369</v>
      </c>
      <c r="B430" s="1">
        <f>INT(smart_dataset[[#This Row],[Timestamp]])</f>
        <v>45619</v>
      </c>
      <c r="C430" s="7">
        <f>MOD(smart_dataset[[#This Row],[Timestamp]],1)</f>
        <v>0.19474537036876427</v>
      </c>
      <c r="D430">
        <f>YEAR(smart_dataset[[#This Row],[Date]])</f>
        <v>2024</v>
      </c>
      <c r="E430">
        <f>MONTH(smart_dataset[[#This Row],[Timestamp]])</f>
        <v>11</v>
      </c>
      <c r="F430" t="s">
        <v>30</v>
      </c>
      <c r="G430">
        <v>-22.5519</v>
      </c>
      <c r="H430">
        <v>60.710999999999999</v>
      </c>
      <c r="I430">
        <v>406</v>
      </c>
      <c r="J430" t="s">
        <v>17</v>
      </c>
      <c r="K430">
        <v>20.9</v>
      </c>
      <c r="L430">
        <v>76.400000000000006</v>
      </c>
      <c r="M430" t="s">
        <v>18</v>
      </c>
      <c r="N430">
        <v>57</v>
      </c>
      <c r="O430">
        <v>160</v>
      </c>
      <c r="P430">
        <v>9</v>
      </c>
      <c r="Q430" t="s">
        <v>19</v>
      </c>
      <c r="R430">
        <v>73.3</v>
      </c>
      <c r="S430">
        <v>120</v>
      </c>
      <c r="T430">
        <v>1</v>
      </c>
      <c r="U430" t="str" cm="1">
        <f t="array" ref="U430">_xlfn.IFS(smart_dataset[[#This Row],[Waiting_Time]]&lt;=20,"Low",smart_dataset[[#This Row],[Waiting_Time]]&lt;=40,"Medium",TRUE,"High")</f>
        <v>High</v>
      </c>
      <c r="V430" t="str" cm="1">
        <f t="array" ref="V430">_xlfn.IFS(smart_dataset[[#This Row],[Temperature]]&lt;=20,"Cold",smart_dataset[[#This Row],[Temperature]]&lt;=28,"Normal",TRUE,"Hot")</f>
        <v>Normal</v>
      </c>
      <c r="W430" t="str" cm="1">
        <f t="array" ref="W430">_xlfn.IFS(smart_dataset[[#This Row],[Asset_Utilization]]&lt;=75,"Low",smart_dataset[[#This Row],[Asset_Utilization]]&lt;=90,"Medium",TRUE,"High")</f>
        <v>Low</v>
      </c>
    </row>
    <row r="431" spans="1:23" x14ac:dyDescent="0.25">
      <c r="A431" s="1">
        <v>45302.846689814818</v>
      </c>
      <c r="B431" s="1">
        <f>INT(smart_dataset[[#This Row],[Timestamp]])</f>
        <v>45302</v>
      </c>
      <c r="C431" s="7">
        <f>MOD(smart_dataset[[#This Row],[Timestamp]],1)</f>
        <v>0.84668981481809169</v>
      </c>
      <c r="D431">
        <f>YEAR(smart_dataset[[#This Row],[Date]])</f>
        <v>2024</v>
      </c>
      <c r="E431">
        <f>MONTH(smart_dataset[[#This Row],[Timestamp]])</f>
        <v>1</v>
      </c>
      <c r="F431" t="s">
        <v>24</v>
      </c>
      <c r="G431">
        <v>61.697000000000003</v>
      </c>
      <c r="H431">
        <v>164.54929999999999</v>
      </c>
      <c r="I431">
        <v>410</v>
      </c>
      <c r="J431" t="s">
        <v>21</v>
      </c>
      <c r="K431">
        <v>24.5</v>
      </c>
      <c r="L431">
        <v>62.4</v>
      </c>
      <c r="M431" t="s">
        <v>28</v>
      </c>
      <c r="N431">
        <v>40</v>
      </c>
      <c r="O431">
        <v>172</v>
      </c>
      <c r="P431">
        <v>5</v>
      </c>
      <c r="Q431" t="s">
        <v>19</v>
      </c>
      <c r="R431">
        <v>86.2</v>
      </c>
      <c r="S431">
        <v>225</v>
      </c>
      <c r="T431">
        <v>0</v>
      </c>
      <c r="U431" t="str" cm="1">
        <f t="array" ref="U431">_xlfn.IFS(smart_dataset[[#This Row],[Waiting_Time]]&lt;=20,"Low",smart_dataset[[#This Row],[Waiting_Time]]&lt;=40,"Medium",TRUE,"High")</f>
        <v>Medium</v>
      </c>
      <c r="V431" t="str" cm="1">
        <f t="array" ref="V431">_xlfn.IFS(smart_dataset[[#This Row],[Temperature]]&lt;=20,"Cold",smart_dataset[[#This Row],[Temperature]]&lt;=28,"Normal",TRUE,"Hot")</f>
        <v>Normal</v>
      </c>
      <c r="W431" t="str" cm="1">
        <f t="array" ref="W431">_xlfn.IFS(smart_dataset[[#This Row],[Asset_Utilization]]&lt;=75,"Low",smart_dataset[[#This Row],[Asset_Utilization]]&lt;=90,"Medium",TRUE,"High")</f>
        <v>Medium</v>
      </c>
    </row>
    <row r="432" spans="1:23" x14ac:dyDescent="0.25">
      <c r="A432" s="1">
        <v>45593.095393518517</v>
      </c>
      <c r="B432" s="1">
        <f>INT(smart_dataset[[#This Row],[Timestamp]])</f>
        <v>45593</v>
      </c>
      <c r="C432" s="7">
        <f>MOD(smart_dataset[[#This Row],[Timestamp]],1)</f>
        <v>9.5393518517084885E-2</v>
      </c>
      <c r="D432">
        <f>YEAR(smart_dataset[[#This Row],[Date]])</f>
        <v>2024</v>
      </c>
      <c r="E432">
        <f>MONTH(smart_dataset[[#This Row],[Timestamp]])</f>
        <v>10</v>
      </c>
      <c r="F432" t="s">
        <v>34</v>
      </c>
      <c r="G432">
        <v>-75.286699999999996</v>
      </c>
      <c r="H432">
        <v>-163.4</v>
      </c>
      <c r="I432">
        <v>155</v>
      </c>
      <c r="J432" t="s">
        <v>21</v>
      </c>
      <c r="K432">
        <v>22.6</v>
      </c>
      <c r="L432">
        <v>77.099999999999994</v>
      </c>
      <c r="M432" t="s">
        <v>18</v>
      </c>
      <c r="N432">
        <v>13</v>
      </c>
      <c r="O432">
        <v>196</v>
      </c>
      <c r="P432">
        <v>7</v>
      </c>
      <c r="Q432" t="s">
        <v>19</v>
      </c>
      <c r="R432">
        <v>83.2</v>
      </c>
      <c r="S432">
        <v>168</v>
      </c>
      <c r="T432">
        <v>0</v>
      </c>
      <c r="U432" t="str" cm="1">
        <f t="array" ref="U432">_xlfn.IFS(smart_dataset[[#This Row],[Waiting_Time]]&lt;=20,"Low",smart_dataset[[#This Row],[Waiting_Time]]&lt;=40,"Medium",TRUE,"High")</f>
        <v>Low</v>
      </c>
      <c r="V432" t="str" cm="1">
        <f t="array" ref="V432">_xlfn.IFS(smart_dataset[[#This Row],[Temperature]]&lt;=20,"Cold",smart_dataset[[#This Row],[Temperature]]&lt;=28,"Normal",TRUE,"Hot")</f>
        <v>Normal</v>
      </c>
      <c r="W432" t="str" cm="1">
        <f t="array" ref="W432">_xlfn.IFS(smart_dataset[[#This Row],[Asset_Utilization]]&lt;=75,"Low",smart_dataset[[#This Row],[Asset_Utilization]]&lt;=90,"Medium",TRUE,"High")</f>
        <v>Medium</v>
      </c>
    </row>
    <row r="433" spans="1:23" hidden="1" x14ac:dyDescent="0.25">
      <c r="A433" s="1">
        <v>45652.211944444447</v>
      </c>
      <c r="B433" s="1">
        <f>INT(smart_dataset[[#This Row],[Timestamp]])</f>
        <v>45652</v>
      </c>
      <c r="C433" s="1">
        <f>MOD(smart_dataset[[#This Row],[Timestamp]],1)</f>
        <v>0.21194444444699911</v>
      </c>
      <c r="D433" s="1">
        <f>YEAR(smart_dataset[[#This Row],[Date]])</f>
        <v>2024</v>
      </c>
      <c r="E433" s="1">
        <f>MONTH(smart_dataset[[#This Row],[Timestamp]])</f>
        <v>12</v>
      </c>
      <c r="F433" t="s">
        <v>33</v>
      </c>
      <c r="G433">
        <v>87.138599999999997</v>
      </c>
      <c r="H433">
        <v>-114.968</v>
      </c>
      <c r="I433">
        <v>397</v>
      </c>
      <c r="J433" t="s">
        <v>26</v>
      </c>
      <c r="K433">
        <v>23.7</v>
      </c>
      <c r="L433">
        <v>73.5</v>
      </c>
      <c r="M433" t="s">
        <v>18</v>
      </c>
      <c r="N433">
        <v>31</v>
      </c>
      <c r="O433">
        <v>266</v>
      </c>
      <c r="P433">
        <v>1</v>
      </c>
      <c r="Q433" t="s">
        <v>31</v>
      </c>
      <c r="R433">
        <v>92.8</v>
      </c>
      <c r="S433">
        <v>265</v>
      </c>
      <c r="T433">
        <v>0</v>
      </c>
      <c r="U433" t="str" cm="1">
        <f t="array" ref="U433">_xlfn.IFS(smart_dataset[[#This Row],[Waiting_Time]]&lt;=20,"Low",smart_dataset[[#This Row],[Waiting_Time]]&lt;=40,"Medium",TRUE,"High")</f>
        <v>Medium</v>
      </c>
      <c r="V433" t="str" cm="1">
        <f t="array" ref="V433">_xlfn.IFS(smart_dataset[[#This Row],[Temperature]]&lt;=20,"Cold",smart_dataset[[#This Row],[Temperature]]&lt;=28,"Normal",TRUE,"Hot")</f>
        <v>Normal</v>
      </c>
      <c r="W433" t="str" cm="1">
        <f t="array" ref="W433">_xlfn.IFS(smart_dataset[[#This Row],[Asset_Utilization]]&lt;=75,"Low",smart_dataset[[#This Row],[Asset_Utilization]]&lt;=90,"Medium",TRUE,"High")</f>
        <v>High</v>
      </c>
    </row>
    <row r="434" spans="1:23" hidden="1" x14ac:dyDescent="0.25">
      <c r="A434" s="1">
        <v>45379.433703703704</v>
      </c>
      <c r="B434" s="1">
        <f>INT(smart_dataset[[#This Row],[Timestamp]])</f>
        <v>45379</v>
      </c>
      <c r="C434" s="1">
        <f>MOD(smart_dataset[[#This Row],[Timestamp]],1)</f>
        <v>0.43370370370394085</v>
      </c>
      <c r="D434" s="1">
        <f>YEAR(smart_dataset[[#This Row],[Date]])</f>
        <v>2024</v>
      </c>
      <c r="E434" s="1">
        <f>MONTH(smart_dataset[[#This Row],[Timestamp]])</f>
        <v>3</v>
      </c>
      <c r="F434" t="s">
        <v>34</v>
      </c>
      <c r="G434">
        <v>51.248600000000003</v>
      </c>
      <c r="H434">
        <v>-41.488199999999999</v>
      </c>
      <c r="I434">
        <v>305</v>
      </c>
      <c r="J434" t="s">
        <v>26</v>
      </c>
      <c r="K434">
        <v>28</v>
      </c>
      <c r="L434">
        <v>67.8</v>
      </c>
      <c r="M434" t="s">
        <v>18</v>
      </c>
      <c r="N434">
        <v>13</v>
      </c>
      <c r="O434">
        <v>455</v>
      </c>
      <c r="P434">
        <v>2</v>
      </c>
      <c r="Q434" t="s">
        <v>23</v>
      </c>
      <c r="R434">
        <v>80.8</v>
      </c>
      <c r="S434">
        <v>147</v>
      </c>
      <c r="T434">
        <v>0</v>
      </c>
      <c r="U434" t="str" cm="1">
        <f t="array" ref="U434">_xlfn.IFS(smart_dataset[[#This Row],[Waiting_Time]]&lt;=20,"Low",smart_dataset[[#This Row],[Waiting_Time]]&lt;=40,"Medium",TRUE,"High")</f>
        <v>Low</v>
      </c>
      <c r="V434" t="str" cm="1">
        <f t="array" ref="V434">_xlfn.IFS(smart_dataset[[#This Row],[Temperature]]&lt;=20,"Cold",smart_dataset[[#This Row],[Temperature]]&lt;=28,"Normal",TRUE,"Hot")</f>
        <v>Normal</v>
      </c>
      <c r="W434" t="str" cm="1">
        <f t="array" ref="W434">_xlfn.IFS(smart_dataset[[#This Row],[Asset_Utilization]]&lt;=75,"Low",smart_dataset[[#This Row],[Asset_Utilization]]&lt;=90,"Medium",TRUE,"High")</f>
        <v>Medium</v>
      </c>
    </row>
    <row r="435" spans="1:23" hidden="1" x14ac:dyDescent="0.25">
      <c r="A435" s="1">
        <v>45398.114386574074</v>
      </c>
      <c r="B435" s="1">
        <f>INT(smart_dataset[[#This Row],[Timestamp]])</f>
        <v>45398</v>
      </c>
      <c r="C435" s="1">
        <f>MOD(smart_dataset[[#This Row],[Timestamp]],1)</f>
        <v>0.11438657407416031</v>
      </c>
      <c r="D435" s="1">
        <f>YEAR(smart_dataset[[#This Row],[Date]])</f>
        <v>2024</v>
      </c>
      <c r="E435" s="1">
        <f>MONTH(smart_dataset[[#This Row],[Timestamp]])</f>
        <v>4</v>
      </c>
      <c r="F435" t="s">
        <v>30</v>
      </c>
      <c r="G435">
        <v>-19.8201</v>
      </c>
      <c r="H435">
        <v>2.4373999999999998</v>
      </c>
      <c r="I435">
        <v>343</v>
      </c>
      <c r="J435" t="s">
        <v>17</v>
      </c>
      <c r="K435">
        <v>26.2</v>
      </c>
      <c r="L435">
        <v>62.4</v>
      </c>
      <c r="M435" t="s">
        <v>18</v>
      </c>
      <c r="N435">
        <v>18</v>
      </c>
      <c r="O435">
        <v>166</v>
      </c>
      <c r="P435">
        <v>7</v>
      </c>
      <c r="Q435" t="s">
        <v>23</v>
      </c>
      <c r="R435">
        <v>62.3</v>
      </c>
      <c r="S435">
        <v>168</v>
      </c>
      <c r="T435">
        <v>1</v>
      </c>
      <c r="U435" t="str" cm="1">
        <f t="array" ref="U435">_xlfn.IFS(smart_dataset[[#This Row],[Waiting_Time]]&lt;=20,"Low",smart_dataset[[#This Row],[Waiting_Time]]&lt;=40,"Medium",TRUE,"High")</f>
        <v>Low</v>
      </c>
      <c r="V435" t="str" cm="1">
        <f t="array" ref="V435">_xlfn.IFS(smart_dataset[[#This Row],[Temperature]]&lt;=20,"Cold",smart_dataset[[#This Row],[Temperature]]&lt;=28,"Normal",TRUE,"Hot")</f>
        <v>Normal</v>
      </c>
      <c r="W435" t="str" cm="1">
        <f t="array" ref="W435">_xlfn.IFS(smart_dataset[[#This Row],[Asset_Utilization]]&lt;=75,"Low",smart_dataset[[#This Row],[Asset_Utilization]]&lt;=90,"Medium",TRUE,"High")</f>
        <v>Low</v>
      </c>
    </row>
    <row r="436" spans="1:23" hidden="1" x14ac:dyDescent="0.25">
      <c r="A436" s="1">
        <v>45634.260740740741</v>
      </c>
      <c r="B436" s="1">
        <f>INT(smart_dataset[[#This Row],[Timestamp]])</f>
        <v>45634</v>
      </c>
      <c r="C436" s="1">
        <f>MOD(smart_dataset[[#This Row],[Timestamp]],1)</f>
        <v>0.26074074074131204</v>
      </c>
      <c r="D436" s="1">
        <f>YEAR(smart_dataset[[#This Row],[Date]])</f>
        <v>2024</v>
      </c>
      <c r="E436" s="1">
        <f>MONTH(smart_dataset[[#This Row],[Timestamp]])</f>
        <v>12</v>
      </c>
      <c r="F436" t="s">
        <v>20</v>
      </c>
      <c r="G436">
        <v>-13.561</v>
      </c>
      <c r="H436">
        <v>-52.546900000000001</v>
      </c>
      <c r="I436">
        <v>342</v>
      </c>
      <c r="J436" t="s">
        <v>21</v>
      </c>
      <c r="K436">
        <v>27.6</v>
      </c>
      <c r="L436">
        <v>71.900000000000006</v>
      </c>
      <c r="M436" t="s">
        <v>18</v>
      </c>
      <c r="N436">
        <v>24</v>
      </c>
      <c r="O436">
        <v>216</v>
      </c>
      <c r="P436">
        <v>2</v>
      </c>
      <c r="Q436" t="s">
        <v>27</v>
      </c>
      <c r="R436">
        <v>67.5</v>
      </c>
      <c r="S436">
        <v>225</v>
      </c>
      <c r="T436">
        <v>0</v>
      </c>
      <c r="U436" t="str" cm="1">
        <f t="array" ref="U436">_xlfn.IFS(smart_dataset[[#This Row],[Waiting_Time]]&lt;=20,"Low",smart_dataset[[#This Row],[Waiting_Time]]&lt;=40,"Medium",TRUE,"High")</f>
        <v>Medium</v>
      </c>
      <c r="V436" t="str" cm="1">
        <f t="array" ref="V436">_xlfn.IFS(smart_dataset[[#This Row],[Temperature]]&lt;=20,"Cold",smart_dataset[[#This Row],[Temperature]]&lt;=28,"Normal",TRUE,"Hot")</f>
        <v>Normal</v>
      </c>
      <c r="W436" t="str" cm="1">
        <f t="array" ref="W436">_xlfn.IFS(smart_dataset[[#This Row],[Asset_Utilization]]&lt;=75,"Low",smart_dataset[[#This Row],[Asset_Utilization]]&lt;=90,"Medium",TRUE,"High")</f>
        <v>Low</v>
      </c>
    </row>
    <row r="437" spans="1:23" hidden="1" x14ac:dyDescent="0.25">
      <c r="A437" s="1">
        <v>45540.738842592589</v>
      </c>
      <c r="B437" s="1">
        <f>INT(smart_dataset[[#This Row],[Timestamp]])</f>
        <v>45540</v>
      </c>
      <c r="C437" s="1">
        <f>MOD(smart_dataset[[#This Row],[Timestamp]],1)</f>
        <v>0.73884259258920792</v>
      </c>
      <c r="D437" s="1">
        <f>YEAR(smart_dataset[[#This Row],[Date]])</f>
        <v>2024</v>
      </c>
      <c r="E437" s="1">
        <f>MONTH(smart_dataset[[#This Row],[Timestamp]])</f>
        <v>9</v>
      </c>
      <c r="F437" t="s">
        <v>33</v>
      </c>
      <c r="G437">
        <v>51.488300000000002</v>
      </c>
      <c r="H437">
        <v>105.7445</v>
      </c>
      <c r="I437">
        <v>347</v>
      </c>
      <c r="J437" t="s">
        <v>21</v>
      </c>
      <c r="K437">
        <v>29.1</v>
      </c>
      <c r="L437">
        <v>80</v>
      </c>
      <c r="M437" t="s">
        <v>22</v>
      </c>
      <c r="N437">
        <v>25</v>
      </c>
      <c r="O437">
        <v>256</v>
      </c>
      <c r="P437">
        <v>3</v>
      </c>
      <c r="Q437" t="s">
        <v>31</v>
      </c>
      <c r="R437">
        <v>69.599999999999994</v>
      </c>
      <c r="S437">
        <v>274</v>
      </c>
      <c r="T437">
        <v>1</v>
      </c>
      <c r="U437" t="str" cm="1">
        <f t="array" ref="U437">_xlfn.IFS(smart_dataset[[#This Row],[Waiting_Time]]&lt;=20,"Low",smart_dataset[[#This Row],[Waiting_Time]]&lt;=40,"Medium",TRUE,"High")</f>
        <v>Medium</v>
      </c>
      <c r="V437" t="str" cm="1">
        <f t="array" ref="V437">_xlfn.IFS(smart_dataset[[#This Row],[Temperature]]&lt;=20,"Cold",smart_dataset[[#This Row],[Temperature]]&lt;=28,"Normal",TRUE,"Hot")</f>
        <v>Hot</v>
      </c>
      <c r="W437" t="str" cm="1">
        <f t="array" ref="W437">_xlfn.IFS(smart_dataset[[#This Row],[Asset_Utilization]]&lt;=75,"Low",smart_dataset[[#This Row],[Asset_Utilization]]&lt;=90,"Medium",TRUE,"High")</f>
        <v>Low</v>
      </c>
    </row>
    <row r="438" spans="1:23" hidden="1" x14ac:dyDescent="0.25">
      <c r="A438" s="1">
        <v>45324.933541666665</v>
      </c>
      <c r="B438" s="1">
        <f>INT(smart_dataset[[#This Row],[Timestamp]])</f>
        <v>45324</v>
      </c>
      <c r="C438" s="1">
        <f>MOD(smart_dataset[[#This Row],[Timestamp]],1)</f>
        <v>0.9335416666654055</v>
      </c>
      <c r="D438" s="1">
        <f>YEAR(smart_dataset[[#This Row],[Date]])</f>
        <v>2024</v>
      </c>
      <c r="E438" s="1">
        <f>MONTH(smart_dataset[[#This Row],[Timestamp]])</f>
        <v>2</v>
      </c>
      <c r="F438" t="s">
        <v>33</v>
      </c>
      <c r="G438">
        <v>21.573799999999999</v>
      </c>
      <c r="H438">
        <v>-95.150099999999995</v>
      </c>
      <c r="I438">
        <v>403</v>
      </c>
      <c r="J438" t="s">
        <v>26</v>
      </c>
      <c r="K438">
        <v>29.5</v>
      </c>
      <c r="L438">
        <v>76.599999999999994</v>
      </c>
      <c r="M438" t="s">
        <v>22</v>
      </c>
      <c r="N438">
        <v>36</v>
      </c>
      <c r="O438">
        <v>379</v>
      </c>
      <c r="P438">
        <v>2</v>
      </c>
      <c r="Q438" t="s">
        <v>31</v>
      </c>
      <c r="R438">
        <v>66.7</v>
      </c>
      <c r="S438">
        <v>242</v>
      </c>
      <c r="T438">
        <v>1</v>
      </c>
      <c r="U438" t="str" cm="1">
        <f t="array" ref="U438">_xlfn.IFS(smart_dataset[[#This Row],[Waiting_Time]]&lt;=20,"Low",smart_dataset[[#This Row],[Waiting_Time]]&lt;=40,"Medium",TRUE,"High")</f>
        <v>Medium</v>
      </c>
      <c r="V438" t="str" cm="1">
        <f t="array" ref="V438">_xlfn.IFS(smart_dataset[[#This Row],[Temperature]]&lt;=20,"Cold",smart_dataset[[#This Row],[Temperature]]&lt;=28,"Normal",TRUE,"Hot")</f>
        <v>Hot</v>
      </c>
      <c r="W438" t="str" cm="1">
        <f t="array" ref="W438">_xlfn.IFS(smart_dataset[[#This Row],[Asset_Utilization]]&lt;=75,"Low",smart_dataset[[#This Row],[Asset_Utilization]]&lt;=90,"Medium",TRUE,"High")</f>
        <v>Low</v>
      </c>
    </row>
    <row r="439" spans="1:23" hidden="1" x14ac:dyDescent="0.25">
      <c r="A439" s="1">
        <v>45412.780694444446</v>
      </c>
      <c r="B439" s="1">
        <f>INT(smart_dataset[[#This Row],[Timestamp]])</f>
        <v>45412</v>
      </c>
      <c r="C439" s="1">
        <f>MOD(smart_dataset[[#This Row],[Timestamp]],1)</f>
        <v>0.78069444444554392</v>
      </c>
      <c r="D439" s="1">
        <f>YEAR(smart_dataset[[#This Row],[Date]])</f>
        <v>2024</v>
      </c>
      <c r="E439" s="1">
        <f>MONTH(smart_dataset[[#This Row],[Timestamp]])</f>
        <v>4</v>
      </c>
      <c r="F439" t="s">
        <v>25</v>
      </c>
      <c r="G439">
        <v>-31.817399999999999</v>
      </c>
      <c r="H439">
        <v>59.571599999999997</v>
      </c>
      <c r="I439">
        <v>482</v>
      </c>
      <c r="J439" t="s">
        <v>17</v>
      </c>
      <c r="K439">
        <v>18.100000000000001</v>
      </c>
      <c r="L439">
        <v>76.099999999999994</v>
      </c>
      <c r="M439" t="s">
        <v>22</v>
      </c>
      <c r="N439">
        <v>54</v>
      </c>
      <c r="O439">
        <v>203</v>
      </c>
      <c r="P439">
        <v>10</v>
      </c>
      <c r="Q439" t="s">
        <v>27</v>
      </c>
      <c r="R439">
        <v>74.099999999999994</v>
      </c>
      <c r="S439">
        <v>112</v>
      </c>
      <c r="T439">
        <v>1</v>
      </c>
      <c r="U439" t="str" cm="1">
        <f t="array" ref="U439">_xlfn.IFS(smart_dataset[[#This Row],[Waiting_Time]]&lt;=20,"Low",smart_dataset[[#This Row],[Waiting_Time]]&lt;=40,"Medium",TRUE,"High")</f>
        <v>High</v>
      </c>
      <c r="V439" t="str" cm="1">
        <f t="array" ref="V439">_xlfn.IFS(smart_dataset[[#This Row],[Temperature]]&lt;=20,"Cold",smart_dataset[[#This Row],[Temperature]]&lt;=28,"Normal",TRUE,"Hot")</f>
        <v>Cold</v>
      </c>
      <c r="W439" t="str" cm="1">
        <f t="array" ref="W439">_xlfn.IFS(smart_dataset[[#This Row],[Asset_Utilization]]&lt;=75,"Low",smart_dataset[[#This Row],[Asset_Utilization]]&lt;=90,"Medium",TRUE,"High")</f>
        <v>Low</v>
      </c>
    </row>
    <row r="440" spans="1:23" hidden="1" x14ac:dyDescent="0.25">
      <c r="A440" s="1">
        <v>45413.13422453704</v>
      </c>
      <c r="B440" s="1">
        <f>INT(smart_dataset[[#This Row],[Timestamp]])</f>
        <v>45413</v>
      </c>
      <c r="C440" s="1">
        <f>MOD(smart_dataset[[#This Row],[Timestamp]],1)</f>
        <v>0.1342245370396995</v>
      </c>
      <c r="D440" s="1">
        <f>YEAR(smart_dataset[[#This Row],[Date]])</f>
        <v>2024</v>
      </c>
      <c r="E440" s="1">
        <f>MONTH(smart_dataset[[#This Row],[Timestamp]])</f>
        <v>5</v>
      </c>
      <c r="F440" t="s">
        <v>33</v>
      </c>
      <c r="G440">
        <v>-76.0304</v>
      </c>
      <c r="H440">
        <v>112.9276</v>
      </c>
      <c r="I440">
        <v>130</v>
      </c>
      <c r="J440" t="s">
        <v>26</v>
      </c>
      <c r="K440">
        <v>21.6</v>
      </c>
      <c r="L440">
        <v>60.9</v>
      </c>
      <c r="M440" t="s">
        <v>28</v>
      </c>
      <c r="N440">
        <v>48</v>
      </c>
      <c r="O440">
        <v>479</v>
      </c>
      <c r="P440">
        <v>8</v>
      </c>
      <c r="Q440" t="s">
        <v>27</v>
      </c>
      <c r="R440">
        <v>83.3</v>
      </c>
      <c r="S440">
        <v>173</v>
      </c>
      <c r="T440">
        <v>0</v>
      </c>
      <c r="U440" t="str" cm="1">
        <f t="array" ref="U440">_xlfn.IFS(smart_dataset[[#This Row],[Waiting_Time]]&lt;=20,"Low",smart_dataset[[#This Row],[Waiting_Time]]&lt;=40,"Medium",TRUE,"High")</f>
        <v>High</v>
      </c>
      <c r="V440" t="str" cm="1">
        <f t="array" ref="V440">_xlfn.IFS(smart_dataset[[#This Row],[Temperature]]&lt;=20,"Cold",smart_dataset[[#This Row],[Temperature]]&lt;=28,"Normal",TRUE,"Hot")</f>
        <v>Normal</v>
      </c>
      <c r="W440" t="str" cm="1">
        <f t="array" ref="W440">_xlfn.IFS(smart_dataset[[#This Row],[Asset_Utilization]]&lt;=75,"Low",smart_dataset[[#This Row],[Asset_Utilization]]&lt;=90,"Medium",TRUE,"High")</f>
        <v>Medium</v>
      </c>
    </row>
    <row r="441" spans="1:23" x14ac:dyDescent="0.25">
      <c r="A441" s="1">
        <v>45301.835046296299</v>
      </c>
      <c r="B441" s="1">
        <f>INT(smart_dataset[[#This Row],[Timestamp]])</f>
        <v>45301</v>
      </c>
      <c r="C441" s="7">
        <f>MOD(smart_dataset[[#This Row],[Timestamp]],1)</f>
        <v>0.83504629629896954</v>
      </c>
      <c r="D441">
        <f>YEAR(smart_dataset[[#This Row],[Date]])</f>
        <v>2024</v>
      </c>
      <c r="E441">
        <f>MONTH(smart_dataset[[#This Row],[Timestamp]])</f>
        <v>1</v>
      </c>
      <c r="F441" t="s">
        <v>35</v>
      </c>
      <c r="G441">
        <v>47.548099999999998</v>
      </c>
      <c r="H441">
        <v>-97.483099999999993</v>
      </c>
      <c r="I441">
        <v>465</v>
      </c>
      <c r="J441" t="s">
        <v>17</v>
      </c>
      <c r="K441">
        <v>24</v>
      </c>
      <c r="L441">
        <v>72.400000000000006</v>
      </c>
      <c r="M441" t="s">
        <v>22</v>
      </c>
      <c r="N441">
        <v>48</v>
      </c>
      <c r="O441">
        <v>112</v>
      </c>
      <c r="P441">
        <v>8</v>
      </c>
      <c r="Q441" t="s">
        <v>19</v>
      </c>
      <c r="R441">
        <v>97.1</v>
      </c>
      <c r="S441">
        <v>212</v>
      </c>
      <c r="T441">
        <v>1</v>
      </c>
      <c r="U441" t="str" cm="1">
        <f t="array" ref="U441">_xlfn.IFS(smart_dataset[[#This Row],[Waiting_Time]]&lt;=20,"Low",smart_dataset[[#This Row],[Waiting_Time]]&lt;=40,"Medium",TRUE,"High")</f>
        <v>High</v>
      </c>
      <c r="V441" t="str" cm="1">
        <f t="array" ref="V441">_xlfn.IFS(smart_dataset[[#This Row],[Temperature]]&lt;=20,"Cold",smart_dataset[[#This Row],[Temperature]]&lt;=28,"Normal",TRUE,"Hot")</f>
        <v>Normal</v>
      </c>
      <c r="W441" t="str" cm="1">
        <f t="array" ref="W441">_xlfn.IFS(smart_dataset[[#This Row],[Asset_Utilization]]&lt;=75,"Low",smart_dataset[[#This Row],[Asset_Utilization]]&lt;=90,"Medium",TRUE,"High")</f>
        <v>High</v>
      </c>
    </row>
    <row r="442" spans="1:23" hidden="1" x14ac:dyDescent="0.25">
      <c r="A442" s="1">
        <v>45586.46912037037</v>
      </c>
      <c r="B442" s="1">
        <f>INT(smart_dataset[[#This Row],[Timestamp]])</f>
        <v>45586</v>
      </c>
      <c r="C442" s="1">
        <f>MOD(smart_dataset[[#This Row],[Timestamp]],1)</f>
        <v>0.46912037036963739</v>
      </c>
      <c r="D442" s="1">
        <f>YEAR(smart_dataset[[#This Row],[Date]])</f>
        <v>2024</v>
      </c>
      <c r="E442" s="1">
        <f>MONTH(smart_dataset[[#This Row],[Timestamp]])</f>
        <v>10</v>
      </c>
      <c r="F442" t="s">
        <v>30</v>
      </c>
      <c r="G442">
        <v>77.875100000000003</v>
      </c>
      <c r="H442">
        <v>144.04</v>
      </c>
      <c r="I442">
        <v>322</v>
      </c>
      <c r="J442" t="s">
        <v>17</v>
      </c>
      <c r="K442">
        <v>26.1</v>
      </c>
      <c r="L442">
        <v>71.900000000000006</v>
      </c>
      <c r="M442" t="s">
        <v>18</v>
      </c>
      <c r="N442">
        <v>45</v>
      </c>
      <c r="O442">
        <v>339</v>
      </c>
      <c r="P442">
        <v>8</v>
      </c>
      <c r="Q442" t="s">
        <v>23</v>
      </c>
      <c r="R442">
        <v>97.6</v>
      </c>
      <c r="S442">
        <v>145</v>
      </c>
      <c r="T442">
        <v>1</v>
      </c>
      <c r="U442" t="str" cm="1">
        <f t="array" ref="U442">_xlfn.IFS(smart_dataset[[#This Row],[Waiting_Time]]&lt;=20,"Low",smart_dataset[[#This Row],[Waiting_Time]]&lt;=40,"Medium",TRUE,"High")</f>
        <v>High</v>
      </c>
      <c r="V442" t="str" cm="1">
        <f t="array" ref="V442">_xlfn.IFS(smart_dataset[[#This Row],[Temperature]]&lt;=20,"Cold",smart_dataset[[#This Row],[Temperature]]&lt;=28,"Normal",TRUE,"Hot")</f>
        <v>Normal</v>
      </c>
      <c r="W442" t="str" cm="1">
        <f t="array" ref="W442">_xlfn.IFS(smart_dataset[[#This Row],[Asset_Utilization]]&lt;=75,"Low",smart_dataset[[#This Row],[Asset_Utilization]]&lt;=90,"Medium",TRUE,"High")</f>
        <v>High</v>
      </c>
    </row>
    <row r="443" spans="1:23" hidden="1" x14ac:dyDescent="0.25">
      <c r="A443" s="1">
        <v>45621.12427083333</v>
      </c>
      <c r="B443" s="1">
        <f>INT(smart_dataset[[#This Row],[Timestamp]])</f>
        <v>45621</v>
      </c>
      <c r="C443" s="1">
        <f>MOD(smart_dataset[[#This Row],[Timestamp]],1)</f>
        <v>0.12427083333022892</v>
      </c>
      <c r="D443" s="1">
        <f>YEAR(smart_dataset[[#This Row],[Date]])</f>
        <v>2024</v>
      </c>
      <c r="E443" s="1">
        <f>MONTH(smart_dataset[[#This Row],[Timestamp]])</f>
        <v>11</v>
      </c>
      <c r="F443" t="s">
        <v>35</v>
      </c>
      <c r="G443">
        <v>-56.667400000000001</v>
      </c>
      <c r="H443">
        <v>-50.0426</v>
      </c>
      <c r="I443">
        <v>126</v>
      </c>
      <c r="J443" t="s">
        <v>26</v>
      </c>
      <c r="K443">
        <v>20.3</v>
      </c>
      <c r="L443">
        <v>51.2</v>
      </c>
      <c r="M443" t="s">
        <v>18</v>
      </c>
      <c r="N443">
        <v>53</v>
      </c>
      <c r="O443">
        <v>486</v>
      </c>
      <c r="P443">
        <v>7</v>
      </c>
      <c r="Q443" t="s">
        <v>31</v>
      </c>
      <c r="R443">
        <v>97.5</v>
      </c>
      <c r="S443">
        <v>129</v>
      </c>
      <c r="T443">
        <v>0</v>
      </c>
      <c r="U443" t="str" cm="1">
        <f t="array" ref="U443">_xlfn.IFS(smart_dataset[[#This Row],[Waiting_Time]]&lt;=20,"Low",smart_dataset[[#This Row],[Waiting_Time]]&lt;=40,"Medium",TRUE,"High")</f>
        <v>High</v>
      </c>
      <c r="V443" t="str" cm="1">
        <f t="array" ref="V443">_xlfn.IFS(smart_dataset[[#This Row],[Temperature]]&lt;=20,"Cold",smart_dataset[[#This Row],[Temperature]]&lt;=28,"Normal",TRUE,"Hot")</f>
        <v>Normal</v>
      </c>
      <c r="W443" t="str" cm="1">
        <f t="array" ref="W443">_xlfn.IFS(smart_dataset[[#This Row],[Asset_Utilization]]&lt;=75,"Low",smart_dataset[[#This Row],[Asset_Utilization]]&lt;=90,"Medium",TRUE,"High")</f>
        <v>High</v>
      </c>
    </row>
    <row r="444" spans="1:23" hidden="1" x14ac:dyDescent="0.25">
      <c r="A444" s="1">
        <v>45646.334293981483</v>
      </c>
      <c r="B444" s="1">
        <f>INT(smart_dataset[[#This Row],[Timestamp]])</f>
        <v>45646</v>
      </c>
      <c r="C444" s="1">
        <f>MOD(smart_dataset[[#This Row],[Timestamp]],1)</f>
        <v>0.33429398148291511</v>
      </c>
      <c r="D444" s="1">
        <f>YEAR(smart_dataset[[#This Row],[Date]])</f>
        <v>2024</v>
      </c>
      <c r="E444" s="1">
        <f>MONTH(smart_dataset[[#This Row],[Timestamp]])</f>
        <v>12</v>
      </c>
      <c r="F444" t="s">
        <v>33</v>
      </c>
      <c r="G444">
        <v>62.099899999999998</v>
      </c>
      <c r="H444">
        <v>-9.5972000000000008</v>
      </c>
      <c r="I444">
        <v>142</v>
      </c>
      <c r="J444" t="s">
        <v>21</v>
      </c>
      <c r="K444">
        <v>22.7</v>
      </c>
      <c r="L444">
        <v>66.099999999999994</v>
      </c>
      <c r="M444" t="s">
        <v>18</v>
      </c>
      <c r="N444">
        <v>59</v>
      </c>
      <c r="O444">
        <v>343</v>
      </c>
      <c r="P444">
        <v>6</v>
      </c>
      <c r="Q444" t="s">
        <v>31</v>
      </c>
      <c r="R444">
        <v>86.7</v>
      </c>
      <c r="S444">
        <v>256</v>
      </c>
      <c r="T444">
        <v>0</v>
      </c>
      <c r="U444" t="str" cm="1">
        <f t="array" ref="U444">_xlfn.IFS(smart_dataset[[#This Row],[Waiting_Time]]&lt;=20,"Low",smart_dataset[[#This Row],[Waiting_Time]]&lt;=40,"Medium",TRUE,"High")</f>
        <v>High</v>
      </c>
      <c r="V444" t="str" cm="1">
        <f t="array" ref="V444">_xlfn.IFS(smart_dataset[[#This Row],[Temperature]]&lt;=20,"Cold",smart_dataset[[#This Row],[Temperature]]&lt;=28,"Normal",TRUE,"Hot")</f>
        <v>Normal</v>
      </c>
      <c r="W444" t="str" cm="1">
        <f t="array" ref="W444">_xlfn.IFS(smart_dataset[[#This Row],[Asset_Utilization]]&lt;=75,"Low",smart_dataset[[#This Row],[Asset_Utilization]]&lt;=90,"Medium",TRUE,"High")</f>
        <v>Medium</v>
      </c>
    </row>
    <row r="445" spans="1:23" hidden="1" x14ac:dyDescent="0.25">
      <c r="A445" s="1">
        <v>45472.796724537038</v>
      </c>
      <c r="B445" s="1">
        <f>INT(smart_dataset[[#This Row],[Timestamp]])</f>
        <v>45472</v>
      </c>
      <c r="C445" s="1">
        <f>MOD(smart_dataset[[#This Row],[Timestamp]],1)</f>
        <v>0.79672453703824431</v>
      </c>
      <c r="D445" s="1">
        <f>YEAR(smart_dataset[[#This Row],[Date]])</f>
        <v>2024</v>
      </c>
      <c r="E445" s="1">
        <f>MONTH(smart_dataset[[#This Row],[Timestamp]])</f>
        <v>6</v>
      </c>
      <c r="F445" t="s">
        <v>25</v>
      </c>
      <c r="G445">
        <v>57.9908</v>
      </c>
      <c r="H445">
        <v>-117.5288</v>
      </c>
      <c r="I445">
        <v>444</v>
      </c>
      <c r="J445" t="s">
        <v>26</v>
      </c>
      <c r="K445">
        <v>21.6</v>
      </c>
      <c r="L445">
        <v>53.2</v>
      </c>
      <c r="M445" t="s">
        <v>18</v>
      </c>
      <c r="N445">
        <v>16</v>
      </c>
      <c r="O445">
        <v>113</v>
      </c>
      <c r="P445">
        <v>2</v>
      </c>
      <c r="Q445" t="s">
        <v>27</v>
      </c>
      <c r="R445">
        <v>96.1</v>
      </c>
      <c r="S445">
        <v>181</v>
      </c>
      <c r="T445">
        <v>0</v>
      </c>
      <c r="U445" t="str" cm="1">
        <f t="array" ref="U445">_xlfn.IFS(smart_dataset[[#This Row],[Waiting_Time]]&lt;=20,"Low",smart_dataset[[#This Row],[Waiting_Time]]&lt;=40,"Medium",TRUE,"High")</f>
        <v>Low</v>
      </c>
      <c r="V445" t="str" cm="1">
        <f t="array" ref="V445">_xlfn.IFS(smart_dataset[[#This Row],[Temperature]]&lt;=20,"Cold",smart_dataset[[#This Row],[Temperature]]&lt;=28,"Normal",TRUE,"Hot")</f>
        <v>Normal</v>
      </c>
      <c r="W445" t="str" cm="1">
        <f t="array" ref="W445">_xlfn.IFS(smart_dataset[[#This Row],[Asset_Utilization]]&lt;=75,"Low",smart_dataset[[#This Row],[Asset_Utilization]]&lt;=90,"Medium",TRUE,"High")</f>
        <v>High</v>
      </c>
    </row>
    <row r="446" spans="1:23" hidden="1" x14ac:dyDescent="0.25">
      <c r="A446" s="1">
        <v>45639.790219907409</v>
      </c>
      <c r="B446" s="1">
        <f>INT(smart_dataset[[#This Row],[Timestamp]])</f>
        <v>45639</v>
      </c>
      <c r="C446" s="1">
        <f>MOD(smart_dataset[[#This Row],[Timestamp]],1)</f>
        <v>0.79021990740875481</v>
      </c>
      <c r="D446" s="1">
        <f>YEAR(smart_dataset[[#This Row],[Date]])</f>
        <v>2024</v>
      </c>
      <c r="E446" s="1">
        <f>MONTH(smart_dataset[[#This Row],[Timestamp]])</f>
        <v>12</v>
      </c>
      <c r="F446" t="s">
        <v>30</v>
      </c>
      <c r="G446">
        <v>73.127399999999994</v>
      </c>
      <c r="H446">
        <v>-63.939900000000002</v>
      </c>
      <c r="I446">
        <v>100</v>
      </c>
      <c r="J446" t="s">
        <v>26</v>
      </c>
      <c r="K446">
        <v>22.4</v>
      </c>
      <c r="L446">
        <v>71.599999999999994</v>
      </c>
      <c r="M446" t="s">
        <v>18</v>
      </c>
      <c r="N446">
        <v>22</v>
      </c>
      <c r="O446">
        <v>389</v>
      </c>
      <c r="P446">
        <v>4</v>
      </c>
      <c r="Q446" t="s">
        <v>27</v>
      </c>
      <c r="R446">
        <v>73.400000000000006</v>
      </c>
      <c r="S446">
        <v>159</v>
      </c>
      <c r="T446">
        <v>0</v>
      </c>
      <c r="U446" t="str" cm="1">
        <f t="array" ref="U446">_xlfn.IFS(smart_dataset[[#This Row],[Waiting_Time]]&lt;=20,"Low",smart_dataset[[#This Row],[Waiting_Time]]&lt;=40,"Medium",TRUE,"High")</f>
        <v>Medium</v>
      </c>
      <c r="V446" t="str" cm="1">
        <f t="array" ref="V446">_xlfn.IFS(smart_dataset[[#This Row],[Temperature]]&lt;=20,"Cold",smart_dataset[[#This Row],[Temperature]]&lt;=28,"Normal",TRUE,"Hot")</f>
        <v>Normal</v>
      </c>
      <c r="W446" t="str" cm="1">
        <f t="array" ref="W446">_xlfn.IFS(smart_dataset[[#This Row],[Asset_Utilization]]&lt;=75,"Low",smart_dataset[[#This Row],[Asset_Utilization]]&lt;=90,"Medium",TRUE,"High")</f>
        <v>Low</v>
      </c>
    </row>
    <row r="447" spans="1:23" hidden="1" x14ac:dyDescent="0.25">
      <c r="A447" s="1">
        <v>45616.225914351853</v>
      </c>
      <c r="B447" s="1">
        <f>INT(smart_dataset[[#This Row],[Timestamp]])</f>
        <v>45616</v>
      </c>
      <c r="C447" s="1">
        <f>MOD(smart_dataset[[#This Row],[Timestamp]],1)</f>
        <v>0.22591435185313458</v>
      </c>
      <c r="D447" s="1">
        <f>YEAR(smart_dataset[[#This Row],[Date]])</f>
        <v>2024</v>
      </c>
      <c r="E447" s="1">
        <f>MONTH(smart_dataset[[#This Row],[Timestamp]])</f>
        <v>11</v>
      </c>
      <c r="F447" t="s">
        <v>33</v>
      </c>
      <c r="G447">
        <v>-28.694900000000001</v>
      </c>
      <c r="H447">
        <v>-110.51609999999999</v>
      </c>
      <c r="I447">
        <v>227</v>
      </c>
      <c r="J447" t="s">
        <v>21</v>
      </c>
      <c r="K447">
        <v>22.6</v>
      </c>
      <c r="L447">
        <v>58.5</v>
      </c>
      <c r="M447" t="s">
        <v>18</v>
      </c>
      <c r="N447">
        <v>24</v>
      </c>
      <c r="O447">
        <v>477</v>
      </c>
      <c r="P447">
        <v>10</v>
      </c>
      <c r="Q447" t="s">
        <v>23</v>
      </c>
      <c r="R447">
        <v>89</v>
      </c>
      <c r="S447">
        <v>139</v>
      </c>
      <c r="T447">
        <v>0</v>
      </c>
      <c r="U447" t="str" cm="1">
        <f t="array" ref="U447">_xlfn.IFS(smart_dataset[[#This Row],[Waiting_Time]]&lt;=20,"Low",smart_dataset[[#This Row],[Waiting_Time]]&lt;=40,"Medium",TRUE,"High")</f>
        <v>Medium</v>
      </c>
      <c r="V447" t="str" cm="1">
        <f t="array" ref="V447">_xlfn.IFS(smart_dataset[[#This Row],[Temperature]]&lt;=20,"Cold",smart_dataset[[#This Row],[Temperature]]&lt;=28,"Normal",TRUE,"Hot")</f>
        <v>Normal</v>
      </c>
      <c r="W447" t="str" cm="1">
        <f t="array" ref="W447">_xlfn.IFS(smart_dataset[[#This Row],[Asset_Utilization]]&lt;=75,"Low",smart_dataset[[#This Row],[Asset_Utilization]]&lt;=90,"Medium",TRUE,"High")</f>
        <v>Medium</v>
      </c>
    </row>
    <row r="448" spans="1:23" hidden="1" x14ac:dyDescent="0.25">
      <c r="A448" s="1">
        <v>45472.410578703704</v>
      </c>
      <c r="B448" s="1">
        <f>INT(smart_dataset[[#This Row],[Timestamp]])</f>
        <v>45472</v>
      </c>
      <c r="C448" s="1">
        <f>MOD(smart_dataset[[#This Row],[Timestamp]],1)</f>
        <v>0.41057870370423188</v>
      </c>
      <c r="D448" s="1">
        <f>YEAR(smart_dataset[[#This Row],[Date]])</f>
        <v>2024</v>
      </c>
      <c r="E448" s="1">
        <f>MONTH(smart_dataset[[#This Row],[Timestamp]])</f>
        <v>6</v>
      </c>
      <c r="F448" t="s">
        <v>33</v>
      </c>
      <c r="G448">
        <v>-28.915199999999999</v>
      </c>
      <c r="H448">
        <v>114.375</v>
      </c>
      <c r="I448">
        <v>416</v>
      </c>
      <c r="J448" t="s">
        <v>26</v>
      </c>
      <c r="K448">
        <v>20.7</v>
      </c>
      <c r="L448">
        <v>69.099999999999994</v>
      </c>
      <c r="M448" t="s">
        <v>18</v>
      </c>
      <c r="N448">
        <v>32</v>
      </c>
      <c r="O448">
        <v>139</v>
      </c>
      <c r="P448">
        <v>6</v>
      </c>
      <c r="Q448" t="s">
        <v>31</v>
      </c>
      <c r="R448">
        <v>91.7</v>
      </c>
      <c r="S448">
        <v>221</v>
      </c>
      <c r="T448">
        <v>0</v>
      </c>
      <c r="U448" t="str" cm="1">
        <f t="array" ref="U448">_xlfn.IFS(smart_dataset[[#This Row],[Waiting_Time]]&lt;=20,"Low",smart_dataset[[#This Row],[Waiting_Time]]&lt;=40,"Medium",TRUE,"High")</f>
        <v>Medium</v>
      </c>
      <c r="V448" t="str" cm="1">
        <f t="array" ref="V448">_xlfn.IFS(smart_dataset[[#This Row],[Temperature]]&lt;=20,"Cold",smart_dataset[[#This Row],[Temperature]]&lt;=28,"Normal",TRUE,"Hot")</f>
        <v>Normal</v>
      </c>
      <c r="W448" t="str" cm="1">
        <f t="array" ref="W448">_xlfn.IFS(smart_dataset[[#This Row],[Asset_Utilization]]&lt;=75,"Low",smart_dataset[[#This Row],[Asset_Utilization]]&lt;=90,"Medium",TRUE,"High")</f>
        <v>High</v>
      </c>
    </row>
    <row r="449" spans="1:23" hidden="1" x14ac:dyDescent="0.25">
      <c r="A449" s="1">
        <v>45648.981909722221</v>
      </c>
      <c r="B449" s="1">
        <f>INT(smart_dataset[[#This Row],[Timestamp]])</f>
        <v>45648</v>
      </c>
      <c r="C449" s="1">
        <f>MOD(smart_dataset[[#This Row],[Timestamp]],1)</f>
        <v>0.98190972222073469</v>
      </c>
      <c r="D449" s="1">
        <f>YEAR(smart_dataset[[#This Row],[Date]])</f>
        <v>2024</v>
      </c>
      <c r="E449" s="1">
        <f>MONTH(smart_dataset[[#This Row],[Timestamp]])</f>
        <v>12</v>
      </c>
      <c r="F449" t="s">
        <v>33</v>
      </c>
      <c r="G449">
        <v>83.948800000000006</v>
      </c>
      <c r="H449">
        <v>131.11969999999999</v>
      </c>
      <c r="I449">
        <v>499</v>
      </c>
      <c r="J449" t="s">
        <v>17</v>
      </c>
      <c r="K449">
        <v>25.8</v>
      </c>
      <c r="L449">
        <v>64</v>
      </c>
      <c r="M449" t="s">
        <v>18</v>
      </c>
      <c r="N449">
        <v>46</v>
      </c>
      <c r="O449">
        <v>295</v>
      </c>
      <c r="P449">
        <v>6</v>
      </c>
      <c r="Q449" t="s">
        <v>27</v>
      </c>
      <c r="R449">
        <v>87.6</v>
      </c>
      <c r="S449">
        <v>160</v>
      </c>
      <c r="T449">
        <v>1</v>
      </c>
      <c r="U449" t="str" cm="1">
        <f t="array" ref="U449">_xlfn.IFS(smart_dataset[[#This Row],[Waiting_Time]]&lt;=20,"Low",smart_dataset[[#This Row],[Waiting_Time]]&lt;=40,"Medium",TRUE,"High")</f>
        <v>High</v>
      </c>
      <c r="V449" t="str" cm="1">
        <f t="array" ref="V449">_xlfn.IFS(smart_dataset[[#This Row],[Temperature]]&lt;=20,"Cold",smart_dataset[[#This Row],[Temperature]]&lt;=28,"Normal",TRUE,"Hot")</f>
        <v>Normal</v>
      </c>
      <c r="W449" t="str" cm="1">
        <f t="array" ref="W449">_xlfn.IFS(smart_dataset[[#This Row],[Asset_Utilization]]&lt;=75,"Low",smart_dataset[[#This Row],[Asset_Utilization]]&lt;=90,"Medium",TRUE,"High")</f>
        <v>Medium</v>
      </c>
    </row>
    <row r="450" spans="1:23" hidden="1" x14ac:dyDescent="0.25">
      <c r="A450" s="1">
        <v>45466.922581018516</v>
      </c>
      <c r="B450" s="1">
        <f>INT(smart_dataset[[#This Row],[Timestamp]])</f>
        <v>45466</v>
      </c>
      <c r="C450" s="1">
        <f>MOD(smart_dataset[[#This Row],[Timestamp]],1)</f>
        <v>0.92258101851621177</v>
      </c>
      <c r="D450" s="1">
        <f>YEAR(smart_dataset[[#This Row],[Date]])</f>
        <v>2024</v>
      </c>
      <c r="E450" s="1">
        <f>MONTH(smart_dataset[[#This Row],[Timestamp]])</f>
        <v>6</v>
      </c>
      <c r="F450" t="s">
        <v>20</v>
      </c>
      <c r="G450">
        <v>52.163499999999999</v>
      </c>
      <c r="H450">
        <v>10.829599999999999</v>
      </c>
      <c r="I450">
        <v>328</v>
      </c>
      <c r="J450" t="s">
        <v>26</v>
      </c>
      <c r="K450">
        <v>29.8</v>
      </c>
      <c r="L450">
        <v>53.5</v>
      </c>
      <c r="M450" t="s">
        <v>28</v>
      </c>
      <c r="N450">
        <v>54</v>
      </c>
      <c r="O450">
        <v>144</v>
      </c>
      <c r="P450">
        <v>6</v>
      </c>
      <c r="Q450" t="s">
        <v>23</v>
      </c>
      <c r="R450">
        <v>78</v>
      </c>
      <c r="S450">
        <v>158</v>
      </c>
      <c r="T450">
        <v>0</v>
      </c>
      <c r="U450" t="str" cm="1">
        <f t="array" ref="U450">_xlfn.IFS(smart_dataset[[#This Row],[Waiting_Time]]&lt;=20,"Low",smart_dataset[[#This Row],[Waiting_Time]]&lt;=40,"Medium",TRUE,"High")</f>
        <v>High</v>
      </c>
      <c r="V450" t="str" cm="1">
        <f t="array" ref="V450">_xlfn.IFS(smart_dataset[[#This Row],[Temperature]]&lt;=20,"Cold",smart_dataset[[#This Row],[Temperature]]&lt;=28,"Normal",TRUE,"Hot")</f>
        <v>Hot</v>
      </c>
      <c r="W450" t="str" cm="1">
        <f t="array" ref="W450">_xlfn.IFS(smart_dataset[[#This Row],[Asset_Utilization]]&lt;=75,"Low",smart_dataset[[#This Row],[Asset_Utilization]]&lt;=90,"Medium",TRUE,"High")</f>
        <v>Medium</v>
      </c>
    </row>
    <row r="451" spans="1:23" x14ac:dyDescent="0.25">
      <c r="A451" s="1">
        <v>45380.218356481484</v>
      </c>
      <c r="B451" s="1">
        <f>INT(smart_dataset[[#This Row],[Timestamp]])</f>
        <v>45380</v>
      </c>
      <c r="C451" s="7">
        <f>MOD(smart_dataset[[#This Row],[Timestamp]],1)</f>
        <v>0.21835648148407927</v>
      </c>
      <c r="D451">
        <f>YEAR(smart_dataset[[#This Row],[Date]])</f>
        <v>2024</v>
      </c>
      <c r="E451">
        <f>MONTH(smart_dataset[[#This Row],[Timestamp]])</f>
        <v>3</v>
      </c>
      <c r="F451" t="s">
        <v>35</v>
      </c>
      <c r="G451">
        <v>36.518500000000003</v>
      </c>
      <c r="H451">
        <v>-71.971800000000002</v>
      </c>
      <c r="I451">
        <v>324</v>
      </c>
      <c r="J451" t="s">
        <v>26</v>
      </c>
      <c r="K451">
        <v>28.2</v>
      </c>
      <c r="L451">
        <v>56.8</v>
      </c>
      <c r="M451" t="s">
        <v>22</v>
      </c>
      <c r="N451">
        <v>10</v>
      </c>
      <c r="O451">
        <v>249</v>
      </c>
      <c r="P451">
        <v>7</v>
      </c>
      <c r="Q451" t="s">
        <v>19</v>
      </c>
      <c r="R451">
        <v>76.7</v>
      </c>
      <c r="S451">
        <v>298</v>
      </c>
      <c r="T451">
        <v>1</v>
      </c>
      <c r="U451" t="str" cm="1">
        <f t="array" ref="U451">_xlfn.IFS(smart_dataset[[#This Row],[Waiting_Time]]&lt;=20,"Low",smart_dataset[[#This Row],[Waiting_Time]]&lt;=40,"Medium",TRUE,"High")</f>
        <v>Low</v>
      </c>
      <c r="V451" t="str" cm="1">
        <f t="array" ref="V451">_xlfn.IFS(smart_dataset[[#This Row],[Temperature]]&lt;=20,"Cold",smart_dataset[[#This Row],[Temperature]]&lt;=28,"Normal",TRUE,"Hot")</f>
        <v>Hot</v>
      </c>
      <c r="W451" t="str" cm="1">
        <f t="array" ref="W451">_xlfn.IFS(smart_dataset[[#This Row],[Asset_Utilization]]&lt;=75,"Low",smart_dataset[[#This Row],[Asset_Utilization]]&lt;=90,"Medium",TRUE,"High")</f>
        <v>Medium</v>
      </c>
    </row>
    <row r="452" spans="1:23" x14ac:dyDescent="0.25">
      <c r="A452" s="1">
        <v>45385.591157407405</v>
      </c>
      <c r="B452" s="1">
        <f>INT(smart_dataset[[#This Row],[Timestamp]])</f>
        <v>45385</v>
      </c>
      <c r="C452" s="7">
        <f>MOD(smart_dataset[[#This Row],[Timestamp]],1)</f>
        <v>0.59115740740526235</v>
      </c>
      <c r="D452">
        <f>YEAR(smart_dataset[[#This Row],[Date]])</f>
        <v>2024</v>
      </c>
      <c r="E452">
        <f>MONTH(smart_dataset[[#This Row],[Timestamp]])</f>
        <v>4</v>
      </c>
      <c r="F452" t="s">
        <v>34</v>
      </c>
      <c r="G452">
        <v>-10.8232</v>
      </c>
      <c r="H452">
        <v>144.09819999999999</v>
      </c>
      <c r="I452">
        <v>401</v>
      </c>
      <c r="J452" t="s">
        <v>21</v>
      </c>
      <c r="K452">
        <v>26.3</v>
      </c>
      <c r="L452">
        <v>59.4</v>
      </c>
      <c r="M452" t="s">
        <v>22</v>
      </c>
      <c r="N452">
        <v>30</v>
      </c>
      <c r="O452">
        <v>268</v>
      </c>
      <c r="P452">
        <v>7</v>
      </c>
      <c r="Q452" t="s">
        <v>19</v>
      </c>
      <c r="R452">
        <v>67.599999999999994</v>
      </c>
      <c r="S452">
        <v>225</v>
      </c>
      <c r="T452">
        <v>1</v>
      </c>
      <c r="U452" t="str" cm="1">
        <f t="array" ref="U452">_xlfn.IFS(smart_dataset[[#This Row],[Waiting_Time]]&lt;=20,"Low",smart_dataset[[#This Row],[Waiting_Time]]&lt;=40,"Medium",TRUE,"High")</f>
        <v>Medium</v>
      </c>
      <c r="V452" t="str" cm="1">
        <f t="array" ref="V452">_xlfn.IFS(smart_dataset[[#This Row],[Temperature]]&lt;=20,"Cold",smart_dataset[[#This Row],[Temperature]]&lt;=28,"Normal",TRUE,"Hot")</f>
        <v>Normal</v>
      </c>
      <c r="W452" t="str" cm="1">
        <f t="array" ref="W452">_xlfn.IFS(smart_dataset[[#This Row],[Asset_Utilization]]&lt;=75,"Low",smart_dataset[[#This Row],[Asset_Utilization]]&lt;=90,"Medium",TRUE,"High")</f>
        <v>Low</v>
      </c>
    </row>
    <row r="453" spans="1:23" x14ac:dyDescent="0.25">
      <c r="A453" s="1">
        <v>45641.585046296299</v>
      </c>
      <c r="B453" s="1">
        <f>INT(smart_dataset[[#This Row],[Timestamp]])</f>
        <v>45641</v>
      </c>
      <c r="C453" s="7">
        <f>MOD(smart_dataset[[#This Row],[Timestamp]],1)</f>
        <v>0.58504629629896954</v>
      </c>
      <c r="D453">
        <f>YEAR(smart_dataset[[#This Row],[Date]])</f>
        <v>2024</v>
      </c>
      <c r="E453">
        <f>MONTH(smart_dataset[[#This Row],[Timestamp]])</f>
        <v>12</v>
      </c>
      <c r="F453" t="s">
        <v>35</v>
      </c>
      <c r="G453">
        <v>-37.919499999999999</v>
      </c>
      <c r="H453">
        <v>-99.376800000000003</v>
      </c>
      <c r="I453">
        <v>182</v>
      </c>
      <c r="J453" t="s">
        <v>17</v>
      </c>
      <c r="K453">
        <v>22.9</v>
      </c>
      <c r="L453">
        <v>54.4</v>
      </c>
      <c r="M453" t="s">
        <v>18</v>
      </c>
      <c r="N453">
        <v>50</v>
      </c>
      <c r="O453">
        <v>135</v>
      </c>
      <c r="P453">
        <v>3</v>
      </c>
      <c r="Q453" t="s">
        <v>19</v>
      </c>
      <c r="R453">
        <v>98.4</v>
      </c>
      <c r="S453">
        <v>268</v>
      </c>
      <c r="T453">
        <v>1</v>
      </c>
      <c r="U453" t="str" cm="1">
        <f t="array" ref="U453">_xlfn.IFS(smart_dataset[[#This Row],[Waiting_Time]]&lt;=20,"Low",smart_dataset[[#This Row],[Waiting_Time]]&lt;=40,"Medium",TRUE,"High")</f>
        <v>High</v>
      </c>
      <c r="V453" t="str" cm="1">
        <f t="array" ref="V453">_xlfn.IFS(smart_dataset[[#This Row],[Temperature]]&lt;=20,"Cold",smart_dataset[[#This Row],[Temperature]]&lt;=28,"Normal",TRUE,"Hot")</f>
        <v>Normal</v>
      </c>
      <c r="W453" t="str" cm="1">
        <f t="array" ref="W453">_xlfn.IFS(smart_dataset[[#This Row],[Asset_Utilization]]&lt;=75,"Low",smart_dataset[[#This Row],[Asset_Utilization]]&lt;=90,"Medium",TRUE,"High")</f>
        <v>High</v>
      </c>
    </row>
    <row r="454" spans="1:23" hidden="1" x14ac:dyDescent="0.25">
      <c r="A454" s="1">
        <v>45510.557847222219</v>
      </c>
      <c r="B454" s="1">
        <f>INT(smart_dataset[[#This Row],[Timestamp]])</f>
        <v>45510</v>
      </c>
      <c r="C454" s="1">
        <f>MOD(smart_dataset[[#This Row],[Timestamp]],1)</f>
        <v>0.55784722221869742</v>
      </c>
      <c r="D454" s="1">
        <f>YEAR(smart_dataset[[#This Row],[Date]])</f>
        <v>2024</v>
      </c>
      <c r="E454" s="1">
        <f>MONTH(smart_dataset[[#This Row],[Timestamp]])</f>
        <v>8</v>
      </c>
      <c r="F454" t="s">
        <v>20</v>
      </c>
      <c r="G454">
        <v>-7.2984</v>
      </c>
      <c r="H454">
        <v>-44.591799999999999</v>
      </c>
      <c r="I454">
        <v>264</v>
      </c>
      <c r="J454" t="s">
        <v>26</v>
      </c>
      <c r="K454">
        <v>29.5</v>
      </c>
      <c r="L454">
        <v>67.3</v>
      </c>
      <c r="M454" t="s">
        <v>22</v>
      </c>
      <c r="N454">
        <v>32</v>
      </c>
      <c r="O454">
        <v>314</v>
      </c>
      <c r="P454">
        <v>8</v>
      </c>
      <c r="Q454" t="s">
        <v>27</v>
      </c>
      <c r="R454">
        <v>65.900000000000006</v>
      </c>
      <c r="S454">
        <v>202</v>
      </c>
      <c r="T454">
        <v>1</v>
      </c>
      <c r="U454" t="str" cm="1">
        <f t="array" ref="U454">_xlfn.IFS(smart_dataset[[#This Row],[Waiting_Time]]&lt;=20,"Low",smart_dataset[[#This Row],[Waiting_Time]]&lt;=40,"Medium",TRUE,"High")</f>
        <v>Medium</v>
      </c>
      <c r="V454" t="str" cm="1">
        <f t="array" ref="V454">_xlfn.IFS(smart_dataset[[#This Row],[Temperature]]&lt;=20,"Cold",smart_dataset[[#This Row],[Temperature]]&lt;=28,"Normal",TRUE,"Hot")</f>
        <v>Hot</v>
      </c>
      <c r="W454" t="str" cm="1">
        <f t="array" ref="W454">_xlfn.IFS(smart_dataset[[#This Row],[Asset_Utilization]]&lt;=75,"Low",smart_dataset[[#This Row],[Asset_Utilization]]&lt;=90,"Medium",TRUE,"High")</f>
        <v>Low</v>
      </c>
    </row>
    <row r="455" spans="1:23" hidden="1" x14ac:dyDescent="0.25">
      <c r="A455" s="1">
        <v>45365.108020833337</v>
      </c>
      <c r="B455" s="1">
        <f>INT(smart_dataset[[#This Row],[Timestamp]])</f>
        <v>45365</v>
      </c>
      <c r="C455" s="1">
        <f>MOD(smart_dataset[[#This Row],[Timestamp]],1)</f>
        <v>0.10802083333692281</v>
      </c>
      <c r="D455" s="1">
        <f>YEAR(smart_dataset[[#This Row],[Date]])</f>
        <v>2024</v>
      </c>
      <c r="E455" s="1">
        <f>MONTH(smart_dataset[[#This Row],[Timestamp]])</f>
        <v>3</v>
      </c>
      <c r="F455" t="s">
        <v>32</v>
      </c>
      <c r="G455">
        <v>13.6845</v>
      </c>
      <c r="H455">
        <v>-126.4199</v>
      </c>
      <c r="I455">
        <v>293</v>
      </c>
      <c r="J455" t="s">
        <v>26</v>
      </c>
      <c r="K455">
        <v>23.8</v>
      </c>
      <c r="L455">
        <v>62.8</v>
      </c>
      <c r="M455" t="s">
        <v>18</v>
      </c>
      <c r="N455">
        <v>19</v>
      </c>
      <c r="O455">
        <v>135</v>
      </c>
      <c r="P455">
        <v>1</v>
      </c>
      <c r="Q455" t="s">
        <v>31</v>
      </c>
      <c r="R455">
        <v>98.8</v>
      </c>
      <c r="S455">
        <v>291</v>
      </c>
      <c r="T455">
        <v>0</v>
      </c>
      <c r="U455" t="str" cm="1">
        <f t="array" ref="U455">_xlfn.IFS(smart_dataset[[#This Row],[Waiting_Time]]&lt;=20,"Low",smart_dataset[[#This Row],[Waiting_Time]]&lt;=40,"Medium",TRUE,"High")</f>
        <v>Low</v>
      </c>
      <c r="V455" t="str" cm="1">
        <f t="array" ref="V455">_xlfn.IFS(smart_dataset[[#This Row],[Temperature]]&lt;=20,"Cold",smart_dataset[[#This Row],[Temperature]]&lt;=28,"Normal",TRUE,"Hot")</f>
        <v>Normal</v>
      </c>
      <c r="W455" t="str" cm="1">
        <f t="array" ref="W455">_xlfn.IFS(smart_dataset[[#This Row],[Asset_Utilization]]&lt;=75,"Low",smart_dataset[[#This Row],[Asset_Utilization]]&lt;=90,"Medium",TRUE,"High")</f>
        <v>High</v>
      </c>
    </row>
    <row r="456" spans="1:23" x14ac:dyDescent="0.25">
      <c r="A456" s="1">
        <v>45531.024143518516</v>
      </c>
      <c r="B456" s="1">
        <f>INT(smart_dataset[[#This Row],[Timestamp]])</f>
        <v>45531</v>
      </c>
      <c r="C456" s="7">
        <f>MOD(smart_dataset[[#This Row],[Timestamp]],1)</f>
        <v>2.414351851621177E-2</v>
      </c>
      <c r="D456">
        <f>YEAR(smart_dataset[[#This Row],[Date]])</f>
        <v>2024</v>
      </c>
      <c r="E456">
        <f>MONTH(smart_dataset[[#This Row],[Timestamp]])</f>
        <v>8</v>
      </c>
      <c r="F456" t="s">
        <v>24</v>
      </c>
      <c r="G456">
        <v>-70.642799999999994</v>
      </c>
      <c r="H456">
        <v>166.3723</v>
      </c>
      <c r="I456">
        <v>343</v>
      </c>
      <c r="J456" t="s">
        <v>21</v>
      </c>
      <c r="K456">
        <v>29.5</v>
      </c>
      <c r="L456">
        <v>59.8</v>
      </c>
      <c r="M456" t="s">
        <v>18</v>
      </c>
      <c r="N456">
        <v>35</v>
      </c>
      <c r="O456">
        <v>294</v>
      </c>
      <c r="P456">
        <v>8</v>
      </c>
      <c r="Q456" t="s">
        <v>19</v>
      </c>
      <c r="R456">
        <v>73.7</v>
      </c>
      <c r="S456">
        <v>256</v>
      </c>
      <c r="T456">
        <v>0</v>
      </c>
      <c r="U456" t="str" cm="1">
        <f t="array" ref="U456">_xlfn.IFS(smart_dataset[[#This Row],[Waiting_Time]]&lt;=20,"Low",smart_dataset[[#This Row],[Waiting_Time]]&lt;=40,"Medium",TRUE,"High")</f>
        <v>Medium</v>
      </c>
      <c r="V456" t="str" cm="1">
        <f t="array" ref="V456">_xlfn.IFS(smart_dataset[[#This Row],[Temperature]]&lt;=20,"Cold",smart_dataset[[#This Row],[Temperature]]&lt;=28,"Normal",TRUE,"Hot")</f>
        <v>Hot</v>
      </c>
      <c r="W456" t="str" cm="1">
        <f t="array" ref="W456">_xlfn.IFS(smart_dataset[[#This Row],[Asset_Utilization]]&lt;=75,"Low",smart_dataset[[#This Row],[Asset_Utilization]]&lt;=90,"Medium",TRUE,"High")</f>
        <v>Low</v>
      </c>
    </row>
    <row r="457" spans="1:23" hidden="1" x14ac:dyDescent="0.25">
      <c r="A457" s="1">
        <v>45406.86859953704</v>
      </c>
      <c r="B457" s="1">
        <f>INT(smart_dataset[[#This Row],[Timestamp]])</f>
        <v>45406</v>
      </c>
      <c r="C457" s="1">
        <f>MOD(smart_dataset[[#This Row],[Timestamp]],1)</f>
        <v>0.8685995370396995</v>
      </c>
      <c r="D457" s="1">
        <f>YEAR(smart_dataset[[#This Row],[Date]])</f>
        <v>2024</v>
      </c>
      <c r="E457" s="1">
        <f>MONTH(smart_dataset[[#This Row],[Timestamp]])</f>
        <v>4</v>
      </c>
      <c r="F457" t="s">
        <v>29</v>
      </c>
      <c r="G457">
        <v>-19.392900000000001</v>
      </c>
      <c r="H457">
        <v>-10.2537</v>
      </c>
      <c r="I457">
        <v>103</v>
      </c>
      <c r="J457" t="s">
        <v>21</v>
      </c>
      <c r="K457">
        <v>24.8</v>
      </c>
      <c r="L457">
        <v>79.3</v>
      </c>
      <c r="M457" t="s">
        <v>22</v>
      </c>
      <c r="N457">
        <v>22</v>
      </c>
      <c r="O457">
        <v>393</v>
      </c>
      <c r="P457">
        <v>9</v>
      </c>
      <c r="Q457" t="s">
        <v>23</v>
      </c>
      <c r="R457">
        <v>88.6</v>
      </c>
      <c r="S457">
        <v>108</v>
      </c>
      <c r="T457">
        <v>1</v>
      </c>
      <c r="U457" t="str" cm="1">
        <f t="array" ref="U457">_xlfn.IFS(smart_dataset[[#This Row],[Waiting_Time]]&lt;=20,"Low",smart_dataset[[#This Row],[Waiting_Time]]&lt;=40,"Medium",TRUE,"High")</f>
        <v>Medium</v>
      </c>
      <c r="V457" t="str" cm="1">
        <f t="array" ref="V457">_xlfn.IFS(smart_dataset[[#This Row],[Temperature]]&lt;=20,"Cold",smart_dataset[[#This Row],[Temperature]]&lt;=28,"Normal",TRUE,"Hot")</f>
        <v>Normal</v>
      </c>
      <c r="W457" t="str" cm="1">
        <f t="array" ref="W457">_xlfn.IFS(smart_dataset[[#This Row],[Asset_Utilization]]&lt;=75,"Low",smart_dataset[[#This Row],[Asset_Utilization]]&lt;=90,"Medium",TRUE,"High")</f>
        <v>Medium</v>
      </c>
    </row>
    <row r="458" spans="1:23" x14ac:dyDescent="0.25">
      <c r="A458" s="1">
        <v>45544.903854166667</v>
      </c>
      <c r="B458" s="1">
        <f>INT(smart_dataset[[#This Row],[Timestamp]])</f>
        <v>45544</v>
      </c>
      <c r="C458" s="7">
        <f>MOD(smart_dataset[[#This Row],[Timestamp]],1)</f>
        <v>0.90385416666686069</v>
      </c>
      <c r="D458">
        <f>YEAR(smart_dataset[[#This Row],[Date]])</f>
        <v>2024</v>
      </c>
      <c r="E458">
        <f>MONTH(smart_dataset[[#This Row],[Timestamp]])</f>
        <v>9</v>
      </c>
      <c r="F458" t="s">
        <v>25</v>
      </c>
      <c r="G458">
        <v>-32.514099999999999</v>
      </c>
      <c r="H458">
        <v>-170.95660000000001</v>
      </c>
      <c r="I458">
        <v>295</v>
      </c>
      <c r="J458" t="s">
        <v>26</v>
      </c>
      <c r="K458">
        <v>23.6</v>
      </c>
      <c r="L458">
        <v>72.8</v>
      </c>
      <c r="M458" t="s">
        <v>18</v>
      </c>
      <c r="N458">
        <v>18</v>
      </c>
      <c r="O458">
        <v>327</v>
      </c>
      <c r="P458">
        <v>5</v>
      </c>
      <c r="Q458" t="s">
        <v>19</v>
      </c>
      <c r="R458">
        <v>92.1</v>
      </c>
      <c r="S458">
        <v>283</v>
      </c>
      <c r="T458">
        <v>0</v>
      </c>
      <c r="U458" t="str" cm="1">
        <f t="array" ref="U458">_xlfn.IFS(smart_dataset[[#This Row],[Waiting_Time]]&lt;=20,"Low",smart_dataset[[#This Row],[Waiting_Time]]&lt;=40,"Medium",TRUE,"High")</f>
        <v>Low</v>
      </c>
      <c r="V458" t="str" cm="1">
        <f t="array" ref="V458">_xlfn.IFS(smart_dataset[[#This Row],[Temperature]]&lt;=20,"Cold",smart_dataset[[#This Row],[Temperature]]&lt;=28,"Normal",TRUE,"Hot")</f>
        <v>Normal</v>
      </c>
      <c r="W458" t="str" cm="1">
        <f t="array" ref="W458">_xlfn.IFS(smart_dataset[[#This Row],[Asset_Utilization]]&lt;=75,"Low",smart_dataset[[#This Row],[Asset_Utilization]]&lt;=90,"Medium",TRUE,"High")</f>
        <v>High</v>
      </c>
    </row>
    <row r="459" spans="1:23" x14ac:dyDescent="0.25">
      <c r="A459" s="1">
        <v>45463.581909722219</v>
      </c>
      <c r="B459" s="1">
        <f>INT(smart_dataset[[#This Row],[Timestamp]])</f>
        <v>45463</v>
      </c>
      <c r="C459" s="7">
        <f>MOD(smart_dataset[[#This Row],[Timestamp]],1)</f>
        <v>0.5819097222192795</v>
      </c>
      <c r="D459">
        <f>YEAR(smart_dataset[[#This Row],[Date]])</f>
        <v>2024</v>
      </c>
      <c r="E459">
        <f>MONTH(smart_dataset[[#This Row],[Timestamp]])</f>
        <v>6</v>
      </c>
      <c r="F459" t="s">
        <v>24</v>
      </c>
      <c r="G459">
        <v>59.378300000000003</v>
      </c>
      <c r="H459">
        <v>74.962800000000001</v>
      </c>
      <c r="I459">
        <v>300</v>
      </c>
      <c r="J459" t="s">
        <v>26</v>
      </c>
      <c r="K459">
        <v>27.4</v>
      </c>
      <c r="L459">
        <v>52.8</v>
      </c>
      <c r="M459" t="s">
        <v>18</v>
      </c>
      <c r="N459">
        <v>35</v>
      </c>
      <c r="O459">
        <v>431</v>
      </c>
      <c r="P459">
        <v>10</v>
      </c>
      <c r="Q459" t="s">
        <v>19</v>
      </c>
      <c r="R459">
        <v>81.2</v>
      </c>
      <c r="S459">
        <v>120</v>
      </c>
      <c r="T459">
        <v>0</v>
      </c>
      <c r="U459" t="str" cm="1">
        <f t="array" ref="U459">_xlfn.IFS(smart_dataset[[#This Row],[Waiting_Time]]&lt;=20,"Low",smart_dataset[[#This Row],[Waiting_Time]]&lt;=40,"Medium",TRUE,"High")</f>
        <v>Medium</v>
      </c>
      <c r="V459" t="str" cm="1">
        <f t="array" ref="V459">_xlfn.IFS(smart_dataset[[#This Row],[Temperature]]&lt;=20,"Cold",smart_dataset[[#This Row],[Temperature]]&lt;=28,"Normal",TRUE,"Hot")</f>
        <v>Normal</v>
      </c>
      <c r="W459" t="str" cm="1">
        <f t="array" ref="W459">_xlfn.IFS(smart_dataset[[#This Row],[Asset_Utilization]]&lt;=75,"Low",smart_dataset[[#This Row],[Asset_Utilization]]&lt;=90,"Medium",TRUE,"High")</f>
        <v>Medium</v>
      </c>
    </row>
    <row r="460" spans="1:23" hidden="1" x14ac:dyDescent="0.25">
      <c r="A460" s="1">
        <v>45445.454548611109</v>
      </c>
      <c r="B460" s="1">
        <f>INT(smart_dataset[[#This Row],[Timestamp]])</f>
        <v>45445</v>
      </c>
      <c r="C460" s="1">
        <f>MOD(smart_dataset[[#This Row],[Timestamp]],1)</f>
        <v>0.45454861110920319</v>
      </c>
      <c r="D460" s="1">
        <f>YEAR(smart_dataset[[#This Row],[Date]])</f>
        <v>2024</v>
      </c>
      <c r="E460" s="1">
        <f>MONTH(smart_dataset[[#This Row],[Timestamp]])</f>
        <v>6</v>
      </c>
      <c r="F460" t="s">
        <v>16</v>
      </c>
      <c r="G460">
        <v>-36.2517</v>
      </c>
      <c r="H460">
        <v>72.472800000000007</v>
      </c>
      <c r="I460">
        <v>108</v>
      </c>
      <c r="J460" t="s">
        <v>26</v>
      </c>
      <c r="K460">
        <v>27.9</v>
      </c>
      <c r="L460">
        <v>65.599999999999994</v>
      </c>
      <c r="M460" t="s">
        <v>22</v>
      </c>
      <c r="N460">
        <v>46</v>
      </c>
      <c r="O460">
        <v>138</v>
      </c>
      <c r="P460">
        <v>4</v>
      </c>
      <c r="Q460" t="s">
        <v>27</v>
      </c>
      <c r="R460">
        <v>82.7</v>
      </c>
      <c r="S460">
        <v>173</v>
      </c>
      <c r="T460">
        <v>1</v>
      </c>
      <c r="U460" t="str" cm="1">
        <f t="array" ref="U460">_xlfn.IFS(smart_dataset[[#This Row],[Waiting_Time]]&lt;=20,"Low",smart_dataset[[#This Row],[Waiting_Time]]&lt;=40,"Medium",TRUE,"High")</f>
        <v>High</v>
      </c>
      <c r="V460" t="str" cm="1">
        <f t="array" ref="V460">_xlfn.IFS(smart_dataset[[#This Row],[Temperature]]&lt;=20,"Cold",smart_dataset[[#This Row],[Temperature]]&lt;=28,"Normal",TRUE,"Hot")</f>
        <v>Normal</v>
      </c>
      <c r="W460" t="str" cm="1">
        <f t="array" ref="W460">_xlfn.IFS(smart_dataset[[#This Row],[Asset_Utilization]]&lt;=75,"Low",smart_dataset[[#This Row],[Asset_Utilization]]&lt;=90,"Medium",TRUE,"High")</f>
        <v>Medium</v>
      </c>
    </row>
    <row r="461" spans="1:23" hidden="1" x14ac:dyDescent="0.25">
      <c r="A461" s="1">
        <v>45482.973460648151</v>
      </c>
      <c r="B461" s="1">
        <f>INT(smart_dataset[[#This Row],[Timestamp]])</f>
        <v>45482</v>
      </c>
      <c r="C461" s="1">
        <f>MOD(smart_dataset[[#This Row],[Timestamp]],1)</f>
        <v>0.97346064815064892</v>
      </c>
      <c r="D461" s="1">
        <f>YEAR(smart_dataset[[#This Row],[Date]])</f>
        <v>2024</v>
      </c>
      <c r="E461" s="1">
        <f>MONTH(smart_dataset[[#This Row],[Timestamp]])</f>
        <v>7</v>
      </c>
      <c r="F461" t="s">
        <v>32</v>
      </c>
      <c r="G461">
        <v>-55.985399999999998</v>
      </c>
      <c r="H461">
        <v>-149.89580000000001</v>
      </c>
      <c r="I461">
        <v>153</v>
      </c>
      <c r="J461" t="s">
        <v>17</v>
      </c>
      <c r="K461">
        <v>27.5</v>
      </c>
      <c r="L461">
        <v>69.900000000000006</v>
      </c>
      <c r="M461" t="s">
        <v>18</v>
      </c>
      <c r="N461">
        <v>24</v>
      </c>
      <c r="O461">
        <v>118</v>
      </c>
      <c r="P461">
        <v>7</v>
      </c>
      <c r="Q461" t="s">
        <v>23</v>
      </c>
      <c r="R461">
        <v>62.5</v>
      </c>
      <c r="S461">
        <v>237</v>
      </c>
      <c r="T461">
        <v>1</v>
      </c>
      <c r="U461" t="str" cm="1">
        <f t="array" ref="U461">_xlfn.IFS(smart_dataset[[#This Row],[Waiting_Time]]&lt;=20,"Low",smart_dataset[[#This Row],[Waiting_Time]]&lt;=40,"Medium",TRUE,"High")</f>
        <v>Medium</v>
      </c>
      <c r="V461" t="str" cm="1">
        <f t="array" ref="V461">_xlfn.IFS(smart_dataset[[#This Row],[Temperature]]&lt;=20,"Cold",smart_dataset[[#This Row],[Temperature]]&lt;=28,"Normal",TRUE,"Hot")</f>
        <v>Normal</v>
      </c>
      <c r="W461" t="str" cm="1">
        <f t="array" ref="W461">_xlfn.IFS(smart_dataset[[#This Row],[Asset_Utilization]]&lt;=75,"Low",smart_dataset[[#This Row],[Asset_Utilization]]&lt;=90,"Medium",TRUE,"High")</f>
        <v>Low</v>
      </c>
    </row>
    <row r="462" spans="1:23" x14ac:dyDescent="0.25">
      <c r="A462" s="1">
        <v>45476.411747685182</v>
      </c>
      <c r="B462" s="1">
        <f>INT(smart_dataset[[#This Row],[Timestamp]])</f>
        <v>45476</v>
      </c>
      <c r="C462" s="7">
        <f>MOD(smart_dataset[[#This Row],[Timestamp]],1)</f>
        <v>0.41174768518249039</v>
      </c>
      <c r="D462">
        <f>YEAR(smart_dataset[[#This Row],[Date]])</f>
        <v>2024</v>
      </c>
      <c r="E462">
        <f>MONTH(smart_dataset[[#This Row],[Timestamp]])</f>
        <v>7</v>
      </c>
      <c r="F462" t="s">
        <v>32</v>
      </c>
      <c r="G462">
        <v>27.325900000000001</v>
      </c>
      <c r="H462">
        <v>-116.20659999999999</v>
      </c>
      <c r="I462">
        <v>336</v>
      </c>
      <c r="J462" t="s">
        <v>21</v>
      </c>
      <c r="K462">
        <v>22.5</v>
      </c>
      <c r="L462">
        <v>51.6</v>
      </c>
      <c r="M462" t="s">
        <v>18</v>
      </c>
      <c r="N462">
        <v>11</v>
      </c>
      <c r="O462">
        <v>446</v>
      </c>
      <c r="P462">
        <v>6</v>
      </c>
      <c r="Q462" t="s">
        <v>19</v>
      </c>
      <c r="R462">
        <v>70.2</v>
      </c>
      <c r="S462">
        <v>275</v>
      </c>
      <c r="T462">
        <v>0</v>
      </c>
      <c r="U462" t="str" cm="1">
        <f t="array" ref="U462">_xlfn.IFS(smart_dataset[[#This Row],[Waiting_Time]]&lt;=20,"Low",smart_dataset[[#This Row],[Waiting_Time]]&lt;=40,"Medium",TRUE,"High")</f>
        <v>Low</v>
      </c>
      <c r="V462" t="str" cm="1">
        <f t="array" ref="V462">_xlfn.IFS(smart_dataset[[#This Row],[Temperature]]&lt;=20,"Cold",smart_dataset[[#This Row],[Temperature]]&lt;=28,"Normal",TRUE,"Hot")</f>
        <v>Normal</v>
      </c>
      <c r="W462" t="str" cm="1">
        <f t="array" ref="W462">_xlfn.IFS(smart_dataset[[#This Row],[Asset_Utilization]]&lt;=75,"Low",smart_dataset[[#This Row],[Asset_Utilization]]&lt;=90,"Medium",TRUE,"High")</f>
        <v>Low</v>
      </c>
    </row>
    <row r="463" spans="1:23" x14ac:dyDescent="0.25">
      <c r="A463" s="1">
        <v>45635.857662037037</v>
      </c>
      <c r="B463" s="1">
        <f>INT(smart_dataset[[#This Row],[Timestamp]])</f>
        <v>45635</v>
      </c>
      <c r="C463" s="7">
        <f>MOD(smart_dataset[[#This Row],[Timestamp]],1)</f>
        <v>0.85766203703678912</v>
      </c>
      <c r="D463">
        <f>YEAR(smart_dataset[[#This Row],[Date]])</f>
        <v>2024</v>
      </c>
      <c r="E463">
        <f>MONTH(smart_dataset[[#This Row],[Timestamp]])</f>
        <v>12</v>
      </c>
      <c r="F463" t="s">
        <v>25</v>
      </c>
      <c r="G463">
        <v>27.735700000000001</v>
      </c>
      <c r="H463">
        <v>-170.57660000000001</v>
      </c>
      <c r="I463">
        <v>211</v>
      </c>
      <c r="J463" t="s">
        <v>17</v>
      </c>
      <c r="K463">
        <v>21.7</v>
      </c>
      <c r="L463">
        <v>52.3</v>
      </c>
      <c r="M463" t="s">
        <v>18</v>
      </c>
      <c r="N463">
        <v>11</v>
      </c>
      <c r="O463">
        <v>401</v>
      </c>
      <c r="P463">
        <v>9</v>
      </c>
      <c r="Q463" t="s">
        <v>19</v>
      </c>
      <c r="R463">
        <v>66.2</v>
      </c>
      <c r="S463">
        <v>241</v>
      </c>
      <c r="T463">
        <v>1</v>
      </c>
      <c r="U463" t="str" cm="1">
        <f t="array" ref="U463">_xlfn.IFS(smart_dataset[[#This Row],[Waiting_Time]]&lt;=20,"Low",smart_dataset[[#This Row],[Waiting_Time]]&lt;=40,"Medium",TRUE,"High")</f>
        <v>Low</v>
      </c>
      <c r="V463" t="str" cm="1">
        <f t="array" ref="V463">_xlfn.IFS(smart_dataset[[#This Row],[Temperature]]&lt;=20,"Cold",smart_dataset[[#This Row],[Temperature]]&lt;=28,"Normal",TRUE,"Hot")</f>
        <v>Normal</v>
      </c>
      <c r="W463" t="str" cm="1">
        <f t="array" ref="W463">_xlfn.IFS(smart_dataset[[#This Row],[Asset_Utilization]]&lt;=75,"Low",smart_dataset[[#This Row],[Asset_Utilization]]&lt;=90,"Medium",TRUE,"High")</f>
        <v>Low</v>
      </c>
    </row>
    <row r="464" spans="1:23" hidden="1" x14ac:dyDescent="0.25">
      <c r="A464" s="1">
        <v>45365.038587962961</v>
      </c>
      <c r="B464" s="1">
        <f>INT(smart_dataset[[#This Row],[Timestamp]])</f>
        <v>45365</v>
      </c>
      <c r="C464" s="1">
        <f>MOD(smart_dataset[[#This Row],[Timestamp]],1)</f>
        <v>3.8587962961173616E-2</v>
      </c>
      <c r="D464" s="1">
        <f>YEAR(smart_dataset[[#This Row],[Date]])</f>
        <v>2024</v>
      </c>
      <c r="E464" s="1">
        <f>MONTH(smart_dataset[[#This Row],[Timestamp]])</f>
        <v>3</v>
      </c>
      <c r="F464" t="s">
        <v>29</v>
      </c>
      <c r="G464">
        <v>23.202300000000001</v>
      </c>
      <c r="H464">
        <v>92.276300000000006</v>
      </c>
      <c r="I464">
        <v>144</v>
      </c>
      <c r="J464" t="s">
        <v>26</v>
      </c>
      <c r="K464">
        <v>21.1</v>
      </c>
      <c r="L464">
        <v>58.8</v>
      </c>
      <c r="M464" t="s">
        <v>28</v>
      </c>
      <c r="N464">
        <v>35</v>
      </c>
      <c r="O464">
        <v>443</v>
      </c>
      <c r="P464">
        <v>10</v>
      </c>
      <c r="Q464" t="s">
        <v>31</v>
      </c>
      <c r="R464">
        <v>89</v>
      </c>
      <c r="S464">
        <v>141</v>
      </c>
      <c r="T464">
        <v>0</v>
      </c>
      <c r="U464" t="str" cm="1">
        <f t="array" ref="U464">_xlfn.IFS(smart_dataset[[#This Row],[Waiting_Time]]&lt;=20,"Low",smart_dataset[[#This Row],[Waiting_Time]]&lt;=40,"Medium",TRUE,"High")</f>
        <v>Medium</v>
      </c>
      <c r="V464" t="str" cm="1">
        <f t="array" ref="V464">_xlfn.IFS(smart_dataset[[#This Row],[Temperature]]&lt;=20,"Cold",smart_dataset[[#This Row],[Temperature]]&lt;=28,"Normal",TRUE,"Hot")</f>
        <v>Normal</v>
      </c>
      <c r="W464" t="str" cm="1">
        <f t="array" ref="W464">_xlfn.IFS(smart_dataset[[#This Row],[Asset_Utilization]]&lt;=75,"Low",smart_dataset[[#This Row],[Asset_Utilization]]&lt;=90,"Medium",TRUE,"High")</f>
        <v>Medium</v>
      </c>
    </row>
    <row r="465" spans="1:23" x14ac:dyDescent="0.25">
      <c r="A465" s="1">
        <v>45440.270729166667</v>
      </c>
      <c r="B465" s="1">
        <f>INT(smart_dataset[[#This Row],[Timestamp]])</f>
        <v>45440</v>
      </c>
      <c r="C465" s="7">
        <f>MOD(smart_dataset[[#This Row],[Timestamp]],1)</f>
        <v>0.27072916666656965</v>
      </c>
      <c r="D465">
        <f>YEAR(smart_dataset[[#This Row],[Date]])</f>
        <v>2024</v>
      </c>
      <c r="E465">
        <f>MONTH(smart_dataset[[#This Row],[Timestamp]])</f>
        <v>5</v>
      </c>
      <c r="F465" t="s">
        <v>24</v>
      </c>
      <c r="G465">
        <v>87.512900000000002</v>
      </c>
      <c r="H465">
        <v>-65.092200000000005</v>
      </c>
      <c r="I465">
        <v>224</v>
      </c>
      <c r="J465" t="s">
        <v>17</v>
      </c>
      <c r="K465">
        <v>21.7</v>
      </c>
      <c r="L465">
        <v>78.5</v>
      </c>
      <c r="M465" t="s">
        <v>28</v>
      </c>
      <c r="N465">
        <v>20</v>
      </c>
      <c r="O465">
        <v>428</v>
      </c>
      <c r="P465">
        <v>7</v>
      </c>
      <c r="Q465" t="s">
        <v>19</v>
      </c>
      <c r="R465">
        <v>72.400000000000006</v>
      </c>
      <c r="S465">
        <v>287</v>
      </c>
      <c r="T465">
        <v>1</v>
      </c>
      <c r="U465" t="str" cm="1">
        <f t="array" ref="U465">_xlfn.IFS(smart_dataset[[#This Row],[Waiting_Time]]&lt;=20,"Low",smart_dataset[[#This Row],[Waiting_Time]]&lt;=40,"Medium",TRUE,"High")</f>
        <v>Low</v>
      </c>
      <c r="V465" t="str" cm="1">
        <f t="array" ref="V465">_xlfn.IFS(smart_dataset[[#This Row],[Temperature]]&lt;=20,"Cold",smart_dataset[[#This Row],[Temperature]]&lt;=28,"Normal",TRUE,"Hot")</f>
        <v>Normal</v>
      </c>
      <c r="W465" t="str" cm="1">
        <f t="array" ref="W465">_xlfn.IFS(smart_dataset[[#This Row],[Asset_Utilization]]&lt;=75,"Low",smart_dataset[[#This Row],[Asset_Utilization]]&lt;=90,"Medium",TRUE,"High")</f>
        <v>Low</v>
      </c>
    </row>
    <row r="466" spans="1:23" x14ac:dyDescent="0.25">
      <c r="A466" s="1">
        <v>45618.992569444446</v>
      </c>
      <c r="B466" s="1">
        <f>INT(smart_dataset[[#This Row],[Timestamp]])</f>
        <v>45618</v>
      </c>
      <c r="C466" s="7">
        <f>MOD(smart_dataset[[#This Row],[Timestamp]],1)</f>
        <v>0.99256944444641704</v>
      </c>
      <c r="D466">
        <f>YEAR(smart_dataset[[#This Row],[Date]])</f>
        <v>2024</v>
      </c>
      <c r="E466">
        <f>MONTH(smart_dataset[[#This Row],[Timestamp]])</f>
        <v>11</v>
      </c>
      <c r="F466" t="s">
        <v>25</v>
      </c>
      <c r="G466">
        <v>81.197500000000005</v>
      </c>
      <c r="H466">
        <v>137.0497</v>
      </c>
      <c r="I466">
        <v>185</v>
      </c>
      <c r="J466" t="s">
        <v>21</v>
      </c>
      <c r="K466">
        <v>19.899999999999999</v>
      </c>
      <c r="L466">
        <v>66.3</v>
      </c>
      <c r="M466" t="s">
        <v>18</v>
      </c>
      <c r="N466">
        <v>59</v>
      </c>
      <c r="O466">
        <v>264</v>
      </c>
      <c r="P466">
        <v>4</v>
      </c>
      <c r="Q466" t="s">
        <v>19</v>
      </c>
      <c r="R466">
        <v>65.2</v>
      </c>
      <c r="S466">
        <v>177</v>
      </c>
      <c r="T466">
        <v>0</v>
      </c>
      <c r="U466" t="str" cm="1">
        <f t="array" ref="U466">_xlfn.IFS(smart_dataset[[#This Row],[Waiting_Time]]&lt;=20,"Low",smart_dataset[[#This Row],[Waiting_Time]]&lt;=40,"Medium",TRUE,"High")</f>
        <v>High</v>
      </c>
      <c r="V466" t="str" cm="1">
        <f t="array" ref="V466">_xlfn.IFS(smart_dataset[[#This Row],[Temperature]]&lt;=20,"Cold",smart_dataset[[#This Row],[Temperature]]&lt;=28,"Normal",TRUE,"Hot")</f>
        <v>Cold</v>
      </c>
      <c r="W466" t="str" cm="1">
        <f t="array" ref="W466">_xlfn.IFS(smart_dataset[[#This Row],[Asset_Utilization]]&lt;=75,"Low",smart_dataset[[#This Row],[Asset_Utilization]]&lt;=90,"Medium",TRUE,"High")</f>
        <v>Low</v>
      </c>
    </row>
    <row r="467" spans="1:23" hidden="1" x14ac:dyDescent="0.25">
      <c r="A467" s="1">
        <v>45403.15824074074</v>
      </c>
      <c r="B467" s="1">
        <f>INT(smart_dataset[[#This Row],[Timestamp]])</f>
        <v>45403</v>
      </c>
      <c r="C467" s="1">
        <f>MOD(smart_dataset[[#This Row],[Timestamp]],1)</f>
        <v>0.15824074074043892</v>
      </c>
      <c r="D467" s="1">
        <f>YEAR(smart_dataset[[#This Row],[Date]])</f>
        <v>2024</v>
      </c>
      <c r="E467" s="1">
        <f>MONTH(smart_dataset[[#This Row],[Timestamp]])</f>
        <v>4</v>
      </c>
      <c r="F467" t="s">
        <v>29</v>
      </c>
      <c r="G467">
        <v>55.918999999999997</v>
      </c>
      <c r="H467">
        <v>-39.578000000000003</v>
      </c>
      <c r="I467">
        <v>220</v>
      </c>
      <c r="J467" t="s">
        <v>21</v>
      </c>
      <c r="K467">
        <v>28.2</v>
      </c>
      <c r="L467">
        <v>55.4</v>
      </c>
      <c r="M467" t="s">
        <v>28</v>
      </c>
      <c r="N467">
        <v>10</v>
      </c>
      <c r="O467">
        <v>203</v>
      </c>
      <c r="P467">
        <v>8</v>
      </c>
      <c r="Q467" t="s">
        <v>23</v>
      </c>
      <c r="R467">
        <v>81.099999999999994</v>
      </c>
      <c r="S467">
        <v>281</v>
      </c>
      <c r="T467">
        <v>0</v>
      </c>
      <c r="U467" t="str" cm="1">
        <f t="array" ref="U467">_xlfn.IFS(smart_dataset[[#This Row],[Waiting_Time]]&lt;=20,"Low",smart_dataset[[#This Row],[Waiting_Time]]&lt;=40,"Medium",TRUE,"High")</f>
        <v>Low</v>
      </c>
      <c r="V467" t="str" cm="1">
        <f t="array" ref="V467">_xlfn.IFS(smart_dataset[[#This Row],[Temperature]]&lt;=20,"Cold",smart_dataset[[#This Row],[Temperature]]&lt;=28,"Normal",TRUE,"Hot")</f>
        <v>Hot</v>
      </c>
      <c r="W467" t="str" cm="1">
        <f t="array" ref="W467">_xlfn.IFS(smart_dataset[[#This Row],[Asset_Utilization]]&lt;=75,"Low",smart_dataset[[#This Row],[Asset_Utilization]]&lt;=90,"Medium",TRUE,"High")</f>
        <v>Medium</v>
      </c>
    </row>
    <row r="468" spans="1:23" hidden="1" x14ac:dyDescent="0.25">
      <c r="A468" s="1">
        <v>45366.293171296296</v>
      </c>
      <c r="B468" s="1">
        <f>INT(smart_dataset[[#This Row],[Timestamp]])</f>
        <v>45366</v>
      </c>
      <c r="C468" s="1">
        <f>MOD(smart_dataset[[#This Row],[Timestamp]],1)</f>
        <v>0.29317129629635019</v>
      </c>
      <c r="D468" s="1">
        <f>YEAR(smart_dataset[[#This Row],[Date]])</f>
        <v>2024</v>
      </c>
      <c r="E468" s="1">
        <f>MONTH(smart_dataset[[#This Row],[Timestamp]])</f>
        <v>3</v>
      </c>
      <c r="F468" t="s">
        <v>34</v>
      </c>
      <c r="G468">
        <v>-15.3314</v>
      </c>
      <c r="H468">
        <v>22.396999999999998</v>
      </c>
      <c r="I468">
        <v>236</v>
      </c>
      <c r="J468" t="s">
        <v>21</v>
      </c>
      <c r="K468">
        <v>18.3</v>
      </c>
      <c r="L468">
        <v>69</v>
      </c>
      <c r="M468" t="s">
        <v>28</v>
      </c>
      <c r="N468">
        <v>34</v>
      </c>
      <c r="O468">
        <v>303</v>
      </c>
      <c r="P468">
        <v>2</v>
      </c>
      <c r="Q468" t="s">
        <v>31</v>
      </c>
      <c r="R468">
        <v>62.6</v>
      </c>
      <c r="S468">
        <v>270</v>
      </c>
      <c r="T468">
        <v>0</v>
      </c>
      <c r="U468" t="str" cm="1">
        <f t="array" ref="U468">_xlfn.IFS(smart_dataset[[#This Row],[Waiting_Time]]&lt;=20,"Low",smart_dataset[[#This Row],[Waiting_Time]]&lt;=40,"Medium",TRUE,"High")</f>
        <v>Medium</v>
      </c>
      <c r="V468" t="str" cm="1">
        <f t="array" ref="V468">_xlfn.IFS(smart_dataset[[#This Row],[Temperature]]&lt;=20,"Cold",smart_dataset[[#This Row],[Temperature]]&lt;=28,"Normal",TRUE,"Hot")</f>
        <v>Cold</v>
      </c>
      <c r="W468" t="str" cm="1">
        <f t="array" ref="W468">_xlfn.IFS(smart_dataset[[#This Row],[Asset_Utilization]]&lt;=75,"Low",smart_dataset[[#This Row],[Asset_Utilization]]&lt;=90,"Medium",TRUE,"High")</f>
        <v>Low</v>
      </c>
    </row>
    <row r="469" spans="1:23" x14ac:dyDescent="0.25">
      <c r="A469" s="1">
        <v>45373.592083333337</v>
      </c>
      <c r="B469" s="1">
        <f>INT(smart_dataset[[#This Row],[Timestamp]])</f>
        <v>45373</v>
      </c>
      <c r="C469" s="7">
        <f>MOD(smart_dataset[[#This Row],[Timestamp]],1)</f>
        <v>0.59208333333663177</v>
      </c>
      <c r="D469">
        <f>YEAR(smart_dataset[[#This Row],[Date]])</f>
        <v>2024</v>
      </c>
      <c r="E469">
        <f>MONTH(smart_dataset[[#This Row],[Timestamp]])</f>
        <v>3</v>
      </c>
      <c r="F469" t="s">
        <v>24</v>
      </c>
      <c r="G469">
        <v>-55.360300000000002</v>
      </c>
      <c r="H469">
        <v>79.127600000000001</v>
      </c>
      <c r="I469">
        <v>159</v>
      </c>
      <c r="J469" t="s">
        <v>17</v>
      </c>
      <c r="K469">
        <v>29.7</v>
      </c>
      <c r="L469">
        <v>69.599999999999994</v>
      </c>
      <c r="M469" t="s">
        <v>28</v>
      </c>
      <c r="N469">
        <v>49</v>
      </c>
      <c r="O469">
        <v>227</v>
      </c>
      <c r="P469">
        <v>1</v>
      </c>
      <c r="Q469" t="s">
        <v>19</v>
      </c>
      <c r="R469">
        <v>62</v>
      </c>
      <c r="S469">
        <v>232</v>
      </c>
      <c r="T469">
        <v>1</v>
      </c>
      <c r="U469" t="str" cm="1">
        <f t="array" ref="U469">_xlfn.IFS(smart_dataset[[#This Row],[Waiting_Time]]&lt;=20,"Low",smart_dataset[[#This Row],[Waiting_Time]]&lt;=40,"Medium",TRUE,"High")</f>
        <v>High</v>
      </c>
      <c r="V469" t="str" cm="1">
        <f t="array" ref="V469">_xlfn.IFS(smart_dataset[[#This Row],[Temperature]]&lt;=20,"Cold",smart_dataset[[#This Row],[Temperature]]&lt;=28,"Normal",TRUE,"Hot")</f>
        <v>Hot</v>
      </c>
      <c r="W469" t="str" cm="1">
        <f t="array" ref="W469">_xlfn.IFS(smart_dataset[[#This Row],[Asset_Utilization]]&lt;=75,"Low",smart_dataset[[#This Row],[Asset_Utilization]]&lt;=90,"Medium",TRUE,"High")</f>
        <v>Low</v>
      </c>
    </row>
    <row r="470" spans="1:23" x14ac:dyDescent="0.25">
      <c r="A470" s="1">
        <v>45553.691631944443</v>
      </c>
      <c r="B470" s="1">
        <f>INT(smart_dataset[[#This Row],[Timestamp]])</f>
        <v>45553</v>
      </c>
      <c r="C470" s="7">
        <f>MOD(smart_dataset[[#This Row],[Timestamp]],1)</f>
        <v>0.69163194444263354</v>
      </c>
      <c r="D470">
        <f>YEAR(smart_dataset[[#This Row],[Date]])</f>
        <v>2024</v>
      </c>
      <c r="E470">
        <f>MONTH(smart_dataset[[#This Row],[Timestamp]])</f>
        <v>9</v>
      </c>
      <c r="F470" t="s">
        <v>20</v>
      </c>
      <c r="G470">
        <v>8.3933999999999997</v>
      </c>
      <c r="H470">
        <v>-165.20679999999999</v>
      </c>
      <c r="I470">
        <v>433</v>
      </c>
      <c r="J470" t="s">
        <v>17</v>
      </c>
      <c r="K470">
        <v>26.4</v>
      </c>
      <c r="L470">
        <v>69.3</v>
      </c>
      <c r="M470" t="s">
        <v>18</v>
      </c>
      <c r="N470">
        <v>25</v>
      </c>
      <c r="O470">
        <v>127</v>
      </c>
      <c r="P470">
        <v>8</v>
      </c>
      <c r="Q470" t="s">
        <v>19</v>
      </c>
      <c r="R470">
        <v>84.5</v>
      </c>
      <c r="S470">
        <v>125</v>
      </c>
      <c r="T470">
        <v>1</v>
      </c>
      <c r="U470" t="str" cm="1">
        <f t="array" ref="U470">_xlfn.IFS(smart_dataset[[#This Row],[Waiting_Time]]&lt;=20,"Low",smart_dataset[[#This Row],[Waiting_Time]]&lt;=40,"Medium",TRUE,"High")</f>
        <v>Medium</v>
      </c>
      <c r="V470" t="str" cm="1">
        <f t="array" ref="V470">_xlfn.IFS(smart_dataset[[#This Row],[Temperature]]&lt;=20,"Cold",smart_dataset[[#This Row],[Temperature]]&lt;=28,"Normal",TRUE,"Hot")</f>
        <v>Normal</v>
      </c>
      <c r="W470" t="str" cm="1">
        <f t="array" ref="W470">_xlfn.IFS(smart_dataset[[#This Row],[Asset_Utilization]]&lt;=75,"Low",smart_dataset[[#This Row],[Asset_Utilization]]&lt;=90,"Medium",TRUE,"High")</f>
        <v>Medium</v>
      </c>
    </row>
    <row r="471" spans="1:23" x14ac:dyDescent="0.25">
      <c r="A471" s="1">
        <v>45616.800023148149</v>
      </c>
      <c r="B471" s="1">
        <f>INT(smart_dataset[[#This Row],[Timestamp]])</f>
        <v>45616</v>
      </c>
      <c r="C471" s="7">
        <f>MOD(smart_dataset[[#This Row],[Timestamp]],1)</f>
        <v>0.80002314814919373</v>
      </c>
      <c r="D471">
        <f>YEAR(smart_dataset[[#This Row],[Date]])</f>
        <v>2024</v>
      </c>
      <c r="E471">
        <f>MONTH(smart_dataset[[#This Row],[Timestamp]])</f>
        <v>11</v>
      </c>
      <c r="F471" t="s">
        <v>16</v>
      </c>
      <c r="G471">
        <v>27.498999999999999</v>
      </c>
      <c r="H471">
        <v>-98.069699999999997</v>
      </c>
      <c r="I471">
        <v>109</v>
      </c>
      <c r="J471" t="s">
        <v>21</v>
      </c>
      <c r="K471">
        <v>25.1</v>
      </c>
      <c r="L471">
        <v>76.5</v>
      </c>
      <c r="M471" t="s">
        <v>22</v>
      </c>
      <c r="N471">
        <v>16</v>
      </c>
      <c r="O471">
        <v>356</v>
      </c>
      <c r="P471">
        <v>5</v>
      </c>
      <c r="Q471" t="s">
        <v>19</v>
      </c>
      <c r="R471">
        <v>64.900000000000006</v>
      </c>
      <c r="S471">
        <v>127</v>
      </c>
      <c r="T471">
        <v>1</v>
      </c>
      <c r="U471" t="str" cm="1">
        <f t="array" ref="U471">_xlfn.IFS(smart_dataset[[#This Row],[Waiting_Time]]&lt;=20,"Low",smart_dataset[[#This Row],[Waiting_Time]]&lt;=40,"Medium",TRUE,"High")</f>
        <v>Low</v>
      </c>
      <c r="V471" t="str" cm="1">
        <f t="array" ref="V471">_xlfn.IFS(smart_dataset[[#This Row],[Temperature]]&lt;=20,"Cold",smart_dataset[[#This Row],[Temperature]]&lt;=28,"Normal",TRUE,"Hot")</f>
        <v>Normal</v>
      </c>
      <c r="W471" t="str" cm="1">
        <f t="array" ref="W471">_xlfn.IFS(smart_dataset[[#This Row],[Asset_Utilization]]&lt;=75,"Low",smart_dataset[[#This Row],[Asset_Utilization]]&lt;=90,"Medium",TRUE,"High")</f>
        <v>Low</v>
      </c>
    </row>
    <row r="472" spans="1:23" hidden="1" x14ac:dyDescent="0.25">
      <c r="A472" s="1">
        <v>45390.759618055556</v>
      </c>
      <c r="B472" s="1">
        <f>INT(smart_dataset[[#This Row],[Timestamp]])</f>
        <v>45390</v>
      </c>
      <c r="C472" s="1">
        <f>MOD(smart_dataset[[#This Row],[Timestamp]],1)</f>
        <v>0.75961805555562023</v>
      </c>
      <c r="D472" s="1">
        <f>YEAR(smart_dataset[[#This Row],[Date]])</f>
        <v>2024</v>
      </c>
      <c r="E472" s="1">
        <f>MONTH(smart_dataset[[#This Row],[Timestamp]])</f>
        <v>4</v>
      </c>
      <c r="F472" t="s">
        <v>20</v>
      </c>
      <c r="G472">
        <v>14.686999999999999</v>
      </c>
      <c r="H472">
        <v>-33.9771</v>
      </c>
      <c r="I472">
        <v>453</v>
      </c>
      <c r="J472" t="s">
        <v>21</v>
      </c>
      <c r="K472">
        <v>25.8</v>
      </c>
      <c r="L472">
        <v>78.599999999999994</v>
      </c>
      <c r="M472" t="s">
        <v>18</v>
      </c>
      <c r="N472">
        <v>21</v>
      </c>
      <c r="O472">
        <v>142</v>
      </c>
      <c r="P472">
        <v>10</v>
      </c>
      <c r="Q472" t="s">
        <v>31</v>
      </c>
      <c r="R472">
        <v>85.7</v>
      </c>
      <c r="S472">
        <v>180</v>
      </c>
      <c r="T472">
        <v>0</v>
      </c>
      <c r="U472" t="str" cm="1">
        <f t="array" ref="U472">_xlfn.IFS(smart_dataset[[#This Row],[Waiting_Time]]&lt;=20,"Low",smart_dataset[[#This Row],[Waiting_Time]]&lt;=40,"Medium",TRUE,"High")</f>
        <v>Medium</v>
      </c>
      <c r="V472" t="str" cm="1">
        <f t="array" ref="V472">_xlfn.IFS(smart_dataset[[#This Row],[Temperature]]&lt;=20,"Cold",smart_dataset[[#This Row],[Temperature]]&lt;=28,"Normal",TRUE,"Hot")</f>
        <v>Normal</v>
      </c>
      <c r="W472" t="str" cm="1">
        <f t="array" ref="W472">_xlfn.IFS(smart_dataset[[#This Row],[Asset_Utilization]]&lt;=75,"Low",smart_dataset[[#This Row],[Asset_Utilization]]&lt;=90,"Medium",TRUE,"High")</f>
        <v>Medium</v>
      </c>
    </row>
    <row r="473" spans="1:23" hidden="1" x14ac:dyDescent="0.25">
      <c r="A473" s="1">
        <v>45304.691516203704</v>
      </c>
      <c r="B473" s="1">
        <f>INT(smart_dataset[[#This Row],[Timestamp]])</f>
        <v>45304</v>
      </c>
      <c r="C473" s="1">
        <f>MOD(smart_dataset[[#This Row],[Timestamp]],1)</f>
        <v>0.69151620370394085</v>
      </c>
      <c r="D473" s="1">
        <f>YEAR(smart_dataset[[#This Row],[Date]])</f>
        <v>2024</v>
      </c>
      <c r="E473" s="1">
        <f>MONTH(smart_dataset[[#This Row],[Timestamp]])</f>
        <v>1</v>
      </c>
      <c r="F473" t="s">
        <v>25</v>
      </c>
      <c r="G473">
        <v>19.3645</v>
      </c>
      <c r="H473">
        <v>-149.45230000000001</v>
      </c>
      <c r="I473">
        <v>169</v>
      </c>
      <c r="J473" t="s">
        <v>21</v>
      </c>
      <c r="K473">
        <v>28.6</v>
      </c>
      <c r="L473">
        <v>78.8</v>
      </c>
      <c r="M473" t="s">
        <v>22</v>
      </c>
      <c r="N473">
        <v>27</v>
      </c>
      <c r="O473">
        <v>482</v>
      </c>
      <c r="P473">
        <v>4</v>
      </c>
      <c r="Q473" t="s">
        <v>27</v>
      </c>
      <c r="R473">
        <v>80.5</v>
      </c>
      <c r="S473">
        <v>122</v>
      </c>
      <c r="T473">
        <v>1</v>
      </c>
      <c r="U473" t="str" cm="1">
        <f t="array" ref="U473">_xlfn.IFS(smart_dataset[[#This Row],[Waiting_Time]]&lt;=20,"Low",smart_dataset[[#This Row],[Waiting_Time]]&lt;=40,"Medium",TRUE,"High")</f>
        <v>Medium</v>
      </c>
      <c r="V473" t="str" cm="1">
        <f t="array" ref="V473">_xlfn.IFS(smart_dataset[[#This Row],[Temperature]]&lt;=20,"Cold",smart_dataset[[#This Row],[Temperature]]&lt;=28,"Normal",TRUE,"Hot")</f>
        <v>Hot</v>
      </c>
      <c r="W473" t="str" cm="1">
        <f t="array" ref="W473">_xlfn.IFS(smart_dataset[[#This Row],[Asset_Utilization]]&lt;=75,"Low",smart_dataset[[#This Row],[Asset_Utilization]]&lt;=90,"Medium",TRUE,"High")</f>
        <v>Medium</v>
      </c>
    </row>
    <row r="474" spans="1:23" hidden="1" x14ac:dyDescent="0.25">
      <c r="A474" s="1">
        <v>45607.191400462965</v>
      </c>
      <c r="B474" s="1">
        <f>INT(smart_dataset[[#This Row],[Timestamp]])</f>
        <v>45607</v>
      </c>
      <c r="C474" s="1">
        <f>MOD(smart_dataset[[#This Row],[Timestamp]],1)</f>
        <v>0.19140046296524815</v>
      </c>
      <c r="D474" s="1">
        <f>YEAR(smart_dataset[[#This Row],[Date]])</f>
        <v>2024</v>
      </c>
      <c r="E474" s="1">
        <f>MONTH(smart_dataset[[#This Row],[Timestamp]])</f>
        <v>11</v>
      </c>
      <c r="F474" t="s">
        <v>16</v>
      </c>
      <c r="G474">
        <v>38.085799999999999</v>
      </c>
      <c r="H474">
        <v>-149.297</v>
      </c>
      <c r="I474">
        <v>105</v>
      </c>
      <c r="J474" t="s">
        <v>17</v>
      </c>
      <c r="K474">
        <v>23.6</v>
      </c>
      <c r="L474">
        <v>54.4</v>
      </c>
      <c r="M474" t="s">
        <v>18</v>
      </c>
      <c r="N474">
        <v>18</v>
      </c>
      <c r="O474">
        <v>364</v>
      </c>
      <c r="P474">
        <v>10</v>
      </c>
      <c r="Q474" t="s">
        <v>27</v>
      </c>
      <c r="R474">
        <v>76</v>
      </c>
      <c r="S474">
        <v>158</v>
      </c>
      <c r="T474">
        <v>1</v>
      </c>
      <c r="U474" t="str" cm="1">
        <f t="array" ref="U474">_xlfn.IFS(smart_dataset[[#This Row],[Waiting_Time]]&lt;=20,"Low",smart_dataset[[#This Row],[Waiting_Time]]&lt;=40,"Medium",TRUE,"High")</f>
        <v>Low</v>
      </c>
      <c r="V474" t="str" cm="1">
        <f t="array" ref="V474">_xlfn.IFS(smart_dataset[[#This Row],[Temperature]]&lt;=20,"Cold",smart_dataset[[#This Row],[Temperature]]&lt;=28,"Normal",TRUE,"Hot")</f>
        <v>Normal</v>
      </c>
      <c r="W474" t="str" cm="1">
        <f t="array" ref="W474">_xlfn.IFS(smart_dataset[[#This Row],[Asset_Utilization]]&lt;=75,"Low",smart_dataset[[#This Row],[Asset_Utilization]]&lt;=90,"Medium",TRUE,"High")</f>
        <v>Medium</v>
      </c>
    </row>
    <row r="475" spans="1:23" hidden="1" x14ac:dyDescent="0.25">
      <c r="A475" s="1">
        <v>45569.670567129629</v>
      </c>
      <c r="B475" s="1">
        <f>INT(smart_dataset[[#This Row],[Timestamp]])</f>
        <v>45569</v>
      </c>
      <c r="C475" s="1">
        <f>MOD(smart_dataset[[#This Row],[Timestamp]],1)</f>
        <v>0.6705671296294895</v>
      </c>
      <c r="D475" s="1">
        <f>YEAR(smart_dataset[[#This Row],[Date]])</f>
        <v>2024</v>
      </c>
      <c r="E475" s="1">
        <f>MONTH(smart_dataset[[#This Row],[Timestamp]])</f>
        <v>10</v>
      </c>
      <c r="F475" t="s">
        <v>25</v>
      </c>
      <c r="G475">
        <v>4.3789999999999996</v>
      </c>
      <c r="H475">
        <v>97.635400000000004</v>
      </c>
      <c r="I475">
        <v>256</v>
      </c>
      <c r="J475" t="s">
        <v>26</v>
      </c>
      <c r="K475">
        <v>29.6</v>
      </c>
      <c r="L475">
        <v>73.7</v>
      </c>
      <c r="M475" t="s">
        <v>22</v>
      </c>
      <c r="N475">
        <v>20</v>
      </c>
      <c r="O475">
        <v>309</v>
      </c>
      <c r="P475">
        <v>8</v>
      </c>
      <c r="Q475" t="s">
        <v>23</v>
      </c>
      <c r="R475">
        <v>83.4</v>
      </c>
      <c r="S475">
        <v>142</v>
      </c>
      <c r="T475">
        <v>1</v>
      </c>
      <c r="U475" t="str" cm="1">
        <f t="array" ref="U475">_xlfn.IFS(smart_dataset[[#This Row],[Waiting_Time]]&lt;=20,"Low",smart_dataset[[#This Row],[Waiting_Time]]&lt;=40,"Medium",TRUE,"High")</f>
        <v>Low</v>
      </c>
      <c r="V475" t="str" cm="1">
        <f t="array" ref="V475">_xlfn.IFS(smart_dataset[[#This Row],[Temperature]]&lt;=20,"Cold",smart_dataset[[#This Row],[Temperature]]&lt;=28,"Normal",TRUE,"Hot")</f>
        <v>Hot</v>
      </c>
      <c r="W475" t="str" cm="1">
        <f t="array" ref="W475">_xlfn.IFS(smart_dataset[[#This Row],[Asset_Utilization]]&lt;=75,"Low",smart_dataset[[#This Row],[Asset_Utilization]]&lt;=90,"Medium",TRUE,"High")</f>
        <v>Medium</v>
      </c>
    </row>
    <row r="476" spans="1:23" hidden="1" x14ac:dyDescent="0.25">
      <c r="A476" s="1">
        <v>45424.895590277774</v>
      </c>
      <c r="B476" s="1">
        <f>INT(smart_dataset[[#This Row],[Timestamp]])</f>
        <v>45424</v>
      </c>
      <c r="C476" s="1">
        <f>MOD(smart_dataset[[#This Row],[Timestamp]],1)</f>
        <v>0.89559027777431766</v>
      </c>
      <c r="D476" s="1">
        <f>YEAR(smart_dataset[[#This Row],[Date]])</f>
        <v>2024</v>
      </c>
      <c r="E476" s="1">
        <f>MONTH(smart_dataset[[#This Row],[Timestamp]])</f>
        <v>5</v>
      </c>
      <c r="F476" t="s">
        <v>32</v>
      </c>
      <c r="G476">
        <v>-28.854199999999999</v>
      </c>
      <c r="H476">
        <v>119.50190000000001</v>
      </c>
      <c r="I476">
        <v>309</v>
      </c>
      <c r="J476" t="s">
        <v>26</v>
      </c>
      <c r="K476">
        <v>22.8</v>
      </c>
      <c r="L476">
        <v>52.8</v>
      </c>
      <c r="M476" t="s">
        <v>28</v>
      </c>
      <c r="N476">
        <v>19</v>
      </c>
      <c r="O476">
        <v>101</v>
      </c>
      <c r="P476">
        <v>2</v>
      </c>
      <c r="Q476" t="s">
        <v>31</v>
      </c>
      <c r="R476">
        <v>85.5</v>
      </c>
      <c r="S476">
        <v>242</v>
      </c>
      <c r="T476">
        <v>0</v>
      </c>
      <c r="U476" t="str" cm="1">
        <f t="array" ref="U476">_xlfn.IFS(smart_dataset[[#This Row],[Waiting_Time]]&lt;=20,"Low",smart_dataset[[#This Row],[Waiting_Time]]&lt;=40,"Medium",TRUE,"High")</f>
        <v>Low</v>
      </c>
      <c r="V476" t="str" cm="1">
        <f t="array" ref="V476">_xlfn.IFS(smart_dataset[[#This Row],[Temperature]]&lt;=20,"Cold",smart_dataset[[#This Row],[Temperature]]&lt;=28,"Normal",TRUE,"Hot")</f>
        <v>Normal</v>
      </c>
      <c r="W476" t="str" cm="1">
        <f t="array" ref="W476">_xlfn.IFS(smart_dataset[[#This Row],[Asset_Utilization]]&lt;=75,"Low",smart_dataset[[#This Row],[Asset_Utilization]]&lt;=90,"Medium",TRUE,"High")</f>
        <v>Medium</v>
      </c>
    </row>
    <row r="477" spans="1:23" hidden="1" x14ac:dyDescent="0.25">
      <c r="A477" s="1">
        <v>45649.208055555559</v>
      </c>
      <c r="B477" s="1">
        <f>INT(smart_dataset[[#This Row],[Timestamp]])</f>
        <v>45649</v>
      </c>
      <c r="C477" s="1">
        <f>MOD(smart_dataset[[#This Row],[Timestamp]],1)</f>
        <v>0.20805555555853061</v>
      </c>
      <c r="D477" s="1">
        <f>YEAR(smart_dataset[[#This Row],[Date]])</f>
        <v>2024</v>
      </c>
      <c r="E477" s="1">
        <f>MONTH(smart_dataset[[#This Row],[Timestamp]])</f>
        <v>12</v>
      </c>
      <c r="F477" t="s">
        <v>25</v>
      </c>
      <c r="G477">
        <v>-17.584299999999999</v>
      </c>
      <c r="H477">
        <v>-151.1609</v>
      </c>
      <c r="I477">
        <v>346</v>
      </c>
      <c r="J477" t="s">
        <v>26</v>
      </c>
      <c r="K477">
        <v>26.9</v>
      </c>
      <c r="L477">
        <v>70.599999999999994</v>
      </c>
      <c r="M477" t="s">
        <v>18</v>
      </c>
      <c r="N477">
        <v>44</v>
      </c>
      <c r="O477">
        <v>192</v>
      </c>
      <c r="P477">
        <v>9</v>
      </c>
      <c r="Q477" t="s">
        <v>27</v>
      </c>
      <c r="R477">
        <v>76.2</v>
      </c>
      <c r="S477">
        <v>239</v>
      </c>
      <c r="T477">
        <v>0</v>
      </c>
      <c r="U477" t="str" cm="1">
        <f t="array" ref="U477">_xlfn.IFS(smart_dataset[[#This Row],[Waiting_Time]]&lt;=20,"Low",smart_dataset[[#This Row],[Waiting_Time]]&lt;=40,"Medium",TRUE,"High")</f>
        <v>High</v>
      </c>
      <c r="V477" t="str" cm="1">
        <f t="array" ref="V477">_xlfn.IFS(smart_dataset[[#This Row],[Temperature]]&lt;=20,"Cold",smart_dataset[[#This Row],[Temperature]]&lt;=28,"Normal",TRUE,"Hot")</f>
        <v>Normal</v>
      </c>
      <c r="W477" t="str" cm="1">
        <f t="array" ref="W477">_xlfn.IFS(smart_dataset[[#This Row],[Asset_Utilization]]&lt;=75,"Low",smart_dataset[[#This Row],[Asset_Utilization]]&lt;=90,"Medium",TRUE,"High")</f>
        <v>Medium</v>
      </c>
    </row>
    <row r="478" spans="1:23" x14ac:dyDescent="0.25">
      <c r="A478" s="1">
        <v>45458.032453703701</v>
      </c>
      <c r="B478" s="1">
        <f>INT(smart_dataset[[#This Row],[Timestamp]])</f>
        <v>45458</v>
      </c>
      <c r="C478" s="7">
        <f>MOD(smart_dataset[[#This Row],[Timestamp]],1)</f>
        <v>3.2453703701321501E-2</v>
      </c>
      <c r="D478">
        <f>YEAR(smart_dataset[[#This Row],[Date]])</f>
        <v>2024</v>
      </c>
      <c r="E478">
        <f>MONTH(smart_dataset[[#This Row],[Timestamp]])</f>
        <v>6</v>
      </c>
      <c r="F478" t="s">
        <v>29</v>
      </c>
      <c r="G478">
        <v>15.5281</v>
      </c>
      <c r="H478">
        <v>-170.39410000000001</v>
      </c>
      <c r="I478">
        <v>302</v>
      </c>
      <c r="J478" t="s">
        <v>17</v>
      </c>
      <c r="K478">
        <v>24.6</v>
      </c>
      <c r="L478">
        <v>60.6</v>
      </c>
      <c r="M478" t="s">
        <v>22</v>
      </c>
      <c r="N478">
        <v>30</v>
      </c>
      <c r="O478">
        <v>431</v>
      </c>
      <c r="P478">
        <v>3</v>
      </c>
      <c r="Q478" t="s">
        <v>19</v>
      </c>
      <c r="R478">
        <v>76</v>
      </c>
      <c r="S478">
        <v>127</v>
      </c>
      <c r="T478">
        <v>1</v>
      </c>
      <c r="U478" t="str" cm="1">
        <f t="array" ref="U478">_xlfn.IFS(smart_dataset[[#This Row],[Waiting_Time]]&lt;=20,"Low",smart_dataset[[#This Row],[Waiting_Time]]&lt;=40,"Medium",TRUE,"High")</f>
        <v>Medium</v>
      </c>
      <c r="V478" t="str" cm="1">
        <f t="array" ref="V478">_xlfn.IFS(smart_dataset[[#This Row],[Temperature]]&lt;=20,"Cold",smart_dataset[[#This Row],[Temperature]]&lt;=28,"Normal",TRUE,"Hot")</f>
        <v>Normal</v>
      </c>
      <c r="W478" t="str" cm="1">
        <f t="array" ref="W478">_xlfn.IFS(smart_dataset[[#This Row],[Asset_Utilization]]&lt;=75,"Low",smart_dataset[[#This Row],[Asset_Utilization]]&lt;=90,"Medium",TRUE,"High")</f>
        <v>Medium</v>
      </c>
    </row>
    <row r="479" spans="1:23" x14ac:dyDescent="0.25">
      <c r="A479" s="1">
        <v>45491.728668981479</v>
      </c>
      <c r="B479" s="1">
        <f>INT(smart_dataset[[#This Row],[Timestamp]])</f>
        <v>45491</v>
      </c>
      <c r="C479" s="7">
        <f>MOD(smart_dataset[[#This Row],[Timestamp]],1)</f>
        <v>0.72866898147913162</v>
      </c>
      <c r="D479">
        <f>YEAR(smart_dataset[[#This Row],[Date]])</f>
        <v>2024</v>
      </c>
      <c r="E479">
        <f>MONTH(smart_dataset[[#This Row],[Timestamp]])</f>
        <v>7</v>
      </c>
      <c r="F479" t="s">
        <v>29</v>
      </c>
      <c r="G479">
        <v>-83.898300000000006</v>
      </c>
      <c r="H479">
        <v>-128.16419999999999</v>
      </c>
      <c r="I479">
        <v>181</v>
      </c>
      <c r="J479" t="s">
        <v>21</v>
      </c>
      <c r="K479">
        <v>24.7</v>
      </c>
      <c r="L479">
        <v>63.4</v>
      </c>
      <c r="M479" t="s">
        <v>22</v>
      </c>
      <c r="N479">
        <v>25</v>
      </c>
      <c r="O479">
        <v>107</v>
      </c>
      <c r="P479">
        <v>8</v>
      </c>
      <c r="Q479" t="s">
        <v>19</v>
      </c>
      <c r="R479">
        <v>71.3</v>
      </c>
      <c r="S479">
        <v>265</v>
      </c>
      <c r="T479">
        <v>1</v>
      </c>
      <c r="U479" t="str" cm="1">
        <f t="array" ref="U479">_xlfn.IFS(smart_dataset[[#This Row],[Waiting_Time]]&lt;=20,"Low",smart_dataset[[#This Row],[Waiting_Time]]&lt;=40,"Medium",TRUE,"High")</f>
        <v>Medium</v>
      </c>
      <c r="V479" t="str" cm="1">
        <f t="array" ref="V479">_xlfn.IFS(smart_dataset[[#This Row],[Temperature]]&lt;=20,"Cold",smart_dataset[[#This Row],[Temperature]]&lt;=28,"Normal",TRUE,"Hot")</f>
        <v>Normal</v>
      </c>
      <c r="W479" t="str" cm="1">
        <f t="array" ref="W479">_xlfn.IFS(smart_dataset[[#This Row],[Asset_Utilization]]&lt;=75,"Low",smart_dataset[[#This Row],[Asset_Utilization]]&lt;=90,"Medium",TRUE,"High")</f>
        <v>Low</v>
      </c>
    </row>
    <row r="480" spans="1:23" hidden="1" x14ac:dyDescent="0.25">
      <c r="A480" s="1">
        <v>45332.361747685187</v>
      </c>
      <c r="B480" s="1">
        <f>INT(smart_dataset[[#This Row],[Timestamp]])</f>
        <v>45332</v>
      </c>
      <c r="C480" s="1">
        <f>MOD(smart_dataset[[#This Row],[Timestamp]],1)</f>
        <v>0.36174768518685596</v>
      </c>
      <c r="D480" s="1">
        <f>YEAR(smart_dataset[[#This Row],[Date]])</f>
        <v>2024</v>
      </c>
      <c r="E480" s="1">
        <f>MONTH(smart_dataset[[#This Row],[Timestamp]])</f>
        <v>2</v>
      </c>
      <c r="F480" t="s">
        <v>25</v>
      </c>
      <c r="G480">
        <v>-25.482299999999999</v>
      </c>
      <c r="H480">
        <v>169.19210000000001</v>
      </c>
      <c r="I480">
        <v>282</v>
      </c>
      <c r="J480" t="s">
        <v>17</v>
      </c>
      <c r="K480">
        <v>21.8</v>
      </c>
      <c r="L480">
        <v>63.6</v>
      </c>
      <c r="M480" t="s">
        <v>28</v>
      </c>
      <c r="N480">
        <v>43</v>
      </c>
      <c r="O480">
        <v>370</v>
      </c>
      <c r="P480">
        <v>7</v>
      </c>
      <c r="Q480" t="s">
        <v>27</v>
      </c>
      <c r="R480">
        <v>69.400000000000006</v>
      </c>
      <c r="S480">
        <v>251</v>
      </c>
      <c r="T480">
        <v>1</v>
      </c>
      <c r="U480" t="str" cm="1">
        <f t="array" ref="U480">_xlfn.IFS(smart_dataset[[#This Row],[Waiting_Time]]&lt;=20,"Low",smart_dataset[[#This Row],[Waiting_Time]]&lt;=40,"Medium",TRUE,"High")</f>
        <v>High</v>
      </c>
      <c r="V480" t="str" cm="1">
        <f t="array" ref="V480">_xlfn.IFS(smart_dataset[[#This Row],[Temperature]]&lt;=20,"Cold",smart_dataset[[#This Row],[Temperature]]&lt;=28,"Normal",TRUE,"Hot")</f>
        <v>Normal</v>
      </c>
      <c r="W480" t="str" cm="1">
        <f t="array" ref="W480">_xlfn.IFS(smart_dataset[[#This Row],[Asset_Utilization]]&lt;=75,"Low",smart_dataset[[#This Row],[Asset_Utilization]]&lt;=90,"Medium",TRUE,"High")</f>
        <v>Low</v>
      </c>
    </row>
    <row r="481" spans="1:23" x14ac:dyDescent="0.25">
      <c r="A481" s="1">
        <v>45544.449155092596</v>
      </c>
      <c r="B481" s="1">
        <f>INT(smart_dataset[[#This Row],[Timestamp]])</f>
        <v>45544</v>
      </c>
      <c r="C481" s="7">
        <f>MOD(smart_dataset[[#This Row],[Timestamp]],1)</f>
        <v>0.44915509259590181</v>
      </c>
      <c r="D481">
        <f>YEAR(smart_dataset[[#This Row],[Date]])</f>
        <v>2024</v>
      </c>
      <c r="E481">
        <f>MONTH(smart_dataset[[#This Row],[Timestamp]])</f>
        <v>9</v>
      </c>
      <c r="F481" t="s">
        <v>24</v>
      </c>
      <c r="G481">
        <v>-69.492999999999995</v>
      </c>
      <c r="H481">
        <v>-118.9742</v>
      </c>
      <c r="I481">
        <v>398</v>
      </c>
      <c r="J481" t="s">
        <v>26</v>
      </c>
      <c r="K481">
        <v>26.5</v>
      </c>
      <c r="L481">
        <v>64.8</v>
      </c>
      <c r="M481" t="s">
        <v>22</v>
      </c>
      <c r="N481">
        <v>44</v>
      </c>
      <c r="O481">
        <v>387</v>
      </c>
      <c r="P481">
        <v>1</v>
      </c>
      <c r="Q481" t="s">
        <v>19</v>
      </c>
      <c r="R481">
        <v>90.6</v>
      </c>
      <c r="S481">
        <v>122</v>
      </c>
      <c r="T481">
        <v>1</v>
      </c>
      <c r="U481" t="str" cm="1">
        <f t="array" ref="U481">_xlfn.IFS(smart_dataset[[#This Row],[Waiting_Time]]&lt;=20,"Low",smart_dataset[[#This Row],[Waiting_Time]]&lt;=40,"Medium",TRUE,"High")</f>
        <v>High</v>
      </c>
      <c r="V481" t="str" cm="1">
        <f t="array" ref="V481">_xlfn.IFS(smart_dataset[[#This Row],[Temperature]]&lt;=20,"Cold",smart_dataset[[#This Row],[Temperature]]&lt;=28,"Normal",TRUE,"Hot")</f>
        <v>Normal</v>
      </c>
      <c r="W481" t="str" cm="1">
        <f t="array" ref="W481">_xlfn.IFS(smart_dataset[[#This Row],[Asset_Utilization]]&lt;=75,"Low",smart_dataset[[#This Row],[Asset_Utilization]]&lt;=90,"Medium",TRUE,"High")</f>
        <v>High</v>
      </c>
    </row>
    <row r="482" spans="1:23" hidden="1" x14ac:dyDescent="0.25">
      <c r="A482" s="1">
        <v>45401.345879629633</v>
      </c>
      <c r="B482" s="1">
        <f>INT(smart_dataset[[#This Row],[Timestamp]])</f>
        <v>45401</v>
      </c>
      <c r="C482" s="1">
        <f>MOD(smart_dataset[[#This Row],[Timestamp]],1)</f>
        <v>0.34587962963269092</v>
      </c>
      <c r="D482" s="1">
        <f>YEAR(smart_dataset[[#This Row],[Date]])</f>
        <v>2024</v>
      </c>
      <c r="E482" s="1">
        <f>MONTH(smart_dataset[[#This Row],[Timestamp]])</f>
        <v>4</v>
      </c>
      <c r="F482" t="s">
        <v>35</v>
      </c>
      <c r="G482">
        <v>-8.0714000000000006</v>
      </c>
      <c r="H482">
        <v>-158.03039999999999</v>
      </c>
      <c r="I482">
        <v>210</v>
      </c>
      <c r="J482" t="s">
        <v>21</v>
      </c>
      <c r="K482">
        <v>24.7</v>
      </c>
      <c r="L482">
        <v>65</v>
      </c>
      <c r="M482" t="s">
        <v>22</v>
      </c>
      <c r="N482">
        <v>50</v>
      </c>
      <c r="O482">
        <v>185</v>
      </c>
      <c r="P482">
        <v>10</v>
      </c>
      <c r="Q482" t="s">
        <v>31</v>
      </c>
      <c r="R482">
        <v>84.1</v>
      </c>
      <c r="S482">
        <v>140</v>
      </c>
      <c r="T482">
        <v>1</v>
      </c>
      <c r="U482" t="str" cm="1">
        <f t="array" ref="U482">_xlfn.IFS(smart_dataset[[#This Row],[Waiting_Time]]&lt;=20,"Low",smart_dataset[[#This Row],[Waiting_Time]]&lt;=40,"Medium",TRUE,"High")</f>
        <v>High</v>
      </c>
      <c r="V482" t="str" cm="1">
        <f t="array" ref="V482">_xlfn.IFS(smart_dataset[[#This Row],[Temperature]]&lt;=20,"Cold",smart_dataset[[#This Row],[Temperature]]&lt;=28,"Normal",TRUE,"Hot")</f>
        <v>Normal</v>
      </c>
      <c r="W482" t="str" cm="1">
        <f t="array" ref="W482">_xlfn.IFS(smart_dataset[[#This Row],[Asset_Utilization]]&lt;=75,"Low",smart_dataset[[#This Row],[Asset_Utilization]]&lt;=90,"Medium",TRUE,"High")</f>
        <v>Medium</v>
      </c>
    </row>
    <row r="483" spans="1:23" hidden="1" x14ac:dyDescent="0.25">
      <c r="A483" s="1">
        <v>45509.781527777777</v>
      </c>
      <c r="B483" s="1">
        <f>INT(smart_dataset[[#This Row],[Timestamp]])</f>
        <v>45509</v>
      </c>
      <c r="C483" s="1">
        <f>MOD(smart_dataset[[#This Row],[Timestamp]],1)</f>
        <v>0.78152777777722804</v>
      </c>
      <c r="D483" s="1">
        <f>YEAR(smart_dataset[[#This Row],[Date]])</f>
        <v>2024</v>
      </c>
      <c r="E483" s="1">
        <f>MONTH(smart_dataset[[#This Row],[Timestamp]])</f>
        <v>8</v>
      </c>
      <c r="F483" t="s">
        <v>25</v>
      </c>
      <c r="G483">
        <v>-59.991900000000001</v>
      </c>
      <c r="H483">
        <v>-162.9143</v>
      </c>
      <c r="I483">
        <v>188</v>
      </c>
      <c r="J483" t="s">
        <v>17</v>
      </c>
      <c r="K483">
        <v>22.4</v>
      </c>
      <c r="L483">
        <v>78</v>
      </c>
      <c r="M483" t="s">
        <v>22</v>
      </c>
      <c r="N483">
        <v>40</v>
      </c>
      <c r="O483">
        <v>372</v>
      </c>
      <c r="P483">
        <v>6</v>
      </c>
      <c r="Q483" t="s">
        <v>23</v>
      </c>
      <c r="R483">
        <v>98</v>
      </c>
      <c r="S483">
        <v>237</v>
      </c>
      <c r="T483">
        <v>1</v>
      </c>
      <c r="U483" t="str" cm="1">
        <f t="array" ref="U483">_xlfn.IFS(smart_dataset[[#This Row],[Waiting_Time]]&lt;=20,"Low",smart_dataset[[#This Row],[Waiting_Time]]&lt;=40,"Medium",TRUE,"High")</f>
        <v>Medium</v>
      </c>
      <c r="V483" t="str" cm="1">
        <f t="array" ref="V483">_xlfn.IFS(smart_dataset[[#This Row],[Temperature]]&lt;=20,"Cold",smart_dataset[[#This Row],[Temperature]]&lt;=28,"Normal",TRUE,"Hot")</f>
        <v>Normal</v>
      </c>
      <c r="W483" t="str" cm="1">
        <f t="array" ref="W483">_xlfn.IFS(smart_dataset[[#This Row],[Asset_Utilization]]&lt;=75,"Low",smart_dataset[[#This Row],[Asset_Utilization]]&lt;=90,"Medium",TRUE,"High")</f>
        <v>High</v>
      </c>
    </row>
    <row r="484" spans="1:23" x14ac:dyDescent="0.25">
      <c r="A484" s="1">
        <v>45457.777858796297</v>
      </c>
      <c r="B484" s="1">
        <f>INT(smart_dataset[[#This Row],[Timestamp]])</f>
        <v>45457</v>
      </c>
      <c r="C484" s="7">
        <f>MOD(smart_dataset[[#This Row],[Timestamp]],1)</f>
        <v>0.77785879629664123</v>
      </c>
      <c r="D484">
        <f>YEAR(smart_dataset[[#This Row],[Date]])</f>
        <v>2024</v>
      </c>
      <c r="E484">
        <f>MONTH(smart_dataset[[#This Row],[Timestamp]])</f>
        <v>6</v>
      </c>
      <c r="F484" t="s">
        <v>33</v>
      </c>
      <c r="G484">
        <v>-47.523899999999998</v>
      </c>
      <c r="H484">
        <v>58.4771</v>
      </c>
      <c r="I484">
        <v>298</v>
      </c>
      <c r="J484" t="s">
        <v>17</v>
      </c>
      <c r="K484">
        <v>19.600000000000001</v>
      </c>
      <c r="L484">
        <v>76.099999999999994</v>
      </c>
      <c r="M484" t="s">
        <v>22</v>
      </c>
      <c r="N484">
        <v>22</v>
      </c>
      <c r="O484">
        <v>396</v>
      </c>
      <c r="P484">
        <v>7</v>
      </c>
      <c r="Q484" t="s">
        <v>19</v>
      </c>
      <c r="R484">
        <v>65</v>
      </c>
      <c r="S484">
        <v>230</v>
      </c>
      <c r="T484">
        <v>1</v>
      </c>
      <c r="U484" t="str" cm="1">
        <f t="array" ref="U484">_xlfn.IFS(smart_dataset[[#This Row],[Waiting_Time]]&lt;=20,"Low",smart_dataset[[#This Row],[Waiting_Time]]&lt;=40,"Medium",TRUE,"High")</f>
        <v>Medium</v>
      </c>
      <c r="V484" t="str" cm="1">
        <f t="array" ref="V484">_xlfn.IFS(smart_dataset[[#This Row],[Temperature]]&lt;=20,"Cold",smart_dataset[[#This Row],[Temperature]]&lt;=28,"Normal",TRUE,"Hot")</f>
        <v>Cold</v>
      </c>
      <c r="W484" t="str" cm="1">
        <f t="array" ref="W484">_xlfn.IFS(smart_dataset[[#This Row],[Asset_Utilization]]&lt;=75,"Low",smart_dataset[[#This Row],[Asset_Utilization]]&lt;=90,"Medium",TRUE,"High")</f>
        <v>Low</v>
      </c>
    </row>
    <row r="485" spans="1:23" x14ac:dyDescent="0.25">
      <c r="A485" s="1">
        <v>45583.993379629632</v>
      </c>
      <c r="B485" s="1">
        <f>INT(smart_dataset[[#This Row],[Timestamp]])</f>
        <v>45583</v>
      </c>
      <c r="C485" s="7">
        <f>MOD(smart_dataset[[#This Row],[Timestamp]],1)</f>
        <v>0.99337962963181781</v>
      </c>
      <c r="D485">
        <f>YEAR(smart_dataset[[#This Row],[Date]])</f>
        <v>2024</v>
      </c>
      <c r="E485">
        <f>MONTH(smart_dataset[[#This Row],[Timestamp]])</f>
        <v>10</v>
      </c>
      <c r="F485" t="s">
        <v>24</v>
      </c>
      <c r="G485">
        <v>-39.805199999999999</v>
      </c>
      <c r="H485">
        <v>-126.40730000000001</v>
      </c>
      <c r="I485">
        <v>298</v>
      </c>
      <c r="J485" t="s">
        <v>17</v>
      </c>
      <c r="K485">
        <v>24</v>
      </c>
      <c r="L485">
        <v>63.5</v>
      </c>
      <c r="M485" t="s">
        <v>18</v>
      </c>
      <c r="N485">
        <v>25</v>
      </c>
      <c r="O485">
        <v>456</v>
      </c>
      <c r="P485">
        <v>2</v>
      </c>
      <c r="Q485" t="s">
        <v>19</v>
      </c>
      <c r="R485">
        <v>78.900000000000006</v>
      </c>
      <c r="S485">
        <v>147</v>
      </c>
      <c r="T485">
        <v>1</v>
      </c>
      <c r="U485" t="str" cm="1">
        <f t="array" ref="U485">_xlfn.IFS(smart_dataset[[#This Row],[Waiting_Time]]&lt;=20,"Low",smart_dataset[[#This Row],[Waiting_Time]]&lt;=40,"Medium",TRUE,"High")</f>
        <v>Medium</v>
      </c>
      <c r="V485" t="str" cm="1">
        <f t="array" ref="V485">_xlfn.IFS(smart_dataset[[#This Row],[Temperature]]&lt;=20,"Cold",smart_dataset[[#This Row],[Temperature]]&lt;=28,"Normal",TRUE,"Hot")</f>
        <v>Normal</v>
      </c>
      <c r="W485" t="str" cm="1">
        <f t="array" ref="W485">_xlfn.IFS(smart_dataset[[#This Row],[Asset_Utilization]]&lt;=75,"Low",smart_dataset[[#This Row],[Asset_Utilization]]&lt;=90,"Medium",TRUE,"High")</f>
        <v>Medium</v>
      </c>
    </row>
    <row r="486" spans="1:23" hidden="1" x14ac:dyDescent="0.25">
      <c r="A486" s="1">
        <v>45410.06386574074</v>
      </c>
      <c r="B486" s="1">
        <f>INT(smart_dataset[[#This Row],[Timestamp]])</f>
        <v>45410</v>
      </c>
      <c r="C486" s="1">
        <f>MOD(smart_dataset[[#This Row],[Timestamp]],1)</f>
        <v>6.3865740739856847E-2</v>
      </c>
      <c r="D486" s="1">
        <f>YEAR(smart_dataset[[#This Row],[Date]])</f>
        <v>2024</v>
      </c>
      <c r="E486" s="1">
        <f>MONTH(smart_dataset[[#This Row],[Timestamp]])</f>
        <v>4</v>
      </c>
      <c r="F486" t="s">
        <v>33</v>
      </c>
      <c r="G486">
        <v>54.053699999999999</v>
      </c>
      <c r="H486">
        <v>-145.9922</v>
      </c>
      <c r="I486">
        <v>326</v>
      </c>
      <c r="J486" t="s">
        <v>17</v>
      </c>
      <c r="K486">
        <v>20</v>
      </c>
      <c r="L486">
        <v>56.6</v>
      </c>
      <c r="M486" t="s">
        <v>18</v>
      </c>
      <c r="N486">
        <v>17</v>
      </c>
      <c r="O486">
        <v>260</v>
      </c>
      <c r="P486">
        <v>6</v>
      </c>
      <c r="Q486" t="s">
        <v>23</v>
      </c>
      <c r="R486">
        <v>67.5</v>
      </c>
      <c r="S486">
        <v>162</v>
      </c>
      <c r="T486">
        <v>1</v>
      </c>
      <c r="U486" t="str" cm="1">
        <f t="array" ref="U486">_xlfn.IFS(smart_dataset[[#This Row],[Waiting_Time]]&lt;=20,"Low",smart_dataset[[#This Row],[Waiting_Time]]&lt;=40,"Medium",TRUE,"High")</f>
        <v>Low</v>
      </c>
      <c r="V486" t="str" cm="1">
        <f t="array" ref="V486">_xlfn.IFS(smart_dataset[[#This Row],[Temperature]]&lt;=20,"Cold",smart_dataset[[#This Row],[Temperature]]&lt;=28,"Normal",TRUE,"Hot")</f>
        <v>Cold</v>
      </c>
      <c r="W486" t="str" cm="1">
        <f t="array" ref="W486">_xlfn.IFS(smart_dataset[[#This Row],[Asset_Utilization]]&lt;=75,"Low",smart_dataset[[#This Row],[Asset_Utilization]]&lt;=90,"Medium",TRUE,"High")</f>
        <v>Low</v>
      </c>
    </row>
    <row r="487" spans="1:23" hidden="1" x14ac:dyDescent="0.25">
      <c r="A487" s="1">
        <v>45607.36451388889</v>
      </c>
      <c r="B487" s="1">
        <f>INT(smart_dataset[[#This Row],[Timestamp]])</f>
        <v>45607</v>
      </c>
      <c r="C487" s="1">
        <f>MOD(smart_dataset[[#This Row],[Timestamp]],1)</f>
        <v>0.36451388888963265</v>
      </c>
      <c r="D487" s="1">
        <f>YEAR(smart_dataset[[#This Row],[Date]])</f>
        <v>2024</v>
      </c>
      <c r="E487" s="1">
        <f>MONTH(smart_dataset[[#This Row],[Timestamp]])</f>
        <v>11</v>
      </c>
      <c r="F487" t="s">
        <v>20</v>
      </c>
      <c r="G487">
        <v>7.0590999999999999</v>
      </c>
      <c r="H487">
        <v>46.718800000000002</v>
      </c>
      <c r="I487">
        <v>354</v>
      </c>
      <c r="J487" t="s">
        <v>17</v>
      </c>
      <c r="K487">
        <v>18.399999999999999</v>
      </c>
      <c r="L487">
        <v>77.5</v>
      </c>
      <c r="M487" t="s">
        <v>22</v>
      </c>
      <c r="N487">
        <v>40</v>
      </c>
      <c r="O487">
        <v>262</v>
      </c>
      <c r="P487">
        <v>7</v>
      </c>
      <c r="Q487" t="s">
        <v>27</v>
      </c>
      <c r="R487">
        <v>68.5</v>
      </c>
      <c r="S487">
        <v>282</v>
      </c>
      <c r="T487">
        <v>1</v>
      </c>
      <c r="U487" t="str" cm="1">
        <f t="array" ref="U487">_xlfn.IFS(smart_dataset[[#This Row],[Waiting_Time]]&lt;=20,"Low",smart_dataset[[#This Row],[Waiting_Time]]&lt;=40,"Medium",TRUE,"High")</f>
        <v>Medium</v>
      </c>
      <c r="V487" t="str" cm="1">
        <f t="array" ref="V487">_xlfn.IFS(smart_dataset[[#This Row],[Temperature]]&lt;=20,"Cold",smart_dataset[[#This Row],[Temperature]]&lt;=28,"Normal",TRUE,"Hot")</f>
        <v>Cold</v>
      </c>
      <c r="W487" t="str" cm="1">
        <f t="array" ref="W487">_xlfn.IFS(smart_dataset[[#This Row],[Asset_Utilization]]&lt;=75,"Low",smart_dataset[[#This Row],[Asset_Utilization]]&lt;=90,"Medium",TRUE,"High")</f>
        <v>Low</v>
      </c>
    </row>
    <row r="488" spans="1:23" hidden="1" x14ac:dyDescent="0.25">
      <c r="A488" s="1">
        <v>45548.453275462962</v>
      </c>
      <c r="B488" s="1">
        <f>INT(smart_dataset[[#This Row],[Timestamp]])</f>
        <v>45548</v>
      </c>
      <c r="C488" s="1">
        <f>MOD(smart_dataset[[#This Row],[Timestamp]],1)</f>
        <v>0.45327546296175569</v>
      </c>
      <c r="D488" s="1">
        <f>YEAR(smart_dataset[[#This Row],[Date]])</f>
        <v>2024</v>
      </c>
      <c r="E488" s="1">
        <f>MONTH(smart_dataset[[#This Row],[Timestamp]])</f>
        <v>9</v>
      </c>
      <c r="F488" t="s">
        <v>29</v>
      </c>
      <c r="G488">
        <v>-50.363300000000002</v>
      </c>
      <c r="H488">
        <v>99.583399999999997</v>
      </c>
      <c r="I488">
        <v>269</v>
      </c>
      <c r="J488" t="s">
        <v>21</v>
      </c>
      <c r="K488">
        <v>22.4</v>
      </c>
      <c r="L488">
        <v>63.6</v>
      </c>
      <c r="M488" t="s">
        <v>18</v>
      </c>
      <c r="N488">
        <v>54</v>
      </c>
      <c r="O488">
        <v>481</v>
      </c>
      <c r="P488">
        <v>7</v>
      </c>
      <c r="Q488" t="s">
        <v>27</v>
      </c>
      <c r="R488">
        <v>82.5</v>
      </c>
      <c r="S488">
        <v>183</v>
      </c>
      <c r="T488">
        <v>0</v>
      </c>
      <c r="U488" t="str" cm="1">
        <f t="array" ref="U488">_xlfn.IFS(smart_dataset[[#This Row],[Waiting_Time]]&lt;=20,"Low",smart_dataset[[#This Row],[Waiting_Time]]&lt;=40,"Medium",TRUE,"High")</f>
        <v>High</v>
      </c>
      <c r="V488" t="str" cm="1">
        <f t="array" ref="V488">_xlfn.IFS(smart_dataset[[#This Row],[Temperature]]&lt;=20,"Cold",smart_dataset[[#This Row],[Temperature]]&lt;=28,"Normal",TRUE,"Hot")</f>
        <v>Normal</v>
      </c>
      <c r="W488" t="str" cm="1">
        <f t="array" ref="W488">_xlfn.IFS(smart_dataset[[#This Row],[Asset_Utilization]]&lt;=75,"Low",smart_dataset[[#This Row],[Asset_Utilization]]&lt;=90,"Medium",TRUE,"High")</f>
        <v>Medium</v>
      </c>
    </row>
    <row r="489" spans="1:23" hidden="1" x14ac:dyDescent="0.25">
      <c r="A489" s="1">
        <v>45457.718287037038</v>
      </c>
      <c r="B489" s="1">
        <f>INT(smart_dataset[[#This Row],[Timestamp]])</f>
        <v>45457</v>
      </c>
      <c r="C489" s="1">
        <f>MOD(smart_dataset[[#This Row],[Timestamp]],1)</f>
        <v>0.71828703703795327</v>
      </c>
      <c r="D489" s="1">
        <f>YEAR(smart_dataset[[#This Row],[Date]])</f>
        <v>2024</v>
      </c>
      <c r="E489" s="1">
        <f>MONTH(smart_dataset[[#This Row],[Timestamp]])</f>
        <v>6</v>
      </c>
      <c r="F489" t="s">
        <v>29</v>
      </c>
      <c r="G489">
        <v>51.932699999999997</v>
      </c>
      <c r="H489">
        <v>-102.43089999999999</v>
      </c>
      <c r="I489">
        <v>475</v>
      </c>
      <c r="J489" t="s">
        <v>26</v>
      </c>
      <c r="K489">
        <v>29.3</v>
      </c>
      <c r="L489">
        <v>62.8</v>
      </c>
      <c r="M489" t="s">
        <v>28</v>
      </c>
      <c r="N489">
        <v>29</v>
      </c>
      <c r="O489">
        <v>359</v>
      </c>
      <c r="P489">
        <v>9</v>
      </c>
      <c r="Q489" t="s">
        <v>31</v>
      </c>
      <c r="R489">
        <v>95.1</v>
      </c>
      <c r="S489">
        <v>122</v>
      </c>
      <c r="T489">
        <v>0</v>
      </c>
      <c r="U489" t="str" cm="1">
        <f t="array" ref="U489">_xlfn.IFS(smart_dataset[[#This Row],[Waiting_Time]]&lt;=20,"Low",smart_dataset[[#This Row],[Waiting_Time]]&lt;=40,"Medium",TRUE,"High")</f>
        <v>Medium</v>
      </c>
      <c r="V489" t="str" cm="1">
        <f t="array" ref="V489">_xlfn.IFS(smart_dataset[[#This Row],[Temperature]]&lt;=20,"Cold",smart_dataset[[#This Row],[Temperature]]&lt;=28,"Normal",TRUE,"Hot")</f>
        <v>Hot</v>
      </c>
      <c r="W489" t="str" cm="1">
        <f t="array" ref="W489">_xlfn.IFS(smart_dataset[[#This Row],[Asset_Utilization]]&lt;=75,"Low",smart_dataset[[#This Row],[Asset_Utilization]]&lt;=90,"Medium",TRUE,"High")</f>
        <v>High</v>
      </c>
    </row>
    <row r="490" spans="1:23" hidden="1" x14ac:dyDescent="0.25">
      <c r="A490" s="1">
        <v>45293.64634259259</v>
      </c>
      <c r="B490" s="1">
        <f>INT(smart_dataset[[#This Row],[Timestamp]])</f>
        <v>45293</v>
      </c>
      <c r="C490" s="1">
        <f>MOD(smart_dataset[[#This Row],[Timestamp]],1)</f>
        <v>0.64634259259037208</v>
      </c>
      <c r="D490" s="1">
        <f>YEAR(smart_dataset[[#This Row],[Date]])</f>
        <v>2024</v>
      </c>
      <c r="E490" s="1">
        <f>MONTH(smart_dataset[[#This Row],[Timestamp]])</f>
        <v>1</v>
      </c>
      <c r="F490" t="s">
        <v>29</v>
      </c>
      <c r="G490">
        <v>-36.487000000000002</v>
      </c>
      <c r="H490">
        <v>14.5024</v>
      </c>
      <c r="I490">
        <v>372</v>
      </c>
      <c r="J490" t="s">
        <v>17</v>
      </c>
      <c r="K490">
        <v>20.399999999999999</v>
      </c>
      <c r="L490">
        <v>57.2</v>
      </c>
      <c r="M490" t="s">
        <v>28</v>
      </c>
      <c r="N490">
        <v>29</v>
      </c>
      <c r="O490">
        <v>153</v>
      </c>
      <c r="P490">
        <v>1</v>
      </c>
      <c r="Q490" t="s">
        <v>23</v>
      </c>
      <c r="R490">
        <v>78.2</v>
      </c>
      <c r="S490">
        <v>221</v>
      </c>
      <c r="T490">
        <v>1</v>
      </c>
      <c r="U490" t="str" cm="1">
        <f t="array" ref="U490">_xlfn.IFS(smart_dataset[[#This Row],[Waiting_Time]]&lt;=20,"Low",smart_dataset[[#This Row],[Waiting_Time]]&lt;=40,"Medium",TRUE,"High")</f>
        <v>Medium</v>
      </c>
      <c r="V490" t="str" cm="1">
        <f t="array" ref="V490">_xlfn.IFS(smart_dataset[[#This Row],[Temperature]]&lt;=20,"Cold",smart_dataset[[#This Row],[Temperature]]&lt;=28,"Normal",TRUE,"Hot")</f>
        <v>Normal</v>
      </c>
      <c r="W490" t="str" cm="1">
        <f t="array" ref="W490">_xlfn.IFS(smart_dataset[[#This Row],[Asset_Utilization]]&lt;=75,"Low",smart_dataset[[#This Row],[Asset_Utilization]]&lt;=90,"Medium",TRUE,"High")</f>
        <v>Medium</v>
      </c>
    </row>
    <row r="491" spans="1:23" hidden="1" x14ac:dyDescent="0.25">
      <c r="A491" s="1">
        <v>45571.207430555558</v>
      </c>
      <c r="B491" s="1">
        <f>INT(smart_dataset[[#This Row],[Timestamp]])</f>
        <v>45571</v>
      </c>
      <c r="C491" s="1">
        <f>MOD(smart_dataset[[#This Row],[Timestamp]],1)</f>
        <v>0.20743055555794854</v>
      </c>
      <c r="D491" s="1">
        <f>YEAR(smart_dataset[[#This Row],[Date]])</f>
        <v>2024</v>
      </c>
      <c r="E491" s="1">
        <f>MONTH(smart_dataset[[#This Row],[Timestamp]])</f>
        <v>10</v>
      </c>
      <c r="F491" t="s">
        <v>34</v>
      </c>
      <c r="G491">
        <v>27.2654</v>
      </c>
      <c r="H491">
        <v>-34.104199999999999</v>
      </c>
      <c r="I491">
        <v>201</v>
      </c>
      <c r="J491" t="s">
        <v>21</v>
      </c>
      <c r="K491">
        <v>26</v>
      </c>
      <c r="L491">
        <v>51.5</v>
      </c>
      <c r="M491" t="s">
        <v>28</v>
      </c>
      <c r="N491">
        <v>40</v>
      </c>
      <c r="O491">
        <v>429</v>
      </c>
      <c r="P491">
        <v>4</v>
      </c>
      <c r="Q491" t="s">
        <v>23</v>
      </c>
      <c r="R491">
        <v>87</v>
      </c>
      <c r="S491">
        <v>107</v>
      </c>
      <c r="T491">
        <v>0</v>
      </c>
      <c r="U491" t="str" cm="1">
        <f t="array" ref="U491">_xlfn.IFS(smart_dataset[[#This Row],[Waiting_Time]]&lt;=20,"Low",smart_dataset[[#This Row],[Waiting_Time]]&lt;=40,"Medium",TRUE,"High")</f>
        <v>Medium</v>
      </c>
      <c r="V491" t="str" cm="1">
        <f t="array" ref="V491">_xlfn.IFS(smart_dataset[[#This Row],[Temperature]]&lt;=20,"Cold",smart_dataset[[#This Row],[Temperature]]&lt;=28,"Normal",TRUE,"Hot")</f>
        <v>Normal</v>
      </c>
      <c r="W491" t="str" cm="1">
        <f t="array" ref="W491">_xlfn.IFS(smart_dataset[[#This Row],[Asset_Utilization]]&lt;=75,"Low",smart_dataset[[#This Row],[Asset_Utilization]]&lt;=90,"Medium",TRUE,"High")</f>
        <v>Medium</v>
      </c>
    </row>
    <row r="492" spans="1:23" hidden="1" x14ac:dyDescent="0.25">
      <c r="A492" s="1">
        <v>45447.699467592596</v>
      </c>
      <c r="B492" s="1">
        <f>INT(smart_dataset[[#This Row],[Timestamp]])</f>
        <v>45447</v>
      </c>
      <c r="C492" s="1">
        <f>MOD(smart_dataset[[#This Row],[Timestamp]],1)</f>
        <v>0.69946759259619284</v>
      </c>
      <c r="D492" s="1">
        <f>YEAR(smart_dataset[[#This Row],[Date]])</f>
        <v>2024</v>
      </c>
      <c r="E492" s="1">
        <f>MONTH(smart_dataset[[#This Row],[Timestamp]])</f>
        <v>6</v>
      </c>
      <c r="F492" t="s">
        <v>16</v>
      </c>
      <c r="G492">
        <v>15.2159</v>
      </c>
      <c r="H492">
        <v>-55.681399999999996</v>
      </c>
      <c r="I492">
        <v>441</v>
      </c>
      <c r="J492" t="s">
        <v>21</v>
      </c>
      <c r="K492">
        <v>25.3</v>
      </c>
      <c r="L492">
        <v>72.900000000000006</v>
      </c>
      <c r="M492" t="s">
        <v>28</v>
      </c>
      <c r="N492">
        <v>47</v>
      </c>
      <c r="O492">
        <v>152</v>
      </c>
      <c r="P492">
        <v>4</v>
      </c>
      <c r="Q492" t="s">
        <v>23</v>
      </c>
      <c r="R492">
        <v>67.400000000000006</v>
      </c>
      <c r="S492">
        <v>256</v>
      </c>
      <c r="T492">
        <v>0</v>
      </c>
      <c r="U492" t="str" cm="1">
        <f t="array" ref="U492">_xlfn.IFS(smart_dataset[[#This Row],[Waiting_Time]]&lt;=20,"Low",smart_dataset[[#This Row],[Waiting_Time]]&lt;=40,"Medium",TRUE,"High")</f>
        <v>High</v>
      </c>
      <c r="V492" t="str" cm="1">
        <f t="array" ref="V492">_xlfn.IFS(smart_dataset[[#This Row],[Temperature]]&lt;=20,"Cold",smart_dataset[[#This Row],[Temperature]]&lt;=28,"Normal",TRUE,"Hot")</f>
        <v>Normal</v>
      </c>
      <c r="W492" t="str" cm="1">
        <f t="array" ref="W492">_xlfn.IFS(smart_dataset[[#This Row],[Asset_Utilization]]&lt;=75,"Low",smart_dataset[[#This Row],[Asset_Utilization]]&lt;=90,"Medium",TRUE,"High")</f>
        <v>Low</v>
      </c>
    </row>
    <row r="493" spans="1:23" hidden="1" x14ac:dyDescent="0.25">
      <c r="A493" s="1">
        <v>45324.511828703704</v>
      </c>
      <c r="B493" s="1">
        <f>INT(smart_dataset[[#This Row],[Timestamp]])</f>
        <v>45324</v>
      </c>
      <c r="C493" s="1">
        <f>MOD(smart_dataset[[#This Row],[Timestamp]],1)</f>
        <v>0.51182870370394085</v>
      </c>
      <c r="D493" s="1">
        <f>YEAR(smart_dataset[[#This Row],[Date]])</f>
        <v>2024</v>
      </c>
      <c r="E493" s="1">
        <f>MONTH(smart_dataset[[#This Row],[Timestamp]])</f>
        <v>2</v>
      </c>
      <c r="F493" t="s">
        <v>20</v>
      </c>
      <c r="G493">
        <v>27.4437</v>
      </c>
      <c r="H493">
        <v>43.322400000000002</v>
      </c>
      <c r="I493">
        <v>246</v>
      </c>
      <c r="J493" t="s">
        <v>17</v>
      </c>
      <c r="K493">
        <v>25.3</v>
      </c>
      <c r="L493">
        <v>57.4</v>
      </c>
      <c r="M493" t="s">
        <v>28</v>
      </c>
      <c r="N493">
        <v>33</v>
      </c>
      <c r="O493">
        <v>298</v>
      </c>
      <c r="P493">
        <v>8</v>
      </c>
      <c r="Q493" t="s">
        <v>27</v>
      </c>
      <c r="R493">
        <v>70.400000000000006</v>
      </c>
      <c r="S493">
        <v>110</v>
      </c>
      <c r="T493">
        <v>1</v>
      </c>
      <c r="U493" t="str" cm="1">
        <f t="array" ref="U493">_xlfn.IFS(smart_dataset[[#This Row],[Waiting_Time]]&lt;=20,"Low",smart_dataset[[#This Row],[Waiting_Time]]&lt;=40,"Medium",TRUE,"High")</f>
        <v>Medium</v>
      </c>
      <c r="V493" t="str" cm="1">
        <f t="array" ref="V493">_xlfn.IFS(smart_dataset[[#This Row],[Temperature]]&lt;=20,"Cold",smart_dataset[[#This Row],[Temperature]]&lt;=28,"Normal",TRUE,"Hot")</f>
        <v>Normal</v>
      </c>
      <c r="W493" t="str" cm="1">
        <f t="array" ref="W493">_xlfn.IFS(smart_dataset[[#This Row],[Asset_Utilization]]&lt;=75,"Low",smart_dataset[[#This Row],[Asset_Utilization]]&lt;=90,"Medium",TRUE,"High")</f>
        <v>Low</v>
      </c>
    </row>
    <row r="494" spans="1:23" hidden="1" x14ac:dyDescent="0.25">
      <c r="A494" s="1">
        <v>45465.321030092593</v>
      </c>
      <c r="B494" s="1">
        <f>INT(smart_dataset[[#This Row],[Timestamp]])</f>
        <v>45465</v>
      </c>
      <c r="C494" s="1">
        <f>MOD(smart_dataset[[#This Row],[Timestamp]],1)</f>
        <v>0.32103009259299142</v>
      </c>
      <c r="D494" s="1">
        <f>YEAR(smart_dataset[[#This Row],[Date]])</f>
        <v>2024</v>
      </c>
      <c r="E494" s="1">
        <f>MONTH(smart_dataset[[#This Row],[Timestamp]])</f>
        <v>6</v>
      </c>
      <c r="F494" t="s">
        <v>24</v>
      </c>
      <c r="G494">
        <v>-58.692799999999998</v>
      </c>
      <c r="H494">
        <v>165.86670000000001</v>
      </c>
      <c r="I494">
        <v>180</v>
      </c>
      <c r="J494" t="s">
        <v>17</v>
      </c>
      <c r="K494">
        <v>25.4</v>
      </c>
      <c r="L494">
        <v>50.4</v>
      </c>
      <c r="M494" t="s">
        <v>22</v>
      </c>
      <c r="N494">
        <v>32</v>
      </c>
      <c r="O494">
        <v>246</v>
      </c>
      <c r="P494">
        <v>2</v>
      </c>
      <c r="Q494" t="s">
        <v>31</v>
      </c>
      <c r="R494">
        <v>65.400000000000006</v>
      </c>
      <c r="S494">
        <v>203</v>
      </c>
      <c r="T494">
        <v>1</v>
      </c>
      <c r="U494" t="str" cm="1">
        <f t="array" ref="U494">_xlfn.IFS(smart_dataset[[#This Row],[Waiting_Time]]&lt;=20,"Low",smart_dataset[[#This Row],[Waiting_Time]]&lt;=40,"Medium",TRUE,"High")</f>
        <v>Medium</v>
      </c>
      <c r="V494" t="str" cm="1">
        <f t="array" ref="V494">_xlfn.IFS(smart_dataset[[#This Row],[Temperature]]&lt;=20,"Cold",smart_dataset[[#This Row],[Temperature]]&lt;=28,"Normal",TRUE,"Hot")</f>
        <v>Normal</v>
      </c>
      <c r="W494" t="str" cm="1">
        <f t="array" ref="W494">_xlfn.IFS(smart_dataset[[#This Row],[Asset_Utilization]]&lt;=75,"Low",smart_dataset[[#This Row],[Asset_Utilization]]&lt;=90,"Medium",TRUE,"High")</f>
        <v>Low</v>
      </c>
    </row>
    <row r="495" spans="1:23" hidden="1" x14ac:dyDescent="0.25">
      <c r="A495" s="1">
        <v>45352.61681712963</v>
      </c>
      <c r="B495" s="1">
        <f>INT(smart_dataset[[#This Row],[Timestamp]])</f>
        <v>45352</v>
      </c>
      <c r="C495" s="1">
        <f>MOD(smart_dataset[[#This Row],[Timestamp]],1)</f>
        <v>0.61681712963036261</v>
      </c>
      <c r="D495" s="1">
        <f>YEAR(smart_dataset[[#This Row],[Date]])</f>
        <v>2024</v>
      </c>
      <c r="E495" s="1">
        <f>MONTH(smart_dataset[[#This Row],[Timestamp]])</f>
        <v>3</v>
      </c>
      <c r="F495" t="s">
        <v>25</v>
      </c>
      <c r="G495">
        <v>-38.073700000000002</v>
      </c>
      <c r="H495">
        <v>56.072299999999998</v>
      </c>
      <c r="I495">
        <v>127</v>
      </c>
      <c r="J495" t="s">
        <v>17</v>
      </c>
      <c r="K495">
        <v>21</v>
      </c>
      <c r="L495">
        <v>54.6</v>
      </c>
      <c r="M495" t="s">
        <v>18</v>
      </c>
      <c r="N495">
        <v>13</v>
      </c>
      <c r="O495">
        <v>452</v>
      </c>
      <c r="P495">
        <v>9</v>
      </c>
      <c r="Q495" t="s">
        <v>31</v>
      </c>
      <c r="R495">
        <v>79</v>
      </c>
      <c r="S495">
        <v>299</v>
      </c>
      <c r="T495">
        <v>1</v>
      </c>
      <c r="U495" t="str" cm="1">
        <f t="array" ref="U495">_xlfn.IFS(smart_dataset[[#This Row],[Waiting_Time]]&lt;=20,"Low",smart_dataset[[#This Row],[Waiting_Time]]&lt;=40,"Medium",TRUE,"High")</f>
        <v>Low</v>
      </c>
      <c r="V495" t="str" cm="1">
        <f t="array" ref="V495">_xlfn.IFS(smart_dataset[[#This Row],[Temperature]]&lt;=20,"Cold",smart_dataset[[#This Row],[Temperature]]&lt;=28,"Normal",TRUE,"Hot")</f>
        <v>Normal</v>
      </c>
      <c r="W495" t="str" cm="1">
        <f t="array" ref="W495">_xlfn.IFS(smart_dataset[[#This Row],[Asset_Utilization]]&lt;=75,"Low",smart_dataset[[#This Row],[Asset_Utilization]]&lt;=90,"Medium",TRUE,"High")</f>
        <v>Medium</v>
      </c>
    </row>
    <row r="496" spans="1:23" x14ac:dyDescent="0.25">
      <c r="A496" s="1">
        <v>45523.066666666666</v>
      </c>
      <c r="B496" s="1">
        <f>INT(smart_dataset[[#This Row],[Timestamp]])</f>
        <v>45523</v>
      </c>
      <c r="C496" s="7">
        <f>MOD(smart_dataset[[#This Row],[Timestamp]],1)</f>
        <v>6.6666666665696539E-2</v>
      </c>
      <c r="D496">
        <f>YEAR(smart_dataset[[#This Row],[Date]])</f>
        <v>2024</v>
      </c>
      <c r="E496">
        <f>MONTH(smart_dataset[[#This Row],[Timestamp]])</f>
        <v>8</v>
      </c>
      <c r="F496" t="s">
        <v>33</v>
      </c>
      <c r="G496">
        <v>-50.677799999999998</v>
      </c>
      <c r="H496">
        <v>-102.041</v>
      </c>
      <c r="I496">
        <v>246</v>
      </c>
      <c r="J496" t="s">
        <v>17</v>
      </c>
      <c r="K496">
        <v>20.8</v>
      </c>
      <c r="L496">
        <v>79.2</v>
      </c>
      <c r="M496" t="s">
        <v>22</v>
      </c>
      <c r="N496">
        <v>55</v>
      </c>
      <c r="O496">
        <v>325</v>
      </c>
      <c r="P496">
        <v>2</v>
      </c>
      <c r="Q496" t="s">
        <v>19</v>
      </c>
      <c r="R496">
        <v>80.5</v>
      </c>
      <c r="S496">
        <v>271</v>
      </c>
      <c r="T496">
        <v>1</v>
      </c>
      <c r="U496" t="str" cm="1">
        <f t="array" ref="U496">_xlfn.IFS(smart_dataset[[#This Row],[Waiting_Time]]&lt;=20,"Low",smart_dataset[[#This Row],[Waiting_Time]]&lt;=40,"Medium",TRUE,"High")</f>
        <v>High</v>
      </c>
      <c r="V496" t="str" cm="1">
        <f t="array" ref="V496">_xlfn.IFS(smart_dataset[[#This Row],[Temperature]]&lt;=20,"Cold",smart_dataset[[#This Row],[Temperature]]&lt;=28,"Normal",TRUE,"Hot")</f>
        <v>Normal</v>
      </c>
      <c r="W496" t="str" cm="1">
        <f t="array" ref="W496">_xlfn.IFS(smart_dataset[[#This Row],[Asset_Utilization]]&lt;=75,"Low",smart_dataset[[#This Row],[Asset_Utilization]]&lt;=90,"Medium",TRUE,"High")</f>
        <v>Medium</v>
      </c>
    </row>
    <row r="497" spans="1:23" hidden="1" x14ac:dyDescent="0.25">
      <c r="A497" s="1">
        <v>45613.098634259259</v>
      </c>
      <c r="B497" s="1">
        <f>INT(smart_dataset[[#This Row],[Timestamp]])</f>
        <v>45613</v>
      </c>
      <c r="C497" s="1">
        <f>MOD(smart_dataset[[#This Row],[Timestamp]],1)</f>
        <v>9.8634259258687962E-2</v>
      </c>
      <c r="D497" s="1">
        <f>YEAR(smart_dataset[[#This Row],[Date]])</f>
        <v>2024</v>
      </c>
      <c r="E497" s="1">
        <f>MONTH(smart_dataset[[#This Row],[Timestamp]])</f>
        <v>11</v>
      </c>
      <c r="F497" t="s">
        <v>30</v>
      </c>
      <c r="G497">
        <v>-88.775999999999996</v>
      </c>
      <c r="H497">
        <v>-125.1628</v>
      </c>
      <c r="I497">
        <v>470</v>
      </c>
      <c r="J497" t="s">
        <v>26</v>
      </c>
      <c r="K497">
        <v>21.5</v>
      </c>
      <c r="L497">
        <v>51</v>
      </c>
      <c r="M497" t="s">
        <v>22</v>
      </c>
      <c r="N497">
        <v>59</v>
      </c>
      <c r="O497">
        <v>293</v>
      </c>
      <c r="P497">
        <v>7</v>
      </c>
      <c r="Q497" t="s">
        <v>31</v>
      </c>
      <c r="R497">
        <v>86.6</v>
      </c>
      <c r="S497">
        <v>113</v>
      </c>
      <c r="T497">
        <v>1</v>
      </c>
      <c r="U497" t="str" cm="1">
        <f t="array" ref="U497">_xlfn.IFS(smart_dataset[[#This Row],[Waiting_Time]]&lt;=20,"Low",smart_dataset[[#This Row],[Waiting_Time]]&lt;=40,"Medium",TRUE,"High")</f>
        <v>High</v>
      </c>
      <c r="V497" t="str" cm="1">
        <f t="array" ref="V497">_xlfn.IFS(smart_dataset[[#This Row],[Temperature]]&lt;=20,"Cold",smart_dataset[[#This Row],[Temperature]]&lt;=28,"Normal",TRUE,"Hot")</f>
        <v>Normal</v>
      </c>
      <c r="W497" t="str" cm="1">
        <f t="array" ref="W497">_xlfn.IFS(smart_dataset[[#This Row],[Asset_Utilization]]&lt;=75,"Low",smart_dataset[[#This Row],[Asset_Utilization]]&lt;=90,"Medium",TRUE,"High")</f>
        <v>Medium</v>
      </c>
    </row>
    <row r="498" spans="1:23" hidden="1" x14ac:dyDescent="0.25">
      <c r="A498" s="1">
        <v>45502.011805555558</v>
      </c>
      <c r="B498" s="1">
        <f>INT(smart_dataset[[#This Row],[Timestamp]])</f>
        <v>45502</v>
      </c>
      <c r="C498" s="1">
        <f>MOD(smart_dataset[[#This Row],[Timestamp]],1)</f>
        <v>1.1805555557657499E-2</v>
      </c>
      <c r="D498" s="1">
        <f>YEAR(smart_dataset[[#This Row],[Date]])</f>
        <v>2024</v>
      </c>
      <c r="E498" s="1">
        <f>MONTH(smart_dataset[[#This Row],[Timestamp]])</f>
        <v>7</v>
      </c>
      <c r="F498" t="s">
        <v>32</v>
      </c>
      <c r="G498">
        <v>69.691000000000003</v>
      </c>
      <c r="H498">
        <v>148.6549</v>
      </c>
      <c r="I498">
        <v>386</v>
      </c>
      <c r="J498" t="s">
        <v>17</v>
      </c>
      <c r="K498">
        <v>25.9</v>
      </c>
      <c r="L498">
        <v>71.599999999999994</v>
      </c>
      <c r="M498" t="s">
        <v>28</v>
      </c>
      <c r="N498">
        <v>36</v>
      </c>
      <c r="O498">
        <v>193</v>
      </c>
      <c r="P498">
        <v>10</v>
      </c>
      <c r="Q498" t="s">
        <v>23</v>
      </c>
      <c r="R498">
        <v>72</v>
      </c>
      <c r="S498">
        <v>299</v>
      </c>
      <c r="T498">
        <v>1</v>
      </c>
      <c r="U498" t="str" cm="1">
        <f t="array" ref="U498">_xlfn.IFS(smart_dataset[[#This Row],[Waiting_Time]]&lt;=20,"Low",smart_dataset[[#This Row],[Waiting_Time]]&lt;=40,"Medium",TRUE,"High")</f>
        <v>Medium</v>
      </c>
      <c r="V498" t="str" cm="1">
        <f t="array" ref="V498">_xlfn.IFS(smart_dataset[[#This Row],[Temperature]]&lt;=20,"Cold",smart_dataset[[#This Row],[Temperature]]&lt;=28,"Normal",TRUE,"Hot")</f>
        <v>Normal</v>
      </c>
      <c r="W498" t="str" cm="1">
        <f t="array" ref="W498">_xlfn.IFS(smart_dataset[[#This Row],[Asset_Utilization]]&lt;=75,"Low",smart_dataset[[#This Row],[Asset_Utilization]]&lt;=90,"Medium",TRUE,"High")</f>
        <v>Low</v>
      </c>
    </row>
    <row r="499" spans="1:23" hidden="1" x14ac:dyDescent="0.25">
      <c r="A499" s="1">
        <v>45429.875590277778</v>
      </c>
      <c r="B499" s="1">
        <f>INT(smart_dataset[[#This Row],[Timestamp]])</f>
        <v>45429</v>
      </c>
      <c r="C499" s="1">
        <f>MOD(smart_dataset[[#This Row],[Timestamp]],1)</f>
        <v>0.87559027777751908</v>
      </c>
      <c r="D499" s="1">
        <f>YEAR(smart_dataset[[#This Row],[Date]])</f>
        <v>2024</v>
      </c>
      <c r="E499" s="1">
        <f>MONTH(smart_dataset[[#This Row],[Timestamp]])</f>
        <v>5</v>
      </c>
      <c r="F499" t="s">
        <v>32</v>
      </c>
      <c r="G499">
        <v>-82.261600000000001</v>
      </c>
      <c r="H499">
        <v>-141.82499999999999</v>
      </c>
      <c r="I499">
        <v>325</v>
      </c>
      <c r="J499" t="s">
        <v>21</v>
      </c>
      <c r="K499">
        <v>26.2</v>
      </c>
      <c r="L499">
        <v>64.3</v>
      </c>
      <c r="M499" t="s">
        <v>28</v>
      </c>
      <c r="N499">
        <v>31</v>
      </c>
      <c r="O499">
        <v>491</v>
      </c>
      <c r="P499">
        <v>7</v>
      </c>
      <c r="Q499" t="s">
        <v>31</v>
      </c>
      <c r="R499">
        <v>60.7</v>
      </c>
      <c r="S499">
        <v>290</v>
      </c>
      <c r="T499">
        <v>0</v>
      </c>
      <c r="U499" t="str" cm="1">
        <f t="array" ref="U499">_xlfn.IFS(smart_dataset[[#This Row],[Waiting_Time]]&lt;=20,"Low",smart_dataset[[#This Row],[Waiting_Time]]&lt;=40,"Medium",TRUE,"High")</f>
        <v>Medium</v>
      </c>
      <c r="V499" t="str" cm="1">
        <f t="array" ref="V499">_xlfn.IFS(smart_dataset[[#This Row],[Temperature]]&lt;=20,"Cold",smart_dataset[[#This Row],[Temperature]]&lt;=28,"Normal",TRUE,"Hot")</f>
        <v>Normal</v>
      </c>
      <c r="W499" t="str" cm="1">
        <f t="array" ref="W499">_xlfn.IFS(smart_dataset[[#This Row],[Asset_Utilization]]&lt;=75,"Low",smart_dataset[[#This Row],[Asset_Utilization]]&lt;=90,"Medium",TRUE,"High")</f>
        <v>Low</v>
      </c>
    </row>
    <row r="500" spans="1:23" x14ac:dyDescent="0.25">
      <c r="A500" s="1">
        <v>45362.840208333335</v>
      </c>
      <c r="B500" s="1">
        <f>INT(smart_dataset[[#This Row],[Timestamp]])</f>
        <v>45362</v>
      </c>
      <c r="C500" s="7">
        <f>MOD(smart_dataset[[#This Row],[Timestamp]],1)</f>
        <v>0.84020833333488554</v>
      </c>
      <c r="D500">
        <f>YEAR(smart_dataset[[#This Row],[Date]])</f>
        <v>2024</v>
      </c>
      <c r="E500">
        <f>MONTH(smart_dataset[[#This Row],[Timestamp]])</f>
        <v>3</v>
      </c>
      <c r="F500" t="s">
        <v>35</v>
      </c>
      <c r="G500">
        <v>2.7286000000000001</v>
      </c>
      <c r="H500">
        <v>-99.544200000000004</v>
      </c>
      <c r="I500">
        <v>432</v>
      </c>
      <c r="J500" t="s">
        <v>21</v>
      </c>
      <c r="K500">
        <v>25.9</v>
      </c>
      <c r="L500">
        <v>65.8</v>
      </c>
      <c r="M500" t="s">
        <v>28</v>
      </c>
      <c r="N500">
        <v>42</v>
      </c>
      <c r="O500">
        <v>265</v>
      </c>
      <c r="P500">
        <v>8</v>
      </c>
      <c r="Q500" t="s">
        <v>19</v>
      </c>
      <c r="R500">
        <v>86.8</v>
      </c>
      <c r="S500">
        <v>140</v>
      </c>
      <c r="T500">
        <v>0</v>
      </c>
      <c r="U500" t="str" cm="1">
        <f t="array" ref="U500">_xlfn.IFS(smart_dataset[[#This Row],[Waiting_Time]]&lt;=20,"Low",smart_dataset[[#This Row],[Waiting_Time]]&lt;=40,"Medium",TRUE,"High")</f>
        <v>High</v>
      </c>
      <c r="V500" t="str" cm="1">
        <f t="array" ref="V500">_xlfn.IFS(smart_dataset[[#This Row],[Temperature]]&lt;=20,"Cold",smart_dataset[[#This Row],[Temperature]]&lt;=28,"Normal",TRUE,"Hot")</f>
        <v>Normal</v>
      </c>
      <c r="W500" t="str" cm="1">
        <f t="array" ref="W500">_xlfn.IFS(smart_dataset[[#This Row],[Asset_Utilization]]&lt;=75,"Low",smart_dataset[[#This Row],[Asset_Utilization]]&lt;=90,"Medium",TRUE,"High")</f>
        <v>Medium</v>
      </c>
    </row>
    <row r="501" spans="1:23" x14ac:dyDescent="0.25">
      <c r="A501" s="1">
        <v>45491.237534722219</v>
      </c>
      <c r="B501" s="1">
        <f>INT(smart_dataset[[#This Row],[Timestamp]])</f>
        <v>45491</v>
      </c>
      <c r="C501" s="7">
        <f>MOD(smart_dataset[[#This Row],[Timestamp]],1)</f>
        <v>0.23753472221869742</v>
      </c>
      <c r="D501">
        <f>YEAR(smart_dataset[[#This Row],[Date]])</f>
        <v>2024</v>
      </c>
      <c r="E501">
        <f>MONTH(smart_dataset[[#This Row],[Timestamp]])</f>
        <v>7</v>
      </c>
      <c r="F501" t="s">
        <v>16</v>
      </c>
      <c r="G501">
        <v>84.249799999999993</v>
      </c>
      <c r="H501">
        <v>-60.886099999999999</v>
      </c>
      <c r="I501">
        <v>273</v>
      </c>
      <c r="J501" t="s">
        <v>17</v>
      </c>
      <c r="K501">
        <v>20.2</v>
      </c>
      <c r="L501">
        <v>72.2</v>
      </c>
      <c r="M501" t="s">
        <v>28</v>
      </c>
      <c r="N501">
        <v>19</v>
      </c>
      <c r="O501">
        <v>115</v>
      </c>
      <c r="P501">
        <v>5</v>
      </c>
      <c r="Q501" t="s">
        <v>19</v>
      </c>
      <c r="R501">
        <v>68.8</v>
      </c>
      <c r="S501">
        <v>238</v>
      </c>
      <c r="T501">
        <v>1</v>
      </c>
      <c r="U501" t="str" cm="1">
        <f t="array" ref="U501">_xlfn.IFS(smart_dataset[[#This Row],[Waiting_Time]]&lt;=20,"Low",smart_dataset[[#This Row],[Waiting_Time]]&lt;=40,"Medium",TRUE,"High")</f>
        <v>Low</v>
      </c>
      <c r="V501" t="str" cm="1">
        <f t="array" ref="V501">_xlfn.IFS(smart_dataset[[#This Row],[Temperature]]&lt;=20,"Cold",smart_dataset[[#This Row],[Temperature]]&lt;=28,"Normal",TRUE,"Hot")</f>
        <v>Normal</v>
      </c>
      <c r="W501" t="str" cm="1">
        <f t="array" ref="W501">_xlfn.IFS(smart_dataset[[#This Row],[Asset_Utilization]]&lt;=75,"Low",smart_dataset[[#This Row],[Asset_Utilization]]&lt;=90,"Medium",TRUE,"High")</f>
        <v>Low</v>
      </c>
    </row>
    <row r="502" spans="1:23" x14ac:dyDescent="0.25">
      <c r="A502" s="1">
        <v>45609.480370370373</v>
      </c>
      <c r="B502" s="1">
        <f>INT(smart_dataset[[#This Row],[Timestamp]])</f>
        <v>45609</v>
      </c>
      <c r="C502" s="7">
        <f>MOD(smart_dataset[[#This Row],[Timestamp]],1)</f>
        <v>0.48037037037283881</v>
      </c>
      <c r="D502">
        <f>YEAR(smart_dataset[[#This Row],[Date]])</f>
        <v>2024</v>
      </c>
      <c r="E502">
        <f>MONTH(smart_dataset[[#This Row],[Timestamp]])</f>
        <v>11</v>
      </c>
      <c r="F502" t="s">
        <v>29</v>
      </c>
      <c r="G502">
        <v>8.7621000000000002</v>
      </c>
      <c r="H502">
        <v>-2.9218000000000002</v>
      </c>
      <c r="I502">
        <v>492</v>
      </c>
      <c r="J502" t="s">
        <v>26</v>
      </c>
      <c r="K502">
        <v>21.6</v>
      </c>
      <c r="L502">
        <v>78.3</v>
      </c>
      <c r="M502" t="s">
        <v>28</v>
      </c>
      <c r="N502">
        <v>58</v>
      </c>
      <c r="O502">
        <v>122</v>
      </c>
      <c r="P502">
        <v>9</v>
      </c>
      <c r="Q502" t="s">
        <v>19</v>
      </c>
      <c r="R502">
        <v>61.2</v>
      </c>
      <c r="S502">
        <v>202</v>
      </c>
      <c r="T502">
        <v>0</v>
      </c>
      <c r="U502" t="str" cm="1">
        <f t="array" ref="U502">_xlfn.IFS(smart_dataset[[#This Row],[Waiting_Time]]&lt;=20,"Low",smart_dataset[[#This Row],[Waiting_Time]]&lt;=40,"Medium",TRUE,"High")</f>
        <v>High</v>
      </c>
      <c r="V502" t="str" cm="1">
        <f t="array" ref="V502">_xlfn.IFS(smart_dataset[[#This Row],[Temperature]]&lt;=20,"Cold",smart_dataset[[#This Row],[Temperature]]&lt;=28,"Normal",TRUE,"Hot")</f>
        <v>Normal</v>
      </c>
      <c r="W502" t="str" cm="1">
        <f t="array" ref="W502">_xlfn.IFS(smart_dataset[[#This Row],[Asset_Utilization]]&lt;=75,"Low",smart_dataset[[#This Row],[Asset_Utilization]]&lt;=90,"Medium",TRUE,"High")</f>
        <v>Low</v>
      </c>
    </row>
    <row r="503" spans="1:23" hidden="1" x14ac:dyDescent="0.25">
      <c r="A503" s="1">
        <v>45292.4846875</v>
      </c>
      <c r="B503" s="1">
        <f>INT(smart_dataset[[#This Row],[Timestamp]])</f>
        <v>45292</v>
      </c>
      <c r="C503" s="1">
        <f>MOD(smart_dataset[[#This Row],[Timestamp]],1)</f>
        <v>0.48468750000029104</v>
      </c>
      <c r="D503" s="1">
        <f>YEAR(smart_dataset[[#This Row],[Date]])</f>
        <v>2024</v>
      </c>
      <c r="E503" s="1">
        <f>MONTH(smart_dataset[[#This Row],[Timestamp]])</f>
        <v>1</v>
      </c>
      <c r="F503" t="s">
        <v>29</v>
      </c>
      <c r="G503">
        <v>-59.075299999999999</v>
      </c>
      <c r="H503">
        <v>68.488600000000005</v>
      </c>
      <c r="I503">
        <v>303</v>
      </c>
      <c r="J503" t="s">
        <v>21</v>
      </c>
      <c r="K503">
        <v>24.6</v>
      </c>
      <c r="L503">
        <v>68.599999999999994</v>
      </c>
      <c r="M503" t="s">
        <v>18</v>
      </c>
      <c r="N503">
        <v>50</v>
      </c>
      <c r="O503">
        <v>213</v>
      </c>
      <c r="P503">
        <v>6</v>
      </c>
      <c r="Q503" t="s">
        <v>31</v>
      </c>
      <c r="R503">
        <v>97.1</v>
      </c>
      <c r="S503">
        <v>297</v>
      </c>
      <c r="T503">
        <v>0</v>
      </c>
      <c r="U503" t="str" cm="1">
        <f t="array" ref="U503">_xlfn.IFS(smart_dataset[[#This Row],[Waiting_Time]]&lt;=20,"Low",smart_dataset[[#This Row],[Waiting_Time]]&lt;=40,"Medium",TRUE,"High")</f>
        <v>High</v>
      </c>
      <c r="V503" t="str" cm="1">
        <f t="array" ref="V503">_xlfn.IFS(smart_dataset[[#This Row],[Temperature]]&lt;=20,"Cold",smart_dataset[[#This Row],[Temperature]]&lt;=28,"Normal",TRUE,"Hot")</f>
        <v>Normal</v>
      </c>
      <c r="W503" t="str" cm="1">
        <f t="array" ref="W503">_xlfn.IFS(smart_dataset[[#This Row],[Asset_Utilization]]&lt;=75,"Low",smart_dataset[[#This Row],[Asset_Utilization]]&lt;=90,"Medium",TRUE,"High")</f>
        <v>High</v>
      </c>
    </row>
    <row r="504" spans="1:23" hidden="1" x14ac:dyDescent="0.25">
      <c r="A504" s="1">
        <v>45572.764664351853</v>
      </c>
      <c r="B504" s="1">
        <f>INT(smart_dataset[[#This Row],[Timestamp]])</f>
        <v>45572</v>
      </c>
      <c r="C504" s="1">
        <f>MOD(smart_dataset[[#This Row],[Timestamp]],1)</f>
        <v>0.76466435185284354</v>
      </c>
      <c r="D504" s="1">
        <f>YEAR(smart_dataset[[#This Row],[Date]])</f>
        <v>2024</v>
      </c>
      <c r="E504" s="1">
        <f>MONTH(smart_dataset[[#This Row],[Timestamp]])</f>
        <v>10</v>
      </c>
      <c r="F504" t="s">
        <v>20</v>
      </c>
      <c r="G504">
        <v>5.7218</v>
      </c>
      <c r="H504">
        <v>-96.580600000000004</v>
      </c>
      <c r="I504">
        <v>270</v>
      </c>
      <c r="J504" t="s">
        <v>21</v>
      </c>
      <c r="K504">
        <v>28.1</v>
      </c>
      <c r="L504">
        <v>73.599999999999994</v>
      </c>
      <c r="M504" t="s">
        <v>28</v>
      </c>
      <c r="N504">
        <v>57</v>
      </c>
      <c r="O504">
        <v>283</v>
      </c>
      <c r="P504">
        <v>2</v>
      </c>
      <c r="Q504" t="s">
        <v>31</v>
      </c>
      <c r="R504">
        <v>92.3</v>
      </c>
      <c r="S504">
        <v>122</v>
      </c>
      <c r="T504">
        <v>0</v>
      </c>
      <c r="U504" t="str" cm="1">
        <f t="array" ref="U504">_xlfn.IFS(smart_dataset[[#This Row],[Waiting_Time]]&lt;=20,"Low",smart_dataset[[#This Row],[Waiting_Time]]&lt;=40,"Medium",TRUE,"High")</f>
        <v>High</v>
      </c>
      <c r="V504" t="str" cm="1">
        <f t="array" ref="V504">_xlfn.IFS(smart_dataset[[#This Row],[Temperature]]&lt;=20,"Cold",smart_dataset[[#This Row],[Temperature]]&lt;=28,"Normal",TRUE,"Hot")</f>
        <v>Hot</v>
      </c>
      <c r="W504" t="str" cm="1">
        <f t="array" ref="W504">_xlfn.IFS(smart_dataset[[#This Row],[Asset_Utilization]]&lt;=75,"Low",smart_dataset[[#This Row],[Asset_Utilization]]&lt;=90,"Medium",TRUE,"High")</f>
        <v>High</v>
      </c>
    </row>
    <row r="505" spans="1:23" hidden="1" x14ac:dyDescent="0.25">
      <c r="A505" s="1">
        <v>45489.693796296298</v>
      </c>
      <c r="B505" s="1">
        <f>INT(smart_dataset[[#This Row],[Timestamp]])</f>
        <v>45489</v>
      </c>
      <c r="C505" s="1">
        <f>MOD(smart_dataset[[#This Row],[Timestamp]],1)</f>
        <v>0.69379629629838746</v>
      </c>
      <c r="D505" s="1">
        <f>YEAR(smart_dataset[[#This Row],[Date]])</f>
        <v>2024</v>
      </c>
      <c r="E505" s="1">
        <f>MONTH(smart_dataset[[#This Row],[Timestamp]])</f>
        <v>7</v>
      </c>
      <c r="F505" t="s">
        <v>29</v>
      </c>
      <c r="G505">
        <v>-38.315800000000003</v>
      </c>
      <c r="H505">
        <v>-38.325699999999998</v>
      </c>
      <c r="I505">
        <v>382</v>
      </c>
      <c r="J505" t="s">
        <v>26</v>
      </c>
      <c r="K505">
        <v>21.6</v>
      </c>
      <c r="L505">
        <v>50.5</v>
      </c>
      <c r="M505" t="s">
        <v>18</v>
      </c>
      <c r="N505">
        <v>31</v>
      </c>
      <c r="O505">
        <v>160</v>
      </c>
      <c r="P505">
        <v>8</v>
      </c>
      <c r="Q505" t="s">
        <v>23</v>
      </c>
      <c r="R505">
        <v>94.8</v>
      </c>
      <c r="S505">
        <v>261</v>
      </c>
      <c r="T505">
        <v>0</v>
      </c>
      <c r="U505" t="str" cm="1">
        <f t="array" ref="U505">_xlfn.IFS(smart_dataset[[#This Row],[Waiting_Time]]&lt;=20,"Low",smart_dataset[[#This Row],[Waiting_Time]]&lt;=40,"Medium",TRUE,"High")</f>
        <v>Medium</v>
      </c>
      <c r="V505" t="str" cm="1">
        <f t="array" ref="V505">_xlfn.IFS(smart_dataset[[#This Row],[Temperature]]&lt;=20,"Cold",smart_dataset[[#This Row],[Temperature]]&lt;=28,"Normal",TRUE,"Hot")</f>
        <v>Normal</v>
      </c>
      <c r="W505" t="str" cm="1">
        <f t="array" ref="W505">_xlfn.IFS(smart_dataset[[#This Row],[Asset_Utilization]]&lt;=75,"Low",smart_dataset[[#This Row],[Asset_Utilization]]&lt;=90,"Medium",TRUE,"High")</f>
        <v>High</v>
      </c>
    </row>
    <row r="506" spans="1:23" hidden="1" x14ac:dyDescent="0.25">
      <c r="A506" s="1">
        <v>45395.731851851851</v>
      </c>
      <c r="B506" s="1">
        <f>INT(smart_dataset[[#This Row],[Timestamp]])</f>
        <v>45395</v>
      </c>
      <c r="C506" s="1">
        <f>MOD(smart_dataset[[#This Row],[Timestamp]],1)</f>
        <v>0.73185185185138835</v>
      </c>
      <c r="D506" s="1">
        <f>YEAR(smart_dataset[[#This Row],[Date]])</f>
        <v>2024</v>
      </c>
      <c r="E506" s="1">
        <f>MONTH(smart_dataset[[#This Row],[Timestamp]])</f>
        <v>4</v>
      </c>
      <c r="F506" t="s">
        <v>29</v>
      </c>
      <c r="G506">
        <v>-87.404200000000003</v>
      </c>
      <c r="H506">
        <v>-127.32689999999999</v>
      </c>
      <c r="I506">
        <v>197</v>
      </c>
      <c r="J506" t="s">
        <v>26</v>
      </c>
      <c r="K506">
        <v>23.3</v>
      </c>
      <c r="L506">
        <v>53.5</v>
      </c>
      <c r="M506" t="s">
        <v>22</v>
      </c>
      <c r="N506">
        <v>41</v>
      </c>
      <c r="O506">
        <v>259</v>
      </c>
      <c r="P506">
        <v>9</v>
      </c>
      <c r="Q506" t="s">
        <v>23</v>
      </c>
      <c r="R506">
        <v>91.3</v>
      </c>
      <c r="S506">
        <v>211</v>
      </c>
      <c r="T506">
        <v>1</v>
      </c>
      <c r="U506" t="str" cm="1">
        <f t="array" ref="U506">_xlfn.IFS(smart_dataset[[#This Row],[Waiting_Time]]&lt;=20,"Low",smart_dataset[[#This Row],[Waiting_Time]]&lt;=40,"Medium",TRUE,"High")</f>
        <v>High</v>
      </c>
      <c r="V506" t="str" cm="1">
        <f t="array" ref="V506">_xlfn.IFS(smart_dataset[[#This Row],[Temperature]]&lt;=20,"Cold",smart_dataset[[#This Row],[Temperature]]&lt;=28,"Normal",TRUE,"Hot")</f>
        <v>Normal</v>
      </c>
      <c r="W506" t="str" cm="1">
        <f t="array" ref="W506">_xlfn.IFS(smart_dataset[[#This Row],[Asset_Utilization]]&lt;=75,"Low",smart_dataset[[#This Row],[Asset_Utilization]]&lt;=90,"Medium",TRUE,"High")</f>
        <v>High</v>
      </c>
    </row>
    <row r="507" spans="1:23" hidden="1" x14ac:dyDescent="0.25">
      <c r="A507" s="1">
        <v>45515.096053240741</v>
      </c>
      <c r="B507" s="1">
        <f>INT(smart_dataset[[#This Row],[Timestamp]])</f>
        <v>45515</v>
      </c>
      <c r="C507" s="1">
        <f>MOD(smart_dataset[[#This Row],[Timestamp]],1)</f>
        <v>9.6053240740729962E-2</v>
      </c>
      <c r="D507" s="1">
        <f>YEAR(smart_dataset[[#This Row],[Date]])</f>
        <v>2024</v>
      </c>
      <c r="E507" s="1">
        <f>MONTH(smart_dataset[[#This Row],[Timestamp]])</f>
        <v>8</v>
      </c>
      <c r="F507" t="s">
        <v>25</v>
      </c>
      <c r="G507">
        <v>-77.364800000000002</v>
      </c>
      <c r="H507">
        <v>30.974399999999999</v>
      </c>
      <c r="I507">
        <v>368</v>
      </c>
      <c r="J507" t="s">
        <v>21</v>
      </c>
      <c r="K507">
        <v>25</v>
      </c>
      <c r="L507">
        <v>60.7</v>
      </c>
      <c r="M507" t="s">
        <v>28</v>
      </c>
      <c r="N507">
        <v>37</v>
      </c>
      <c r="O507">
        <v>382</v>
      </c>
      <c r="P507">
        <v>5</v>
      </c>
      <c r="Q507" t="s">
        <v>23</v>
      </c>
      <c r="R507">
        <v>82.8</v>
      </c>
      <c r="S507">
        <v>225</v>
      </c>
      <c r="T507">
        <v>0</v>
      </c>
      <c r="U507" t="str" cm="1">
        <f t="array" ref="U507">_xlfn.IFS(smart_dataset[[#This Row],[Waiting_Time]]&lt;=20,"Low",smart_dataset[[#This Row],[Waiting_Time]]&lt;=40,"Medium",TRUE,"High")</f>
        <v>Medium</v>
      </c>
      <c r="V507" t="str" cm="1">
        <f t="array" ref="V507">_xlfn.IFS(smart_dataset[[#This Row],[Temperature]]&lt;=20,"Cold",smart_dataset[[#This Row],[Temperature]]&lt;=28,"Normal",TRUE,"Hot")</f>
        <v>Normal</v>
      </c>
      <c r="W507" t="str" cm="1">
        <f t="array" ref="W507">_xlfn.IFS(smart_dataset[[#This Row],[Asset_Utilization]]&lt;=75,"Low",smart_dataset[[#This Row],[Asset_Utilization]]&lt;=90,"Medium",TRUE,"High")</f>
        <v>Medium</v>
      </c>
    </row>
    <row r="508" spans="1:23" hidden="1" x14ac:dyDescent="0.25">
      <c r="A508" s="1">
        <v>45310.010717592595</v>
      </c>
      <c r="B508" s="1">
        <f>INT(smart_dataset[[#This Row],[Timestamp]])</f>
        <v>45310</v>
      </c>
      <c r="C508" s="1">
        <f>MOD(smart_dataset[[#This Row],[Timestamp]],1)</f>
        <v>1.0717592595028691E-2</v>
      </c>
      <c r="D508" s="1">
        <f>YEAR(smart_dataset[[#This Row],[Date]])</f>
        <v>2024</v>
      </c>
      <c r="E508" s="1">
        <f>MONTH(smart_dataset[[#This Row],[Timestamp]])</f>
        <v>1</v>
      </c>
      <c r="F508" t="s">
        <v>16</v>
      </c>
      <c r="G508">
        <v>-73.047700000000006</v>
      </c>
      <c r="H508">
        <v>124.79689999999999</v>
      </c>
      <c r="I508">
        <v>223</v>
      </c>
      <c r="J508" t="s">
        <v>21</v>
      </c>
      <c r="K508">
        <v>19.5</v>
      </c>
      <c r="L508">
        <v>55.6</v>
      </c>
      <c r="M508" t="s">
        <v>28</v>
      </c>
      <c r="N508">
        <v>23</v>
      </c>
      <c r="O508">
        <v>154</v>
      </c>
      <c r="P508">
        <v>4</v>
      </c>
      <c r="Q508" t="s">
        <v>23</v>
      </c>
      <c r="R508">
        <v>62.9</v>
      </c>
      <c r="S508">
        <v>217</v>
      </c>
      <c r="T508">
        <v>0</v>
      </c>
      <c r="U508" t="str" cm="1">
        <f t="array" ref="U508">_xlfn.IFS(smart_dataset[[#This Row],[Waiting_Time]]&lt;=20,"Low",smart_dataset[[#This Row],[Waiting_Time]]&lt;=40,"Medium",TRUE,"High")</f>
        <v>Medium</v>
      </c>
      <c r="V508" t="str" cm="1">
        <f t="array" ref="V508">_xlfn.IFS(smart_dataset[[#This Row],[Temperature]]&lt;=20,"Cold",smart_dataset[[#This Row],[Temperature]]&lt;=28,"Normal",TRUE,"Hot")</f>
        <v>Cold</v>
      </c>
      <c r="W508" t="str" cm="1">
        <f t="array" ref="W508">_xlfn.IFS(smart_dataset[[#This Row],[Asset_Utilization]]&lt;=75,"Low",smart_dataset[[#This Row],[Asset_Utilization]]&lt;=90,"Medium",TRUE,"High")</f>
        <v>Low</v>
      </c>
    </row>
    <row r="509" spans="1:23" hidden="1" x14ac:dyDescent="0.25">
      <c r="A509" s="1">
        <v>45652.159930555557</v>
      </c>
      <c r="B509" s="1">
        <f>INT(smart_dataset[[#This Row],[Timestamp]])</f>
        <v>45652</v>
      </c>
      <c r="C509" s="1">
        <f>MOD(smart_dataset[[#This Row],[Timestamp]],1)</f>
        <v>0.15993055555736646</v>
      </c>
      <c r="D509" s="1">
        <f>YEAR(smart_dataset[[#This Row],[Date]])</f>
        <v>2024</v>
      </c>
      <c r="E509" s="1">
        <f>MONTH(smart_dataset[[#This Row],[Timestamp]])</f>
        <v>12</v>
      </c>
      <c r="F509" t="s">
        <v>16</v>
      </c>
      <c r="G509">
        <v>-27.576000000000001</v>
      </c>
      <c r="H509">
        <v>-111.3158</v>
      </c>
      <c r="I509">
        <v>340</v>
      </c>
      <c r="J509" t="s">
        <v>17</v>
      </c>
      <c r="K509">
        <v>25.9</v>
      </c>
      <c r="L509">
        <v>75.3</v>
      </c>
      <c r="M509" t="s">
        <v>18</v>
      </c>
      <c r="N509">
        <v>18</v>
      </c>
      <c r="O509">
        <v>424</v>
      </c>
      <c r="P509">
        <v>7</v>
      </c>
      <c r="Q509" t="s">
        <v>23</v>
      </c>
      <c r="R509">
        <v>67.3</v>
      </c>
      <c r="S509">
        <v>287</v>
      </c>
      <c r="T509">
        <v>1</v>
      </c>
      <c r="U509" t="str" cm="1">
        <f t="array" ref="U509">_xlfn.IFS(smart_dataset[[#This Row],[Waiting_Time]]&lt;=20,"Low",smart_dataset[[#This Row],[Waiting_Time]]&lt;=40,"Medium",TRUE,"High")</f>
        <v>Low</v>
      </c>
      <c r="V509" t="str" cm="1">
        <f t="array" ref="V509">_xlfn.IFS(smart_dataset[[#This Row],[Temperature]]&lt;=20,"Cold",smart_dataset[[#This Row],[Temperature]]&lt;=28,"Normal",TRUE,"Hot")</f>
        <v>Normal</v>
      </c>
      <c r="W509" t="str" cm="1">
        <f t="array" ref="W509">_xlfn.IFS(smart_dataset[[#This Row],[Asset_Utilization]]&lt;=75,"Low",smart_dataset[[#This Row],[Asset_Utilization]]&lt;=90,"Medium",TRUE,"High")</f>
        <v>Low</v>
      </c>
    </row>
    <row r="510" spans="1:23" hidden="1" x14ac:dyDescent="0.25">
      <c r="A510" s="1">
        <v>45301.530752314815</v>
      </c>
      <c r="B510" s="1">
        <f>INT(smart_dataset[[#This Row],[Timestamp]])</f>
        <v>45301</v>
      </c>
      <c r="C510" s="1">
        <f>MOD(smart_dataset[[#This Row],[Timestamp]],1)</f>
        <v>0.53075231481489027</v>
      </c>
      <c r="D510" s="1">
        <f>YEAR(smart_dataset[[#This Row],[Date]])</f>
        <v>2024</v>
      </c>
      <c r="E510" s="1">
        <f>MONTH(smart_dataset[[#This Row],[Timestamp]])</f>
        <v>1</v>
      </c>
      <c r="F510" t="s">
        <v>24</v>
      </c>
      <c r="G510">
        <v>49.9465</v>
      </c>
      <c r="H510">
        <v>-30.023599999999998</v>
      </c>
      <c r="I510">
        <v>355</v>
      </c>
      <c r="J510" t="s">
        <v>26</v>
      </c>
      <c r="K510">
        <v>20.2</v>
      </c>
      <c r="L510">
        <v>51.3</v>
      </c>
      <c r="M510" t="s">
        <v>28</v>
      </c>
      <c r="N510">
        <v>49</v>
      </c>
      <c r="O510">
        <v>323</v>
      </c>
      <c r="P510">
        <v>4</v>
      </c>
      <c r="Q510" t="s">
        <v>31</v>
      </c>
      <c r="R510">
        <v>72.599999999999994</v>
      </c>
      <c r="S510">
        <v>100</v>
      </c>
      <c r="T510">
        <v>0</v>
      </c>
      <c r="U510" t="str" cm="1">
        <f t="array" ref="U510">_xlfn.IFS(smart_dataset[[#This Row],[Waiting_Time]]&lt;=20,"Low",smart_dataset[[#This Row],[Waiting_Time]]&lt;=40,"Medium",TRUE,"High")</f>
        <v>High</v>
      </c>
      <c r="V510" t="str" cm="1">
        <f t="array" ref="V510">_xlfn.IFS(smart_dataset[[#This Row],[Temperature]]&lt;=20,"Cold",smart_dataset[[#This Row],[Temperature]]&lt;=28,"Normal",TRUE,"Hot")</f>
        <v>Normal</v>
      </c>
      <c r="W510" t="str" cm="1">
        <f t="array" ref="W510">_xlfn.IFS(smart_dataset[[#This Row],[Asset_Utilization]]&lt;=75,"Low",smart_dataset[[#This Row],[Asset_Utilization]]&lt;=90,"Medium",TRUE,"High")</f>
        <v>Low</v>
      </c>
    </row>
    <row r="511" spans="1:23" x14ac:dyDescent="0.25">
      <c r="A511" s="1">
        <v>45588.550763888888</v>
      </c>
      <c r="B511" s="1">
        <f>INT(smart_dataset[[#This Row],[Timestamp]])</f>
        <v>45588</v>
      </c>
      <c r="C511" s="7">
        <f>MOD(smart_dataset[[#This Row],[Timestamp]],1)</f>
        <v>0.5507638888884685</v>
      </c>
      <c r="D511">
        <f>YEAR(smart_dataset[[#This Row],[Date]])</f>
        <v>2024</v>
      </c>
      <c r="E511">
        <f>MONTH(smart_dataset[[#This Row],[Timestamp]])</f>
        <v>10</v>
      </c>
      <c r="F511" t="s">
        <v>30</v>
      </c>
      <c r="G511">
        <v>-50.685600000000001</v>
      </c>
      <c r="H511">
        <v>-9.6235999999999997</v>
      </c>
      <c r="I511">
        <v>158</v>
      </c>
      <c r="J511" t="s">
        <v>21</v>
      </c>
      <c r="K511">
        <v>26.6</v>
      </c>
      <c r="L511">
        <v>63.8</v>
      </c>
      <c r="M511" t="s">
        <v>22</v>
      </c>
      <c r="N511">
        <v>51</v>
      </c>
      <c r="O511">
        <v>199</v>
      </c>
      <c r="P511">
        <v>4</v>
      </c>
      <c r="Q511" t="s">
        <v>19</v>
      </c>
      <c r="R511">
        <v>84.8</v>
      </c>
      <c r="S511">
        <v>114</v>
      </c>
      <c r="T511">
        <v>1</v>
      </c>
      <c r="U511" t="str" cm="1">
        <f t="array" ref="U511">_xlfn.IFS(smart_dataset[[#This Row],[Waiting_Time]]&lt;=20,"Low",smart_dataset[[#This Row],[Waiting_Time]]&lt;=40,"Medium",TRUE,"High")</f>
        <v>High</v>
      </c>
      <c r="V511" t="str" cm="1">
        <f t="array" ref="V511">_xlfn.IFS(smart_dataset[[#This Row],[Temperature]]&lt;=20,"Cold",smart_dataset[[#This Row],[Temperature]]&lt;=28,"Normal",TRUE,"Hot")</f>
        <v>Normal</v>
      </c>
      <c r="W511" t="str" cm="1">
        <f t="array" ref="W511">_xlfn.IFS(smart_dataset[[#This Row],[Asset_Utilization]]&lt;=75,"Low",smart_dataset[[#This Row],[Asset_Utilization]]&lt;=90,"Medium",TRUE,"High")</f>
        <v>Medium</v>
      </c>
    </row>
    <row r="512" spans="1:23" hidden="1" x14ac:dyDescent="0.25">
      <c r="A512" s="1">
        <v>45504.828726851854</v>
      </c>
      <c r="B512" s="1">
        <f>INT(smart_dataset[[#This Row],[Timestamp]])</f>
        <v>45504</v>
      </c>
      <c r="C512" s="1">
        <f>MOD(smart_dataset[[#This Row],[Timestamp]],1)</f>
        <v>0.82872685185429873</v>
      </c>
      <c r="D512" s="1">
        <f>YEAR(smart_dataset[[#This Row],[Date]])</f>
        <v>2024</v>
      </c>
      <c r="E512" s="1">
        <f>MONTH(smart_dataset[[#This Row],[Timestamp]])</f>
        <v>7</v>
      </c>
      <c r="F512" t="s">
        <v>24</v>
      </c>
      <c r="G512">
        <v>84.112200000000001</v>
      </c>
      <c r="H512">
        <v>-87.899000000000001</v>
      </c>
      <c r="I512">
        <v>126</v>
      </c>
      <c r="J512" t="s">
        <v>17</v>
      </c>
      <c r="K512">
        <v>25.1</v>
      </c>
      <c r="L512">
        <v>58</v>
      </c>
      <c r="M512" t="s">
        <v>18</v>
      </c>
      <c r="N512">
        <v>47</v>
      </c>
      <c r="O512">
        <v>291</v>
      </c>
      <c r="P512">
        <v>7</v>
      </c>
      <c r="Q512" t="s">
        <v>27</v>
      </c>
      <c r="R512">
        <v>92.3</v>
      </c>
      <c r="S512">
        <v>123</v>
      </c>
      <c r="T512">
        <v>1</v>
      </c>
      <c r="U512" t="str" cm="1">
        <f t="array" ref="U512">_xlfn.IFS(smart_dataset[[#This Row],[Waiting_Time]]&lt;=20,"Low",smart_dataset[[#This Row],[Waiting_Time]]&lt;=40,"Medium",TRUE,"High")</f>
        <v>High</v>
      </c>
      <c r="V512" t="str" cm="1">
        <f t="array" ref="V512">_xlfn.IFS(smart_dataset[[#This Row],[Temperature]]&lt;=20,"Cold",smart_dataset[[#This Row],[Temperature]]&lt;=28,"Normal",TRUE,"Hot")</f>
        <v>Normal</v>
      </c>
      <c r="W512" t="str" cm="1">
        <f t="array" ref="W512">_xlfn.IFS(smart_dataset[[#This Row],[Asset_Utilization]]&lt;=75,"Low",smart_dataset[[#This Row],[Asset_Utilization]]&lt;=90,"Medium",TRUE,"High")</f>
        <v>High</v>
      </c>
    </row>
    <row r="513" spans="1:23" hidden="1" x14ac:dyDescent="0.25">
      <c r="A513" s="1">
        <v>45509.934803240743</v>
      </c>
      <c r="B513" s="1">
        <f>INT(smart_dataset[[#This Row],[Timestamp]])</f>
        <v>45509</v>
      </c>
      <c r="C513" s="1">
        <f>MOD(smart_dataset[[#This Row],[Timestamp]],1)</f>
        <v>0.93480324074334931</v>
      </c>
      <c r="D513" s="1">
        <f>YEAR(smart_dataset[[#This Row],[Date]])</f>
        <v>2024</v>
      </c>
      <c r="E513" s="1">
        <f>MONTH(smart_dataset[[#This Row],[Timestamp]])</f>
        <v>8</v>
      </c>
      <c r="F513" t="s">
        <v>32</v>
      </c>
      <c r="G513">
        <v>49.919699999999999</v>
      </c>
      <c r="H513">
        <v>79.465299999999999</v>
      </c>
      <c r="I513">
        <v>309</v>
      </c>
      <c r="J513" t="s">
        <v>21</v>
      </c>
      <c r="K513">
        <v>20.6</v>
      </c>
      <c r="L513">
        <v>77.3</v>
      </c>
      <c r="M513" t="s">
        <v>28</v>
      </c>
      <c r="N513">
        <v>60</v>
      </c>
      <c r="O513">
        <v>177</v>
      </c>
      <c r="P513">
        <v>5</v>
      </c>
      <c r="Q513" t="s">
        <v>23</v>
      </c>
      <c r="R513">
        <v>69.2</v>
      </c>
      <c r="S513">
        <v>271</v>
      </c>
      <c r="T513">
        <v>0</v>
      </c>
      <c r="U513" t="str" cm="1">
        <f t="array" ref="U513">_xlfn.IFS(smart_dataset[[#This Row],[Waiting_Time]]&lt;=20,"Low",smart_dataset[[#This Row],[Waiting_Time]]&lt;=40,"Medium",TRUE,"High")</f>
        <v>High</v>
      </c>
      <c r="V513" t="str" cm="1">
        <f t="array" ref="V513">_xlfn.IFS(smart_dataset[[#This Row],[Temperature]]&lt;=20,"Cold",smart_dataset[[#This Row],[Temperature]]&lt;=28,"Normal",TRUE,"Hot")</f>
        <v>Normal</v>
      </c>
      <c r="W513" t="str" cm="1">
        <f t="array" ref="W513">_xlfn.IFS(smart_dataset[[#This Row],[Asset_Utilization]]&lt;=75,"Low",smart_dataset[[#This Row],[Asset_Utilization]]&lt;=90,"Medium",TRUE,"High")</f>
        <v>Low</v>
      </c>
    </row>
    <row r="514" spans="1:23" hidden="1" x14ac:dyDescent="0.25">
      <c r="A514" s="1">
        <v>45336.031284722223</v>
      </c>
      <c r="B514" s="1">
        <f>INT(smart_dataset[[#This Row],[Timestamp]])</f>
        <v>45336</v>
      </c>
      <c r="C514" s="1">
        <f>MOD(smart_dataset[[#This Row],[Timestamp]],1)</f>
        <v>3.1284722223063E-2</v>
      </c>
      <c r="D514" s="1">
        <f>YEAR(smart_dataset[[#This Row],[Date]])</f>
        <v>2024</v>
      </c>
      <c r="E514" s="1">
        <f>MONTH(smart_dataset[[#This Row],[Timestamp]])</f>
        <v>2</v>
      </c>
      <c r="F514" t="s">
        <v>24</v>
      </c>
      <c r="G514">
        <v>-44.625399999999999</v>
      </c>
      <c r="H514">
        <v>44.087600000000002</v>
      </c>
      <c r="I514">
        <v>171</v>
      </c>
      <c r="J514" t="s">
        <v>17</v>
      </c>
      <c r="K514">
        <v>22.6</v>
      </c>
      <c r="L514">
        <v>69.900000000000006</v>
      </c>
      <c r="M514" t="s">
        <v>18</v>
      </c>
      <c r="N514">
        <v>26</v>
      </c>
      <c r="O514">
        <v>104</v>
      </c>
      <c r="P514">
        <v>2</v>
      </c>
      <c r="Q514" t="s">
        <v>23</v>
      </c>
      <c r="R514">
        <v>88.1</v>
      </c>
      <c r="S514">
        <v>132</v>
      </c>
      <c r="T514">
        <v>1</v>
      </c>
      <c r="U514" t="str" cm="1">
        <f t="array" ref="U514">_xlfn.IFS(smart_dataset[[#This Row],[Waiting_Time]]&lt;=20,"Low",smart_dataset[[#This Row],[Waiting_Time]]&lt;=40,"Medium",TRUE,"High")</f>
        <v>Medium</v>
      </c>
      <c r="V514" t="str" cm="1">
        <f t="array" ref="V514">_xlfn.IFS(smart_dataset[[#This Row],[Temperature]]&lt;=20,"Cold",smart_dataset[[#This Row],[Temperature]]&lt;=28,"Normal",TRUE,"Hot")</f>
        <v>Normal</v>
      </c>
      <c r="W514" t="str" cm="1">
        <f t="array" ref="W514">_xlfn.IFS(smart_dataset[[#This Row],[Asset_Utilization]]&lt;=75,"Low",smart_dataset[[#This Row],[Asset_Utilization]]&lt;=90,"Medium",TRUE,"High")</f>
        <v>Medium</v>
      </c>
    </row>
    <row r="515" spans="1:23" x14ac:dyDescent="0.25">
      <c r="A515" s="1">
        <v>45640.031365740739</v>
      </c>
      <c r="B515" s="1">
        <f>INT(smart_dataset[[#This Row],[Timestamp]])</f>
        <v>45640</v>
      </c>
      <c r="C515" s="7">
        <f>MOD(smart_dataset[[#This Row],[Timestamp]],1)</f>
        <v>3.1365740738692693E-2</v>
      </c>
      <c r="D515">
        <f>YEAR(smart_dataset[[#This Row],[Date]])</f>
        <v>2024</v>
      </c>
      <c r="E515">
        <f>MONTH(smart_dataset[[#This Row],[Timestamp]])</f>
        <v>12</v>
      </c>
      <c r="F515" t="s">
        <v>20</v>
      </c>
      <c r="G515">
        <v>-57.3005</v>
      </c>
      <c r="H515">
        <v>-23.688800000000001</v>
      </c>
      <c r="I515">
        <v>403</v>
      </c>
      <c r="J515" t="s">
        <v>21</v>
      </c>
      <c r="K515">
        <v>29.6</v>
      </c>
      <c r="L515">
        <v>63</v>
      </c>
      <c r="M515" t="s">
        <v>28</v>
      </c>
      <c r="N515">
        <v>12</v>
      </c>
      <c r="O515">
        <v>197</v>
      </c>
      <c r="P515">
        <v>4</v>
      </c>
      <c r="Q515" t="s">
        <v>19</v>
      </c>
      <c r="R515">
        <v>83.8</v>
      </c>
      <c r="S515">
        <v>228</v>
      </c>
      <c r="T515">
        <v>0</v>
      </c>
      <c r="U515" t="str" cm="1">
        <f t="array" ref="U515">_xlfn.IFS(smart_dataset[[#This Row],[Waiting_Time]]&lt;=20,"Low",smart_dataset[[#This Row],[Waiting_Time]]&lt;=40,"Medium",TRUE,"High")</f>
        <v>Low</v>
      </c>
      <c r="V515" t="str" cm="1">
        <f t="array" ref="V515">_xlfn.IFS(smart_dataset[[#This Row],[Temperature]]&lt;=20,"Cold",smart_dataset[[#This Row],[Temperature]]&lt;=28,"Normal",TRUE,"Hot")</f>
        <v>Hot</v>
      </c>
      <c r="W515" t="str" cm="1">
        <f t="array" ref="W515">_xlfn.IFS(smart_dataset[[#This Row],[Asset_Utilization]]&lt;=75,"Low",smart_dataset[[#This Row],[Asset_Utilization]]&lt;=90,"Medium",TRUE,"High")</f>
        <v>Medium</v>
      </c>
    </row>
    <row r="516" spans="1:23" hidden="1" x14ac:dyDescent="0.25">
      <c r="A516" s="1">
        <v>45489.342002314814</v>
      </c>
      <c r="B516" s="1">
        <f>INT(smart_dataset[[#This Row],[Timestamp]])</f>
        <v>45489</v>
      </c>
      <c r="C516" s="1">
        <f>MOD(smart_dataset[[#This Row],[Timestamp]],1)</f>
        <v>0.34200231481372612</v>
      </c>
      <c r="D516" s="1">
        <f>YEAR(smart_dataset[[#This Row],[Date]])</f>
        <v>2024</v>
      </c>
      <c r="E516" s="1">
        <f>MONTH(smart_dataset[[#This Row],[Timestamp]])</f>
        <v>7</v>
      </c>
      <c r="F516" t="s">
        <v>20</v>
      </c>
      <c r="G516">
        <v>-47.569800000000001</v>
      </c>
      <c r="H516">
        <v>-81.314300000000003</v>
      </c>
      <c r="I516">
        <v>181</v>
      </c>
      <c r="J516" t="s">
        <v>26</v>
      </c>
      <c r="K516">
        <v>25.9</v>
      </c>
      <c r="L516">
        <v>69.099999999999994</v>
      </c>
      <c r="M516" t="s">
        <v>22</v>
      </c>
      <c r="N516">
        <v>44</v>
      </c>
      <c r="O516">
        <v>264</v>
      </c>
      <c r="P516">
        <v>9</v>
      </c>
      <c r="Q516" t="s">
        <v>31</v>
      </c>
      <c r="R516">
        <v>69.900000000000006</v>
      </c>
      <c r="S516">
        <v>223</v>
      </c>
      <c r="T516">
        <v>1</v>
      </c>
      <c r="U516" t="str" cm="1">
        <f t="array" ref="U516">_xlfn.IFS(smart_dataset[[#This Row],[Waiting_Time]]&lt;=20,"Low",smart_dataset[[#This Row],[Waiting_Time]]&lt;=40,"Medium",TRUE,"High")</f>
        <v>High</v>
      </c>
      <c r="V516" t="str" cm="1">
        <f t="array" ref="V516">_xlfn.IFS(smart_dataset[[#This Row],[Temperature]]&lt;=20,"Cold",smart_dataset[[#This Row],[Temperature]]&lt;=28,"Normal",TRUE,"Hot")</f>
        <v>Normal</v>
      </c>
      <c r="W516" t="str" cm="1">
        <f t="array" ref="W516">_xlfn.IFS(smart_dataset[[#This Row],[Asset_Utilization]]&lt;=75,"Low",smart_dataset[[#This Row],[Asset_Utilization]]&lt;=90,"Medium",TRUE,"High")</f>
        <v>Low</v>
      </c>
    </row>
    <row r="517" spans="1:23" hidden="1" x14ac:dyDescent="0.25">
      <c r="A517" s="1">
        <v>45634.411377314813</v>
      </c>
      <c r="B517" s="1">
        <f>INT(smart_dataset[[#This Row],[Timestamp]])</f>
        <v>45634</v>
      </c>
      <c r="C517" s="1">
        <f>MOD(smart_dataset[[#This Row],[Timestamp]],1)</f>
        <v>0.411377314812853</v>
      </c>
      <c r="D517" s="1">
        <f>YEAR(smart_dataset[[#This Row],[Date]])</f>
        <v>2024</v>
      </c>
      <c r="E517" s="1">
        <f>MONTH(smart_dataset[[#This Row],[Timestamp]])</f>
        <v>12</v>
      </c>
      <c r="F517" t="s">
        <v>16</v>
      </c>
      <c r="G517">
        <v>-80.267499999999998</v>
      </c>
      <c r="H517">
        <v>-80.572599999999994</v>
      </c>
      <c r="I517">
        <v>472</v>
      </c>
      <c r="J517" t="s">
        <v>17</v>
      </c>
      <c r="K517">
        <v>23</v>
      </c>
      <c r="L517">
        <v>68</v>
      </c>
      <c r="M517" t="s">
        <v>22</v>
      </c>
      <c r="N517">
        <v>34</v>
      </c>
      <c r="O517">
        <v>365</v>
      </c>
      <c r="P517">
        <v>3</v>
      </c>
      <c r="Q517" t="s">
        <v>27</v>
      </c>
      <c r="R517">
        <v>87.8</v>
      </c>
      <c r="S517">
        <v>294</v>
      </c>
      <c r="T517">
        <v>1</v>
      </c>
      <c r="U517" t="str" cm="1">
        <f t="array" ref="U517">_xlfn.IFS(smart_dataset[[#This Row],[Waiting_Time]]&lt;=20,"Low",smart_dataset[[#This Row],[Waiting_Time]]&lt;=40,"Medium",TRUE,"High")</f>
        <v>Medium</v>
      </c>
      <c r="V517" t="str" cm="1">
        <f t="array" ref="V517">_xlfn.IFS(smart_dataset[[#This Row],[Temperature]]&lt;=20,"Cold",smart_dataset[[#This Row],[Temperature]]&lt;=28,"Normal",TRUE,"Hot")</f>
        <v>Normal</v>
      </c>
      <c r="W517" t="str" cm="1">
        <f t="array" ref="W517">_xlfn.IFS(smart_dataset[[#This Row],[Asset_Utilization]]&lt;=75,"Low",smart_dataset[[#This Row],[Asset_Utilization]]&lt;=90,"Medium",TRUE,"High")</f>
        <v>Medium</v>
      </c>
    </row>
    <row r="518" spans="1:23" hidden="1" x14ac:dyDescent="0.25">
      <c r="A518" s="1">
        <v>45420.077719907407</v>
      </c>
      <c r="B518" s="1">
        <f>INT(smart_dataset[[#This Row],[Timestamp]])</f>
        <v>45420</v>
      </c>
      <c r="C518" s="1">
        <f>MOD(smart_dataset[[#This Row],[Timestamp]],1)</f>
        <v>7.7719907407299615E-2</v>
      </c>
      <c r="D518" s="1">
        <f>YEAR(smart_dataset[[#This Row],[Date]])</f>
        <v>2024</v>
      </c>
      <c r="E518" s="1">
        <f>MONTH(smart_dataset[[#This Row],[Timestamp]])</f>
        <v>5</v>
      </c>
      <c r="F518" t="s">
        <v>32</v>
      </c>
      <c r="G518">
        <v>-70.321299999999994</v>
      </c>
      <c r="H518">
        <v>-61.917900000000003</v>
      </c>
      <c r="I518">
        <v>171</v>
      </c>
      <c r="J518" t="s">
        <v>26</v>
      </c>
      <c r="K518">
        <v>25.5</v>
      </c>
      <c r="L518">
        <v>51.1</v>
      </c>
      <c r="M518" t="s">
        <v>18</v>
      </c>
      <c r="N518">
        <v>43</v>
      </c>
      <c r="O518">
        <v>114</v>
      </c>
      <c r="P518">
        <v>1</v>
      </c>
      <c r="Q518" t="s">
        <v>23</v>
      </c>
      <c r="R518">
        <v>92.5</v>
      </c>
      <c r="S518">
        <v>149</v>
      </c>
      <c r="T518">
        <v>0</v>
      </c>
      <c r="U518" t="str" cm="1">
        <f t="array" ref="U518">_xlfn.IFS(smart_dataset[[#This Row],[Waiting_Time]]&lt;=20,"Low",smart_dataset[[#This Row],[Waiting_Time]]&lt;=40,"Medium",TRUE,"High")</f>
        <v>High</v>
      </c>
      <c r="V518" t="str" cm="1">
        <f t="array" ref="V518">_xlfn.IFS(smart_dataset[[#This Row],[Temperature]]&lt;=20,"Cold",smart_dataset[[#This Row],[Temperature]]&lt;=28,"Normal",TRUE,"Hot")</f>
        <v>Normal</v>
      </c>
      <c r="W518" t="str" cm="1">
        <f t="array" ref="W518">_xlfn.IFS(smart_dataset[[#This Row],[Asset_Utilization]]&lt;=75,"Low",smart_dataset[[#This Row],[Asset_Utilization]]&lt;=90,"Medium",TRUE,"High")</f>
        <v>High</v>
      </c>
    </row>
    <row r="519" spans="1:23" hidden="1" x14ac:dyDescent="0.25">
      <c r="A519" s="1">
        <v>45493.565081018518</v>
      </c>
      <c r="B519" s="1">
        <f>INT(smart_dataset[[#This Row],[Timestamp]])</f>
        <v>45493</v>
      </c>
      <c r="C519" s="1">
        <f>MOD(smart_dataset[[#This Row],[Timestamp]],1)</f>
        <v>0.565081018517958</v>
      </c>
      <c r="D519" s="1">
        <f>YEAR(smart_dataset[[#This Row],[Date]])</f>
        <v>2024</v>
      </c>
      <c r="E519" s="1">
        <f>MONTH(smart_dataset[[#This Row],[Timestamp]])</f>
        <v>7</v>
      </c>
      <c r="F519" t="s">
        <v>20</v>
      </c>
      <c r="G519">
        <v>48.251199999999997</v>
      </c>
      <c r="H519">
        <v>-106.6383</v>
      </c>
      <c r="I519">
        <v>204</v>
      </c>
      <c r="J519" t="s">
        <v>17</v>
      </c>
      <c r="K519">
        <v>19.2</v>
      </c>
      <c r="L519">
        <v>58</v>
      </c>
      <c r="M519" t="s">
        <v>22</v>
      </c>
      <c r="N519">
        <v>50</v>
      </c>
      <c r="O519">
        <v>465</v>
      </c>
      <c r="P519">
        <v>8</v>
      </c>
      <c r="Q519" t="s">
        <v>23</v>
      </c>
      <c r="R519">
        <v>85.2</v>
      </c>
      <c r="S519">
        <v>133</v>
      </c>
      <c r="T519">
        <v>1</v>
      </c>
      <c r="U519" t="str" cm="1">
        <f t="array" ref="U519">_xlfn.IFS(smart_dataset[[#This Row],[Waiting_Time]]&lt;=20,"Low",smart_dataset[[#This Row],[Waiting_Time]]&lt;=40,"Medium",TRUE,"High")</f>
        <v>High</v>
      </c>
      <c r="V519" t="str" cm="1">
        <f t="array" ref="V519">_xlfn.IFS(smart_dataset[[#This Row],[Temperature]]&lt;=20,"Cold",smart_dataset[[#This Row],[Temperature]]&lt;=28,"Normal",TRUE,"Hot")</f>
        <v>Cold</v>
      </c>
      <c r="W519" t="str" cm="1">
        <f t="array" ref="W519">_xlfn.IFS(smart_dataset[[#This Row],[Asset_Utilization]]&lt;=75,"Low",smart_dataset[[#This Row],[Asset_Utilization]]&lt;=90,"Medium",TRUE,"High")</f>
        <v>Medium</v>
      </c>
    </row>
    <row r="520" spans="1:23" x14ac:dyDescent="0.25">
      <c r="A520" s="1">
        <v>45589.624907407408</v>
      </c>
      <c r="B520" s="1">
        <f>INT(smart_dataset[[#This Row],[Timestamp]])</f>
        <v>45589</v>
      </c>
      <c r="C520" s="7">
        <f>MOD(smart_dataset[[#This Row],[Timestamp]],1)</f>
        <v>0.62490740740759065</v>
      </c>
      <c r="D520">
        <f>YEAR(smart_dataset[[#This Row],[Date]])</f>
        <v>2024</v>
      </c>
      <c r="E520">
        <f>MONTH(smart_dataset[[#This Row],[Timestamp]])</f>
        <v>10</v>
      </c>
      <c r="F520" t="s">
        <v>29</v>
      </c>
      <c r="G520">
        <v>-74.674899999999994</v>
      </c>
      <c r="H520">
        <v>-159.71639999999999</v>
      </c>
      <c r="I520">
        <v>254</v>
      </c>
      <c r="J520" t="s">
        <v>21</v>
      </c>
      <c r="K520">
        <v>26.7</v>
      </c>
      <c r="L520">
        <v>51.3</v>
      </c>
      <c r="M520" t="s">
        <v>18</v>
      </c>
      <c r="N520">
        <v>11</v>
      </c>
      <c r="O520">
        <v>378</v>
      </c>
      <c r="P520">
        <v>8</v>
      </c>
      <c r="Q520" t="s">
        <v>19</v>
      </c>
      <c r="R520">
        <v>90.6</v>
      </c>
      <c r="S520">
        <v>208</v>
      </c>
      <c r="T520">
        <v>0</v>
      </c>
      <c r="U520" t="str" cm="1">
        <f t="array" ref="U520">_xlfn.IFS(smart_dataset[[#This Row],[Waiting_Time]]&lt;=20,"Low",smart_dataset[[#This Row],[Waiting_Time]]&lt;=40,"Medium",TRUE,"High")</f>
        <v>Low</v>
      </c>
      <c r="V520" t="str" cm="1">
        <f t="array" ref="V520">_xlfn.IFS(smart_dataset[[#This Row],[Temperature]]&lt;=20,"Cold",smart_dataset[[#This Row],[Temperature]]&lt;=28,"Normal",TRUE,"Hot")</f>
        <v>Normal</v>
      </c>
      <c r="W520" t="str" cm="1">
        <f t="array" ref="W520">_xlfn.IFS(smart_dataset[[#This Row],[Asset_Utilization]]&lt;=75,"Low",smart_dataset[[#This Row],[Asset_Utilization]]&lt;=90,"Medium",TRUE,"High")</f>
        <v>High</v>
      </c>
    </row>
    <row r="521" spans="1:23" hidden="1" x14ac:dyDescent="0.25">
      <c r="A521" s="1">
        <v>45619.456192129626</v>
      </c>
      <c r="B521" s="1">
        <f>INT(smart_dataset[[#This Row],[Timestamp]])</f>
        <v>45619</v>
      </c>
      <c r="C521" s="1">
        <f>MOD(smart_dataset[[#This Row],[Timestamp]],1)</f>
        <v>0.45619212962628808</v>
      </c>
      <c r="D521" s="1">
        <f>YEAR(smart_dataset[[#This Row],[Date]])</f>
        <v>2024</v>
      </c>
      <c r="E521" s="1">
        <f>MONTH(smart_dataset[[#This Row],[Timestamp]])</f>
        <v>11</v>
      </c>
      <c r="F521" t="s">
        <v>29</v>
      </c>
      <c r="G521">
        <v>-46.013199999999998</v>
      </c>
      <c r="H521">
        <v>-8.5335000000000001</v>
      </c>
      <c r="I521">
        <v>100</v>
      </c>
      <c r="J521" t="s">
        <v>17</v>
      </c>
      <c r="K521">
        <v>21</v>
      </c>
      <c r="L521">
        <v>71.2</v>
      </c>
      <c r="M521" t="s">
        <v>28</v>
      </c>
      <c r="N521">
        <v>19</v>
      </c>
      <c r="O521">
        <v>315</v>
      </c>
      <c r="P521">
        <v>9</v>
      </c>
      <c r="Q521" t="s">
        <v>23</v>
      </c>
      <c r="R521">
        <v>82.2</v>
      </c>
      <c r="S521">
        <v>100</v>
      </c>
      <c r="T521">
        <v>1</v>
      </c>
      <c r="U521" t="str" cm="1">
        <f t="array" ref="U521">_xlfn.IFS(smart_dataset[[#This Row],[Waiting_Time]]&lt;=20,"Low",smart_dataset[[#This Row],[Waiting_Time]]&lt;=40,"Medium",TRUE,"High")</f>
        <v>Low</v>
      </c>
      <c r="V521" t="str" cm="1">
        <f t="array" ref="V521">_xlfn.IFS(smart_dataset[[#This Row],[Temperature]]&lt;=20,"Cold",smart_dataset[[#This Row],[Temperature]]&lt;=28,"Normal",TRUE,"Hot")</f>
        <v>Normal</v>
      </c>
      <c r="W521" t="str" cm="1">
        <f t="array" ref="W521">_xlfn.IFS(smart_dataset[[#This Row],[Asset_Utilization]]&lt;=75,"Low",smart_dataset[[#This Row],[Asset_Utilization]]&lt;=90,"Medium",TRUE,"High")</f>
        <v>Medium</v>
      </c>
    </row>
    <row r="522" spans="1:23" hidden="1" x14ac:dyDescent="0.25">
      <c r="A522" s="1">
        <v>45400.368750000001</v>
      </c>
      <c r="B522" s="1">
        <f>INT(smart_dataset[[#This Row],[Timestamp]])</f>
        <v>45400</v>
      </c>
      <c r="C522" s="1">
        <f>MOD(smart_dataset[[#This Row],[Timestamp]],1)</f>
        <v>0.36875000000145519</v>
      </c>
      <c r="D522" s="1">
        <f>YEAR(smart_dataset[[#This Row],[Date]])</f>
        <v>2024</v>
      </c>
      <c r="E522" s="1">
        <f>MONTH(smart_dataset[[#This Row],[Timestamp]])</f>
        <v>4</v>
      </c>
      <c r="F522" t="s">
        <v>35</v>
      </c>
      <c r="G522">
        <v>9.3293999999999997</v>
      </c>
      <c r="H522">
        <v>-71.529899999999998</v>
      </c>
      <c r="I522">
        <v>211</v>
      </c>
      <c r="J522" t="s">
        <v>26</v>
      </c>
      <c r="K522">
        <v>23.7</v>
      </c>
      <c r="L522">
        <v>66.7</v>
      </c>
      <c r="M522" t="s">
        <v>22</v>
      </c>
      <c r="N522">
        <v>36</v>
      </c>
      <c r="O522">
        <v>149</v>
      </c>
      <c r="P522">
        <v>1</v>
      </c>
      <c r="Q522" t="s">
        <v>31</v>
      </c>
      <c r="R522">
        <v>60.7</v>
      </c>
      <c r="S522">
        <v>256</v>
      </c>
      <c r="T522">
        <v>1</v>
      </c>
      <c r="U522" t="str" cm="1">
        <f t="array" ref="U522">_xlfn.IFS(smart_dataset[[#This Row],[Waiting_Time]]&lt;=20,"Low",smart_dataset[[#This Row],[Waiting_Time]]&lt;=40,"Medium",TRUE,"High")</f>
        <v>Medium</v>
      </c>
      <c r="V522" t="str" cm="1">
        <f t="array" ref="V522">_xlfn.IFS(smart_dataset[[#This Row],[Temperature]]&lt;=20,"Cold",smart_dataset[[#This Row],[Temperature]]&lt;=28,"Normal",TRUE,"Hot")</f>
        <v>Normal</v>
      </c>
      <c r="W522" t="str" cm="1">
        <f t="array" ref="W522">_xlfn.IFS(smart_dataset[[#This Row],[Asset_Utilization]]&lt;=75,"Low",smart_dataset[[#This Row],[Asset_Utilization]]&lt;=90,"Medium",TRUE,"High")</f>
        <v>Low</v>
      </c>
    </row>
    <row r="523" spans="1:23" hidden="1" x14ac:dyDescent="0.25">
      <c r="A523" s="1">
        <v>45515.196875000001</v>
      </c>
      <c r="B523" s="1">
        <f>INT(smart_dataset[[#This Row],[Timestamp]])</f>
        <v>45515</v>
      </c>
      <c r="C523" s="1">
        <f>MOD(smart_dataset[[#This Row],[Timestamp]],1)</f>
        <v>0.19687500000145519</v>
      </c>
      <c r="D523" s="1">
        <f>YEAR(smart_dataset[[#This Row],[Date]])</f>
        <v>2024</v>
      </c>
      <c r="E523" s="1">
        <f>MONTH(smart_dataset[[#This Row],[Timestamp]])</f>
        <v>8</v>
      </c>
      <c r="F523" t="s">
        <v>25</v>
      </c>
      <c r="G523">
        <v>5.0095000000000001</v>
      </c>
      <c r="H523">
        <v>-113.8279</v>
      </c>
      <c r="I523">
        <v>145</v>
      </c>
      <c r="J523" t="s">
        <v>17</v>
      </c>
      <c r="K523">
        <v>18.2</v>
      </c>
      <c r="L523">
        <v>62.2</v>
      </c>
      <c r="M523" t="s">
        <v>22</v>
      </c>
      <c r="N523">
        <v>56</v>
      </c>
      <c r="O523">
        <v>430</v>
      </c>
      <c r="P523">
        <v>5</v>
      </c>
      <c r="Q523" t="s">
        <v>27</v>
      </c>
      <c r="R523">
        <v>86.7</v>
      </c>
      <c r="S523">
        <v>260</v>
      </c>
      <c r="T523">
        <v>1</v>
      </c>
      <c r="U523" t="str" cm="1">
        <f t="array" ref="U523">_xlfn.IFS(smart_dataset[[#This Row],[Waiting_Time]]&lt;=20,"Low",smart_dataset[[#This Row],[Waiting_Time]]&lt;=40,"Medium",TRUE,"High")</f>
        <v>High</v>
      </c>
      <c r="V523" t="str" cm="1">
        <f t="array" ref="V523">_xlfn.IFS(smart_dataset[[#This Row],[Temperature]]&lt;=20,"Cold",smart_dataset[[#This Row],[Temperature]]&lt;=28,"Normal",TRUE,"Hot")</f>
        <v>Cold</v>
      </c>
      <c r="W523" t="str" cm="1">
        <f t="array" ref="W523">_xlfn.IFS(smart_dataset[[#This Row],[Asset_Utilization]]&lt;=75,"Low",smart_dataset[[#This Row],[Asset_Utilization]]&lt;=90,"Medium",TRUE,"High")</f>
        <v>Medium</v>
      </c>
    </row>
    <row r="524" spans="1:23" x14ac:dyDescent="0.25">
      <c r="A524" s="1">
        <v>45574.561851851853</v>
      </c>
      <c r="B524" s="1">
        <f>INT(smart_dataset[[#This Row],[Timestamp]])</f>
        <v>45574</v>
      </c>
      <c r="C524" s="7">
        <f>MOD(smart_dataset[[#This Row],[Timestamp]],1)</f>
        <v>0.56185185185313458</v>
      </c>
      <c r="D524">
        <f>YEAR(smart_dataset[[#This Row],[Date]])</f>
        <v>2024</v>
      </c>
      <c r="E524">
        <f>MONTH(smart_dataset[[#This Row],[Timestamp]])</f>
        <v>10</v>
      </c>
      <c r="F524" t="s">
        <v>20</v>
      </c>
      <c r="G524">
        <v>-70.809399999999997</v>
      </c>
      <c r="H524">
        <v>75.109399999999994</v>
      </c>
      <c r="I524">
        <v>244</v>
      </c>
      <c r="J524" t="s">
        <v>26</v>
      </c>
      <c r="K524">
        <v>21.3</v>
      </c>
      <c r="L524">
        <v>79.400000000000006</v>
      </c>
      <c r="M524" t="s">
        <v>22</v>
      </c>
      <c r="N524">
        <v>22</v>
      </c>
      <c r="O524">
        <v>312</v>
      </c>
      <c r="P524">
        <v>9</v>
      </c>
      <c r="Q524" t="s">
        <v>19</v>
      </c>
      <c r="R524">
        <v>63.5</v>
      </c>
      <c r="S524">
        <v>171</v>
      </c>
      <c r="T524">
        <v>1</v>
      </c>
      <c r="U524" t="str" cm="1">
        <f t="array" ref="U524">_xlfn.IFS(smart_dataset[[#This Row],[Waiting_Time]]&lt;=20,"Low",smart_dataset[[#This Row],[Waiting_Time]]&lt;=40,"Medium",TRUE,"High")</f>
        <v>Medium</v>
      </c>
      <c r="V524" t="str" cm="1">
        <f t="array" ref="V524">_xlfn.IFS(smart_dataset[[#This Row],[Temperature]]&lt;=20,"Cold",smart_dataset[[#This Row],[Temperature]]&lt;=28,"Normal",TRUE,"Hot")</f>
        <v>Normal</v>
      </c>
      <c r="W524" t="str" cm="1">
        <f t="array" ref="W524">_xlfn.IFS(smart_dataset[[#This Row],[Asset_Utilization]]&lt;=75,"Low",smart_dataset[[#This Row],[Asset_Utilization]]&lt;=90,"Medium",TRUE,"High")</f>
        <v>Low</v>
      </c>
    </row>
    <row r="525" spans="1:23" hidden="1" x14ac:dyDescent="0.25">
      <c r="A525" s="1">
        <v>45647.643171296295</v>
      </c>
      <c r="B525" s="1">
        <f>INT(smart_dataset[[#This Row],[Timestamp]])</f>
        <v>45647</v>
      </c>
      <c r="C525" s="1">
        <f>MOD(smart_dataset[[#This Row],[Timestamp]],1)</f>
        <v>0.643171296294895</v>
      </c>
      <c r="D525" s="1">
        <f>YEAR(smart_dataset[[#This Row],[Date]])</f>
        <v>2024</v>
      </c>
      <c r="E525" s="1">
        <f>MONTH(smart_dataset[[#This Row],[Timestamp]])</f>
        <v>12</v>
      </c>
      <c r="F525" t="s">
        <v>35</v>
      </c>
      <c r="G525">
        <v>-43.247199999999999</v>
      </c>
      <c r="H525">
        <v>163.38210000000001</v>
      </c>
      <c r="I525">
        <v>104</v>
      </c>
      <c r="J525" t="s">
        <v>26</v>
      </c>
      <c r="K525">
        <v>29.4</v>
      </c>
      <c r="L525">
        <v>59.1</v>
      </c>
      <c r="M525" t="s">
        <v>18</v>
      </c>
      <c r="N525">
        <v>58</v>
      </c>
      <c r="O525">
        <v>229</v>
      </c>
      <c r="P525">
        <v>3</v>
      </c>
      <c r="Q525" t="s">
        <v>23</v>
      </c>
      <c r="R525">
        <v>82.9</v>
      </c>
      <c r="S525">
        <v>283</v>
      </c>
      <c r="T525">
        <v>0</v>
      </c>
      <c r="U525" t="str" cm="1">
        <f t="array" ref="U525">_xlfn.IFS(smart_dataset[[#This Row],[Waiting_Time]]&lt;=20,"Low",smart_dataset[[#This Row],[Waiting_Time]]&lt;=40,"Medium",TRUE,"High")</f>
        <v>High</v>
      </c>
      <c r="V525" t="str" cm="1">
        <f t="array" ref="V525">_xlfn.IFS(smart_dataset[[#This Row],[Temperature]]&lt;=20,"Cold",smart_dataset[[#This Row],[Temperature]]&lt;=28,"Normal",TRUE,"Hot")</f>
        <v>Hot</v>
      </c>
      <c r="W525" t="str" cm="1">
        <f t="array" ref="W525">_xlfn.IFS(smart_dataset[[#This Row],[Asset_Utilization]]&lt;=75,"Low",smart_dataset[[#This Row],[Asset_Utilization]]&lt;=90,"Medium",TRUE,"High")</f>
        <v>Medium</v>
      </c>
    </row>
    <row r="526" spans="1:23" x14ac:dyDescent="0.25">
      <c r="A526" s="1">
        <v>45312.967824074076</v>
      </c>
      <c r="B526" s="1">
        <f>INT(smart_dataset[[#This Row],[Timestamp]])</f>
        <v>45312</v>
      </c>
      <c r="C526" s="7">
        <f>MOD(smart_dataset[[#This Row],[Timestamp]],1)</f>
        <v>0.96782407407590654</v>
      </c>
      <c r="D526">
        <f>YEAR(smart_dataset[[#This Row],[Date]])</f>
        <v>2024</v>
      </c>
      <c r="E526">
        <f>MONTH(smart_dataset[[#This Row],[Timestamp]])</f>
        <v>1</v>
      </c>
      <c r="F526" t="s">
        <v>34</v>
      </c>
      <c r="G526">
        <v>28.101600000000001</v>
      </c>
      <c r="H526">
        <v>167.19820000000001</v>
      </c>
      <c r="I526">
        <v>356</v>
      </c>
      <c r="J526" t="s">
        <v>21</v>
      </c>
      <c r="K526">
        <v>18.399999999999999</v>
      </c>
      <c r="L526">
        <v>75.2</v>
      </c>
      <c r="M526" t="s">
        <v>28</v>
      </c>
      <c r="N526">
        <v>32</v>
      </c>
      <c r="O526">
        <v>291</v>
      </c>
      <c r="P526">
        <v>6</v>
      </c>
      <c r="Q526" t="s">
        <v>19</v>
      </c>
      <c r="R526">
        <v>90.7</v>
      </c>
      <c r="S526">
        <v>206</v>
      </c>
      <c r="T526">
        <v>0</v>
      </c>
      <c r="U526" t="str" cm="1">
        <f t="array" ref="U526">_xlfn.IFS(smart_dataset[[#This Row],[Waiting_Time]]&lt;=20,"Low",smart_dataset[[#This Row],[Waiting_Time]]&lt;=40,"Medium",TRUE,"High")</f>
        <v>Medium</v>
      </c>
      <c r="V526" t="str" cm="1">
        <f t="array" ref="V526">_xlfn.IFS(smart_dataset[[#This Row],[Temperature]]&lt;=20,"Cold",smart_dataset[[#This Row],[Temperature]]&lt;=28,"Normal",TRUE,"Hot")</f>
        <v>Cold</v>
      </c>
      <c r="W526" t="str" cm="1">
        <f t="array" ref="W526">_xlfn.IFS(smart_dataset[[#This Row],[Asset_Utilization]]&lt;=75,"Low",smart_dataset[[#This Row],[Asset_Utilization]]&lt;=90,"Medium",TRUE,"High")</f>
        <v>High</v>
      </c>
    </row>
    <row r="527" spans="1:23" x14ac:dyDescent="0.25">
      <c r="A527" s="1">
        <v>45379.326909722222</v>
      </c>
      <c r="B527" s="1">
        <f>INT(smart_dataset[[#This Row],[Timestamp]])</f>
        <v>45379</v>
      </c>
      <c r="C527" s="7">
        <f>MOD(smart_dataset[[#This Row],[Timestamp]],1)</f>
        <v>0.32690972222189885</v>
      </c>
      <c r="D527">
        <f>YEAR(smart_dataset[[#This Row],[Date]])</f>
        <v>2024</v>
      </c>
      <c r="E527">
        <f>MONTH(smart_dataset[[#This Row],[Timestamp]])</f>
        <v>3</v>
      </c>
      <c r="F527" t="s">
        <v>29</v>
      </c>
      <c r="G527">
        <v>-56.218699999999998</v>
      </c>
      <c r="H527">
        <v>27.6037</v>
      </c>
      <c r="I527">
        <v>114</v>
      </c>
      <c r="J527" t="s">
        <v>21</v>
      </c>
      <c r="K527">
        <v>26.8</v>
      </c>
      <c r="L527">
        <v>62.1</v>
      </c>
      <c r="M527" t="s">
        <v>22</v>
      </c>
      <c r="N527">
        <v>55</v>
      </c>
      <c r="O527">
        <v>334</v>
      </c>
      <c r="P527">
        <v>6</v>
      </c>
      <c r="Q527" t="s">
        <v>19</v>
      </c>
      <c r="R527">
        <v>85.2</v>
      </c>
      <c r="S527">
        <v>202</v>
      </c>
      <c r="T527">
        <v>1</v>
      </c>
      <c r="U527" t="str" cm="1">
        <f t="array" ref="U527">_xlfn.IFS(smart_dataset[[#This Row],[Waiting_Time]]&lt;=20,"Low",smart_dataset[[#This Row],[Waiting_Time]]&lt;=40,"Medium",TRUE,"High")</f>
        <v>High</v>
      </c>
      <c r="V527" t="str" cm="1">
        <f t="array" ref="V527">_xlfn.IFS(smart_dataset[[#This Row],[Temperature]]&lt;=20,"Cold",smart_dataset[[#This Row],[Temperature]]&lt;=28,"Normal",TRUE,"Hot")</f>
        <v>Normal</v>
      </c>
      <c r="W527" t="str" cm="1">
        <f t="array" ref="W527">_xlfn.IFS(smart_dataset[[#This Row],[Asset_Utilization]]&lt;=75,"Low",smart_dataset[[#This Row],[Asset_Utilization]]&lt;=90,"Medium",TRUE,"High")</f>
        <v>Medium</v>
      </c>
    </row>
    <row r="528" spans="1:23" x14ac:dyDescent="0.25">
      <c r="A528" s="1">
        <v>45628.452847222223</v>
      </c>
      <c r="B528" s="1">
        <f>INT(smart_dataset[[#This Row],[Timestamp]])</f>
        <v>45628</v>
      </c>
      <c r="C528" s="7">
        <f>MOD(smart_dataset[[#This Row],[Timestamp]],1)</f>
        <v>0.45284722222277196</v>
      </c>
      <c r="D528">
        <f>YEAR(smart_dataset[[#This Row],[Date]])</f>
        <v>2024</v>
      </c>
      <c r="E528">
        <f>MONTH(smart_dataset[[#This Row],[Timestamp]])</f>
        <v>12</v>
      </c>
      <c r="F528" t="s">
        <v>20</v>
      </c>
      <c r="G528">
        <v>65.053799999999995</v>
      </c>
      <c r="H528">
        <v>-146.3887</v>
      </c>
      <c r="I528">
        <v>404</v>
      </c>
      <c r="J528" t="s">
        <v>26</v>
      </c>
      <c r="K528">
        <v>19</v>
      </c>
      <c r="L528">
        <v>76.2</v>
      </c>
      <c r="M528" t="s">
        <v>22</v>
      </c>
      <c r="N528">
        <v>54</v>
      </c>
      <c r="O528">
        <v>230</v>
      </c>
      <c r="P528">
        <v>4</v>
      </c>
      <c r="Q528" t="s">
        <v>19</v>
      </c>
      <c r="R528">
        <v>83.7</v>
      </c>
      <c r="S528">
        <v>171</v>
      </c>
      <c r="T528">
        <v>1</v>
      </c>
      <c r="U528" t="str" cm="1">
        <f t="array" ref="U528">_xlfn.IFS(smart_dataset[[#This Row],[Waiting_Time]]&lt;=20,"Low",smart_dataset[[#This Row],[Waiting_Time]]&lt;=40,"Medium",TRUE,"High")</f>
        <v>High</v>
      </c>
      <c r="V528" t="str" cm="1">
        <f t="array" ref="V528">_xlfn.IFS(smart_dataset[[#This Row],[Temperature]]&lt;=20,"Cold",smart_dataset[[#This Row],[Temperature]]&lt;=28,"Normal",TRUE,"Hot")</f>
        <v>Cold</v>
      </c>
      <c r="W528" t="str" cm="1">
        <f t="array" ref="W528">_xlfn.IFS(smart_dataset[[#This Row],[Asset_Utilization]]&lt;=75,"Low",smart_dataset[[#This Row],[Asset_Utilization]]&lt;=90,"Medium",TRUE,"High")</f>
        <v>Medium</v>
      </c>
    </row>
    <row r="529" spans="1:23" hidden="1" x14ac:dyDescent="0.25">
      <c r="A529" s="1">
        <v>45656.848587962966</v>
      </c>
      <c r="B529" s="1">
        <f>INT(smart_dataset[[#This Row],[Timestamp]])</f>
        <v>45656</v>
      </c>
      <c r="C529" s="1">
        <f>MOD(smart_dataset[[#This Row],[Timestamp]],1)</f>
        <v>0.84858796296612127</v>
      </c>
      <c r="D529" s="1">
        <f>YEAR(smart_dataset[[#This Row],[Date]])</f>
        <v>2024</v>
      </c>
      <c r="E529" s="1">
        <f>MONTH(smart_dataset[[#This Row],[Timestamp]])</f>
        <v>12</v>
      </c>
      <c r="F529" t="s">
        <v>34</v>
      </c>
      <c r="G529">
        <v>-30.298999999999999</v>
      </c>
      <c r="H529">
        <v>153.4529</v>
      </c>
      <c r="I529">
        <v>500</v>
      </c>
      <c r="J529" t="s">
        <v>26</v>
      </c>
      <c r="K529">
        <v>21.7</v>
      </c>
      <c r="L529">
        <v>56.2</v>
      </c>
      <c r="M529" t="s">
        <v>18</v>
      </c>
      <c r="N529">
        <v>20</v>
      </c>
      <c r="O529">
        <v>381</v>
      </c>
      <c r="P529">
        <v>10</v>
      </c>
      <c r="Q529" t="s">
        <v>31</v>
      </c>
      <c r="R529">
        <v>90.7</v>
      </c>
      <c r="S529">
        <v>222</v>
      </c>
      <c r="T529">
        <v>0</v>
      </c>
      <c r="U529" t="str" cm="1">
        <f t="array" ref="U529">_xlfn.IFS(smart_dataset[[#This Row],[Waiting_Time]]&lt;=20,"Low",smart_dataset[[#This Row],[Waiting_Time]]&lt;=40,"Medium",TRUE,"High")</f>
        <v>Low</v>
      </c>
      <c r="V529" t="str" cm="1">
        <f t="array" ref="V529">_xlfn.IFS(smart_dataset[[#This Row],[Temperature]]&lt;=20,"Cold",smart_dataset[[#This Row],[Temperature]]&lt;=28,"Normal",TRUE,"Hot")</f>
        <v>Normal</v>
      </c>
      <c r="W529" t="str" cm="1">
        <f t="array" ref="W529">_xlfn.IFS(smart_dataset[[#This Row],[Asset_Utilization]]&lt;=75,"Low",smart_dataset[[#This Row],[Asset_Utilization]]&lt;=90,"Medium",TRUE,"High")</f>
        <v>High</v>
      </c>
    </row>
    <row r="530" spans="1:23" x14ac:dyDescent="0.25">
      <c r="A530" s="1">
        <v>45547.487627314818</v>
      </c>
      <c r="B530" s="1">
        <f>INT(smart_dataset[[#This Row],[Timestamp]])</f>
        <v>45547</v>
      </c>
      <c r="C530" s="7">
        <f>MOD(smart_dataset[[#This Row],[Timestamp]],1)</f>
        <v>0.48762731481838273</v>
      </c>
      <c r="D530">
        <f>YEAR(smart_dataset[[#This Row],[Date]])</f>
        <v>2024</v>
      </c>
      <c r="E530">
        <f>MONTH(smart_dataset[[#This Row],[Timestamp]])</f>
        <v>9</v>
      </c>
      <c r="F530" t="s">
        <v>34</v>
      </c>
      <c r="G530">
        <v>72.762600000000006</v>
      </c>
      <c r="H530">
        <v>105.821</v>
      </c>
      <c r="I530">
        <v>375</v>
      </c>
      <c r="J530" t="s">
        <v>17</v>
      </c>
      <c r="K530">
        <v>23</v>
      </c>
      <c r="L530">
        <v>76.3</v>
      </c>
      <c r="M530" t="s">
        <v>18</v>
      </c>
      <c r="N530">
        <v>49</v>
      </c>
      <c r="O530">
        <v>131</v>
      </c>
      <c r="P530">
        <v>4</v>
      </c>
      <c r="Q530" t="s">
        <v>19</v>
      </c>
      <c r="R530">
        <v>87.8</v>
      </c>
      <c r="S530">
        <v>137</v>
      </c>
      <c r="T530">
        <v>1</v>
      </c>
      <c r="U530" t="str" cm="1">
        <f t="array" ref="U530">_xlfn.IFS(smart_dataset[[#This Row],[Waiting_Time]]&lt;=20,"Low",smart_dataset[[#This Row],[Waiting_Time]]&lt;=40,"Medium",TRUE,"High")</f>
        <v>High</v>
      </c>
      <c r="V530" t="str" cm="1">
        <f t="array" ref="V530">_xlfn.IFS(smart_dataset[[#This Row],[Temperature]]&lt;=20,"Cold",smart_dataset[[#This Row],[Temperature]]&lt;=28,"Normal",TRUE,"Hot")</f>
        <v>Normal</v>
      </c>
      <c r="W530" t="str" cm="1">
        <f t="array" ref="W530">_xlfn.IFS(smart_dataset[[#This Row],[Asset_Utilization]]&lt;=75,"Low",smart_dataset[[#This Row],[Asset_Utilization]]&lt;=90,"Medium",TRUE,"High")</f>
        <v>Medium</v>
      </c>
    </row>
    <row r="531" spans="1:23" hidden="1" x14ac:dyDescent="0.25">
      <c r="A531" s="1">
        <v>45589.9609837963</v>
      </c>
      <c r="B531" s="1">
        <f>INT(smart_dataset[[#This Row],[Timestamp]])</f>
        <v>45589</v>
      </c>
      <c r="C531" s="1">
        <f>MOD(smart_dataset[[#This Row],[Timestamp]],1)</f>
        <v>0.96098379629984265</v>
      </c>
      <c r="D531" s="1">
        <f>YEAR(smart_dataset[[#This Row],[Date]])</f>
        <v>2024</v>
      </c>
      <c r="E531" s="1">
        <f>MONTH(smart_dataset[[#This Row],[Timestamp]])</f>
        <v>10</v>
      </c>
      <c r="F531" t="s">
        <v>32</v>
      </c>
      <c r="G531">
        <v>61.8446</v>
      </c>
      <c r="H531">
        <v>115.5236</v>
      </c>
      <c r="I531">
        <v>361</v>
      </c>
      <c r="J531" t="s">
        <v>21</v>
      </c>
      <c r="K531">
        <v>22.3</v>
      </c>
      <c r="L531">
        <v>66.8</v>
      </c>
      <c r="M531" t="s">
        <v>22</v>
      </c>
      <c r="N531">
        <v>60</v>
      </c>
      <c r="O531">
        <v>157</v>
      </c>
      <c r="P531">
        <v>4</v>
      </c>
      <c r="Q531" t="s">
        <v>27</v>
      </c>
      <c r="R531">
        <v>79.8</v>
      </c>
      <c r="S531">
        <v>247</v>
      </c>
      <c r="T531">
        <v>1</v>
      </c>
      <c r="U531" t="str" cm="1">
        <f t="array" ref="U531">_xlfn.IFS(smart_dataset[[#This Row],[Waiting_Time]]&lt;=20,"Low",smart_dataset[[#This Row],[Waiting_Time]]&lt;=40,"Medium",TRUE,"High")</f>
        <v>High</v>
      </c>
      <c r="V531" t="str" cm="1">
        <f t="array" ref="V531">_xlfn.IFS(smart_dataset[[#This Row],[Temperature]]&lt;=20,"Cold",smart_dataset[[#This Row],[Temperature]]&lt;=28,"Normal",TRUE,"Hot")</f>
        <v>Normal</v>
      </c>
      <c r="W531" t="str" cm="1">
        <f t="array" ref="W531">_xlfn.IFS(smart_dataset[[#This Row],[Asset_Utilization]]&lt;=75,"Low",smart_dataset[[#This Row],[Asset_Utilization]]&lt;=90,"Medium",TRUE,"High")</f>
        <v>Medium</v>
      </c>
    </row>
    <row r="532" spans="1:23" hidden="1" x14ac:dyDescent="0.25">
      <c r="A532" s="1">
        <v>45358.911354166667</v>
      </c>
      <c r="B532" s="1">
        <f>INT(smart_dataset[[#This Row],[Timestamp]])</f>
        <v>45358</v>
      </c>
      <c r="C532" s="1">
        <f>MOD(smart_dataset[[#This Row],[Timestamp]],1)</f>
        <v>0.91135416666656965</v>
      </c>
      <c r="D532" s="1">
        <f>YEAR(smart_dataset[[#This Row],[Date]])</f>
        <v>2024</v>
      </c>
      <c r="E532" s="1">
        <f>MONTH(smart_dataset[[#This Row],[Timestamp]])</f>
        <v>3</v>
      </c>
      <c r="F532" t="s">
        <v>33</v>
      </c>
      <c r="G532">
        <v>-31.179200000000002</v>
      </c>
      <c r="H532">
        <v>-46.048000000000002</v>
      </c>
      <c r="I532">
        <v>239</v>
      </c>
      <c r="J532" t="s">
        <v>17</v>
      </c>
      <c r="K532">
        <v>26.6</v>
      </c>
      <c r="L532">
        <v>51.6</v>
      </c>
      <c r="M532" t="s">
        <v>18</v>
      </c>
      <c r="N532">
        <v>33</v>
      </c>
      <c r="O532">
        <v>333</v>
      </c>
      <c r="P532">
        <v>2</v>
      </c>
      <c r="Q532" t="s">
        <v>27</v>
      </c>
      <c r="R532">
        <v>95.1</v>
      </c>
      <c r="S532">
        <v>277</v>
      </c>
      <c r="T532">
        <v>1</v>
      </c>
      <c r="U532" t="str" cm="1">
        <f t="array" ref="U532">_xlfn.IFS(smart_dataset[[#This Row],[Waiting_Time]]&lt;=20,"Low",smart_dataset[[#This Row],[Waiting_Time]]&lt;=40,"Medium",TRUE,"High")</f>
        <v>Medium</v>
      </c>
      <c r="V532" t="str" cm="1">
        <f t="array" ref="V532">_xlfn.IFS(smart_dataset[[#This Row],[Temperature]]&lt;=20,"Cold",smart_dataset[[#This Row],[Temperature]]&lt;=28,"Normal",TRUE,"Hot")</f>
        <v>Normal</v>
      </c>
      <c r="W532" t="str" cm="1">
        <f t="array" ref="W532">_xlfn.IFS(smart_dataset[[#This Row],[Asset_Utilization]]&lt;=75,"Low",smart_dataset[[#This Row],[Asset_Utilization]]&lt;=90,"Medium",TRUE,"High")</f>
        <v>High</v>
      </c>
    </row>
    <row r="533" spans="1:23" x14ac:dyDescent="0.25">
      <c r="A533" s="1">
        <v>45294.547488425924</v>
      </c>
      <c r="B533" s="1">
        <f>INT(smart_dataset[[#This Row],[Timestamp]])</f>
        <v>45294</v>
      </c>
      <c r="C533" s="7">
        <f>MOD(smart_dataset[[#This Row],[Timestamp]],1)</f>
        <v>0.54748842592380242</v>
      </c>
      <c r="D533">
        <f>YEAR(smart_dataset[[#This Row],[Date]])</f>
        <v>2024</v>
      </c>
      <c r="E533">
        <f>MONTH(smart_dataset[[#This Row],[Timestamp]])</f>
        <v>1</v>
      </c>
      <c r="F533" t="s">
        <v>24</v>
      </c>
      <c r="G533">
        <v>-43.200400000000002</v>
      </c>
      <c r="H533">
        <v>134.85720000000001</v>
      </c>
      <c r="I533">
        <v>191</v>
      </c>
      <c r="J533" t="s">
        <v>21</v>
      </c>
      <c r="K533">
        <v>24</v>
      </c>
      <c r="L533">
        <v>59.7</v>
      </c>
      <c r="M533" t="s">
        <v>28</v>
      </c>
      <c r="N533">
        <v>51</v>
      </c>
      <c r="O533">
        <v>268</v>
      </c>
      <c r="P533">
        <v>8</v>
      </c>
      <c r="Q533" t="s">
        <v>19</v>
      </c>
      <c r="R533">
        <v>97</v>
      </c>
      <c r="S533">
        <v>111</v>
      </c>
      <c r="T533">
        <v>0</v>
      </c>
      <c r="U533" t="str" cm="1">
        <f t="array" ref="U533">_xlfn.IFS(smart_dataset[[#This Row],[Waiting_Time]]&lt;=20,"Low",smart_dataset[[#This Row],[Waiting_Time]]&lt;=40,"Medium",TRUE,"High")</f>
        <v>High</v>
      </c>
      <c r="V533" t="str" cm="1">
        <f t="array" ref="V533">_xlfn.IFS(smart_dataset[[#This Row],[Temperature]]&lt;=20,"Cold",smart_dataset[[#This Row],[Temperature]]&lt;=28,"Normal",TRUE,"Hot")</f>
        <v>Normal</v>
      </c>
      <c r="W533" t="str" cm="1">
        <f t="array" ref="W533">_xlfn.IFS(smart_dataset[[#This Row],[Asset_Utilization]]&lt;=75,"Low",smart_dataset[[#This Row],[Asset_Utilization]]&lt;=90,"Medium",TRUE,"High")</f>
        <v>High</v>
      </c>
    </row>
    <row r="534" spans="1:23" hidden="1" x14ac:dyDescent="0.25">
      <c r="A534" s="1">
        <v>45634.017152777778</v>
      </c>
      <c r="B534" s="1">
        <f>INT(smart_dataset[[#This Row],[Timestamp]])</f>
        <v>45634</v>
      </c>
      <c r="C534" s="1">
        <f>MOD(smart_dataset[[#This Row],[Timestamp]],1)</f>
        <v>1.7152777778392192E-2</v>
      </c>
      <c r="D534" s="1">
        <f>YEAR(smart_dataset[[#This Row],[Date]])</f>
        <v>2024</v>
      </c>
      <c r="E534" s="1">
        <f>MONTH(smart_dataset[[#This Row],[Timestamp]])</f>
        <v>12</v>
      </c>
      <c r="F534" t="s">
        <v>30</v>
      </c>
      <c r="G534">
        <v>-79.637200000000007</v>
      </c>
      <c r="H534">
        <v>-111.7492</v>
      </c>
      <c r="I534">
        <v>171</v>
      </c>
      <c r="J534" t="s">
        <v>17</v>
      </c>
      <c r="K534">
        <v>21.3</v>
      </c>
      <c r="L534">
        <v>58.7</v>
      </c>
      <c r="M534" t="s">
        <v>18</v>
      </c>
      <c r="N534">
        <v>10</v>
      </c>
      <c r="O534">
        <v>292</v>
      </c>
      <c r="P534">
        <v>4</v>
      </c>
      <c r="Q534" t="s">
        <v>27</v>
      </c>
      <c r="R534">
        <v>65</v>
      </c>
      <c r="S534">
        <v>184</v>
      </c>
      <c r="T534">
        <v>1</v>
      </c>
      <c r="U534" t="str" cm="1">
        <f t="array" ref="U534">_xlfn.IFS(smart_dataset[[#This Row],[Waiting_Time]]&lt;=20,"Low",smart_dataset[[#This Row],[Waiting_Time]]&lt;=40,"Medium",TRUE,"High")</f>
        <v>Low</v>
      </c>
      <c r="V534" t="str" cm="1">
        <f t="array" ref="V534">_xlfn.IFS(smart_dataset[[#This Row],[Temperature]]&lt;=20,"Cold",smart_dataset[[#This Row],[Temperature]]&lt;=28,"Normal",TRUE,"Hot")</f>
        <v>Normal</v>
      </c>
      <c r="W534" t="str" cm="1">
        <f t="array" ref="W534">_xlfn.IFS(smart_dataset[[#This Row],[Asset_Utilization]]&lt;=75,"Low",smart_dataset[[#This Row],[Asset_Utilization]]&lt;=90,"Medium",TRUE,"High")</f>
        <v>Low</v>
      </c>
    </row>
    <row r="535" spans="1:23" hidden="1" x14ac:dyDescent="0.25">
      <c r="A535" s="1">
        <v>45548.373715277776</v>
      </c>
      <c r="B535" s="1">
        <f>INT(smart_dataset[[#This Row],[Timestamp]])</f>
        <v>45548</v>
      </c>
      <c r="C535" s="1">
        <f>MOD(smart_dataset[[#This Row],[Timestamp]],1)</f>
        <v>0.37371527777577285</v>
      </c>
      <c r="D535" s="1">
        <f>YEAR(smart_dataset[[#This Row],[Date]])</f>
        <v>2024</v>
      </c>
      <c r="E535" s="1">
        <f>MONTH(smart_dataset[[#This Row],[Timestamp]])</f>
        <v>9</v>
      </c>
      <c r="F535" t="s">
        <v>34</v>
      </c>
      <c r="G535">
        <v>66.837999999999994</v>
      </c>
      <c r="H535">
        <v>-175.16810000000001</v>
      </c>
      <c r="I535">
        <v>113</v>
      </c>
      <c r="J535" t="s">
        <v>17</v>
      </c>
      <c r="K535">
        <v>28.9</v>
      </c>
      <c r="L535">
        <v>56.3</v>
      </c>
      <c r="M535" t="s">
        <v>22</v>
      </c>
      <c r="N535">
        <v>22</v>
      </c>
      <c r="O535">
        <v>417</v>
      </c>
      <c r="P535">
        <v>6</v>
      </c>
      <c r="Q535" t="s">
        <v>23</v>
      </c>
      <c r="R535">
        <v>60.8</v>
      </c>
      <c r="S535">
        <v>142</v>
      </c>
      <c r="T535">
        <v>1</v>
      </c>
      <c r="U535" t="str" cm="1">
        <f t="array" ref="U535">_xlfn.IFS(smart_dataset[[#This Row],[Waiting_Time]]&lt;=20,"Low",smart_dataset[[#This Row],[Waiting_Time]]&lt;=40,"Medium",TRUE,"High")</f>
        <v>Medium</v>
      </c>
      <c r="V535" t="str" cm="1">
        <f t="array" ref="V535">_xlfn.IFS(smart_dataset[[#This Row],[Temperature]]&lt;=20,"Cold",smart_dataset[[#This Row],[Temperature]]&lt;=28,"Normal",TRUE,"Hot")</f>
        <v>Hot</v>
      </c>
      <c r="W535" t="str" cm="1">
        <f t="array" ref="W535">_xlfn.IFS(smart_dataset[[#This Row],[Asset_Utilization]]&lt;=75,"Low",smart_dataset[[#This Row],[Asset_Utilization]]&lt;=90,"Medium",TRUE,"High")</f>
        <v>Low</v>
      </c>
    </row>
    <row r="536" spans="1:23" hidden="1" x14ac:dyDescent="0.25">
      <c r="A536" s="1">
        <v>45504.927858796298</v>
      </c>
      <c r="B536" s="1">
        <f>INT(smart_dataset[[#This Row],[Timestamp]])</f>
        <v>45504</v>
      </c>
      <c r="C536" s="1">
        <f>MOD(smart_dataset[[#This Row],[Timestamp]],1)</f>
        <v>0.92785879629809642</v>
      </c>
      <c r="D536" s="1">
        <f>YEAR(smart_dataset[[#This Row],[Date]])</f>
        <v>2024</v>
      </c>
      <c r="E536" s="1">
        <f>MONTH(smart_dataset[[#This Row],[Timestamp]])</f>
        <v>7</v>
      </c>
      <c r="F536" t="s">
        <v>29</v>
      </c>
      <c r="G536">
        <v>13.7736</v>
      </c>
      <c r="H536">
        <v>12.991099999999999</v>
      </c>
      <c r="I536">
        <v>298</v>
      </c>
      <c r="J536" t="s">
        <v>21</v>
      </c>
      <c r="K536">
        <v>18.8</v>
      </c>
      <c r="L536">
        <v>79.5</v>
      </c>
      <c r="M536" t="s">
        <v>18</v>
      </c>
      <c r="N536">
        <v>51</v>
      </c>
      <c r="O536">
        <v>393</v>
      </c>
      <c r="P536">
        <v>4</v>
      </c>
      <c r="Q536" t="s">
        <v>27</v>
      </c>
      <c r="R536">
        <v>74.599999999999994</v>
      </c>
      <c r="S536">
        <v>110</v>
      </c>
      <c r="T536">
        <v>0</v>
      </c>
      <c r="U536" t="str" cm="1">
        <f t="array" ref="U536">_xlfn.IFS(smart_dataset[[#This Row],[Waiting_Time]]&lt;=20,"Low",smart_dataset[[#This Row],[Waiting_Time]]&lt;=40,"Medium",TRUE,"High")</f>
        <v>High</v>
      </c>
      <c r="V536" t="str" cm="1">
        <f t="array" ref="V536">_xlfn.IFS(smart_dataset[[#This Row],[Temperature]]&lt;=20,"Cold",smart_dataset[[#This Row],[Temperature]]&lt;=28,"Normal",TRUE,"Hot")</f>
        <v>Cold</v>
      </c>
      <c r="W536" t="str" cm="1">
        <f t="array" ref="W536">_xlfn.IFS(smart_dataset[[#This Row],[Asset_Utilization]]&lt;=75,"Low",smart_dataset[[#This Row],[Asset_Utilization]]&lt;=90,"Medium",TRUE,"High")</f>
        <v>Low</v>
      </c>
    </row>
    <row r="537" spans="1:23" hidden="1" x14ac:dyDescent="0.25">
      <c r="A537" s="1">
        <v>45621.958310185182</v>
      </c>
      <c r="B537" s="1">
        <f>INT(smart_dataset[[#This Row],[Timestamp]])</f>
        <v>45621</v>
      </c>
      <c r="C537" s="1">
        <f>MOD(smart_dataset[[#This Row],[Timestamp]],1)</f>
        <v>0.95831018518219935</v>
      </c>
      <c r="D537" s="1">
        <f>YEAR(smart_dataset[[#This Row],[Date]])</f>
        <v>2024</v>
      </c>
      <c r="E537" s="1">
        <f>MONTH(smart_dataset[[#This Row],[Timestamp]])</f>
        <v>11</v>
      </c>
      <c r="F537" t="s">
        <v>32</v>
      </c>
      <c r="G537">
        <v>-66.269599999999997</v>
      </c>
      <c r="H537">
        <v>-82.057900000000004</v>
      </c>
      <c r="I537">
        <v>184</v>
      </c>
      <c r="J537" t="s">
        <v>26</v>
      </c>
      <c r="K537">
        <v>26</v>
      </c>
      <c r="L537">
        <v>59.6</v>
      </c>
      <c r="M537" t="s">
        <v>22</v>
      </c>
      <c r="N537">
        <v>34</v>
      </c>
      <c r="O537">
        <v>235</v>
      </c>
      <c r="P537">
        <v>6</v>
      </c>
      <c r="Q537" t="s">
        <v>31</v>
      </c>
      <c r="R537">
        <v>66.7</v>
      </c>
      <c r="S537">
        <v>299</v>
      </c>
      <c r="T537">
        <v>1</v>
      </c>
      <c r="U537" t="str" cm="1">
        <f t="array" ref="U537">_xlfn.IFS(smart_dataset[[#This Row],[Waiting_Time]]&lt;=20,"Low",smart_dataset[[#This Row],[Waiting_Time]]&lt;=40,"Medium",TRUE,"High")</f>
        <v>Medium</v>
      </c>
      <c r="V537" t="str" cm="1">
        <f t="array" ref="V537">_xlfn.IFS(smart_dataset[[#This Row],[Temperature]]&lt;=20,"Cold",smart_dataset[[#This Row],[Temperature]]&lt;=28,"Normal",TRUE,"Hot")</f>
        <v>Normal</v>
      </c>
      <c r="W537" t="str" cm="1">
        <f t="array" ref="W537">_xlfn.IFS(smart_dataset[[#This Row],[Asset_Utilization]]&lt;=75,"Low",smart_dataset[[#This Row],[Asset_Utilization]]&lt;=90,"Medium",TRUE,"High")</f>
        <v>Low</v>
      </c>
    </row>
    <row r="538" spans="1:23" x14ac:dyDescent="0.25">
      <c r="A538" s="1">
        <v>45442.653298611112</v>
      </c>
      <c r="B538" s="1">
        <f>INT(smart_dataset[[#This Row],[Timestamp]])</f>
        <v>45442</v>
      </c>
      <c r="C538" s="7">
        <f>MOD(smart_dataset[[#This Row],[Timestamp]],1)</f>
        <v>0.65329861111240461</v>
      </c>
      <c r="D538">
        <f>YEAR(smart_dataset[[#This Row],[Date]])</f>
        <v>2024</v>
      </c>
      <c r="E538">
        <f>MONTH(smart_dataset[[#This Row],[Timestamp]])</f>
        <v>5</v>
      </c>
      <c r="F538" t="s">
        <v>29</v>
      </c>
      <c r="G538">
        <v>5.1238000000000001</v>
      </c>
      <c r="H538">
        <v>-67.8583</v>
      </c>
      <c r="I538">
        <v>298</v>
      </c>
      <c r="J538" t="s">
        <v>26</v>
      </c>
      <c r="K538">
        <v>18.899999999999999</v>
      </c>
      <c r="L538">
        <v>65.900000000000006</v>
      </c>
      <c r="M538" t="s">
        <v>18</v>
      </c>
      <c r="N538">
        <v>41</v>
      </c>
      <c r="O538">
        <v>269</v>
      </c>
      <c r="P538">
        <v>2</v>
      </c>
      <c r="Q538" t="s">
        <v>19</v>
      </c>
      <c r="R538">
        <v>64.8</v>
      </c>
      <c r="S538">
        <v>234</v>
      </c>
      <c r="T538">
        <v>0</v>
      </c>
      <c r="U538" t="str" cm="1">
        <f t="array" ref="U538">_xlfn.IFS(smart_dataset[[#This Row],[Waiting_Time]]&lt;=20,"Low",smart_dataset[[#This Row],[Waiting_Time]]&lt;=40,"Medium",TRUE,"High")</f>
        <v>High</v>
      </c>
      <c r="V538" t="str" cm="1">
        <f t="array" ref="V538">_xlfn.IFS(smart_dataset[[#This Row],[Temperature]]&lt;=20,"Cold",smart_dataset[[#This Row],[Temperature]]&lt;=28,"Normal",TRUE,"Hot")</f>
        <v>Cold</v>
      </c>
      <c r="W538" t="str" cm="1">
        <f t="array" ref="W538">_xlfn.IFS(smart_dataset[[#This Row],[Asset_Utilization]]&lt;=75,"Low",smart_dataset[[#This Row],[Asset_Utilization]]&lt;=90,"Medium",TRUE,"High")</f>
        <v>Low</v>
      </c>
    </row>
    <row r="539" spans="1:23" x14ac:dyDescent="0.25">
      <c r="A539" s="1">
        <v>45356.874444444446</v>
      </c>
      <c r="B539" s="1">
        <f>INT(smart_dataset[[#This Row],[Timestamp]])</f>
        <v>45356</v>
      </c>
      <c r="C539" s="7">
        <f>MOD(smart_dataset[[#This Row],[Timestamp]],1)</f>
        <v>0.87444444444554392</v>
      </c>
      <c r="D539">
        <f>YEAR(smart_dataset[[#This Row],[Date]])</f>
        <v>2024</v>
      </c>
      <c r="E539">
        <f>MONTH(smart_dataset[[#This Row],[Timestamp]])</f>
        <v>3</v>
      </c>
      <c r="F539" t="s">
        <v>33</v>
      </c>
      <c r="G539">
        <v>-85.871499999999997</v>
      </c>
      <c r="H539">
        <v>-162.7167</v>
      </c>
      <c r="I539">
        <v>439</v>
      </c>
      <c r="J539" t="s">
        <v>17</v>
      </c>
      <c r="K539">
        <v>25.1</v>
      </c>
      <c r="L539">
        <v>66.099999999999994</v>
      </c>
      <c r="M539" t="s">
        <v>28</v>
      </c>
      <c r="N539">
        <v>46</v>
      </c>
      <c r="O539">
        <v>151</v>
      </c>
      <c r="P539">
        <v>4</v>
      </c>
      <c r="Q539" t="s">
        <v>19</v>
      </c>
      <c r="R539">
        <v>79.2</v>
      </c>
      <c r="S539">
        <v>209</v>
      </c>
      <c r="T539">
        <v>1</v>
      </c>
      <c r="U539" t="str" cm="1">
        <f t="array" ref="U539">_xlfn.IFS(smart_dataset[[#This Row],[Waiting_Time]]&lt;=20,"Low",smart_dataset[[#This Row],[Waiting_Time]]&lt;=40,"Medium",TRUE,"High")</f>
        <v>High</v>
      </c>
      <c r="V539" t="str" cm="1">
        <f t="array" ref="V539">_xlfn.IFS(smart_dataset[[#This Row],[Temperature]]&lt;=20,"Cold",smart_dataset[[#This Row],[Temperature]]&lt;=28,"Normal",TRUE,"Hot")</f>
        <v>Normal</v>
      </c>
      <c r="W539" t="str" cm="1">
        <f t="array" ref="W539">_xlfn.IFS(smart_dataset[[#This Row],[Asset_Utilization]]&lt;=75,"Low",smart_dataset[[#This Row],[Asset_Utilization]]&lt;=90,"Medium",TRUE,"High")</f>
        <v>Medium</v>
      </c>
    </row>
    <row r="540" spans="1:23" hidden="1" x14ac:dyDescent="0.25">
      <c r="A540" s="1">
        <v>45524.645879629628</v>
      </c>
      <c r="B540" s="1">
        <f>INT(smart_dataset[[#This Row],[Timestamp]])</f>
        <v>45524</v>
      </c>
      <c r="C540" s="1">
        <f>MOD(smart_dataset[[#This Row],[Timestamp]],1)</f>
        <v>0.64587962962832535</v>
      </c>
      <c r="D540" s="1">
        <f>YEAR(smart_dataset[[#This Row],[Date]])</f>
        <v>2024</v>
      </c>
      <c r="E540" s="1">
        <f>MONTH(smart_dataset[[#This Row],[Timestamp]])</f>
        <v>8</v>
      </c>
      <c r="F540" t="s">
        <v>33</v>
      </c>
      <c r="G540">
        <v>86.267899999999997</v>
      </c>
      <c r="H540">
        <v>-50.789499999999997</v>
      </c>
      <c r="I540">
        <v>142</v>
      </c>
      <c r="J540" t="s">
        <v>17</v>
      </c>
      <c r="K540">
        <v>28</v>
      </c>
      <c r="L540">
        <v>67.2</v>
      </c>
      <c r="M540" t="s">
        <v>22</v>
      </c>
      <c r="N540">
        <v>49</v>
      </c>
      <c r="O540">
        <v>458</v>
      </c>
      <c r="P540">
        <v>8</v>
      </c>
      <c r="Q540" t="s">
        <v>27</v>
      </c>
      <c r="R540">
        <v>92.5</v>
      </c>
      <c r="S540">
        <v>224</v>
      </c>
      <c r="T540">
        <v>1</v>
      </c>
      <c r="U540" t="str" cm="1">
        <f t="array" ref="U540">_xlfn.IFS(smart_dataset[[#This Row],[Waiting_Time]]&lt;=20,"Low",smart_dataset[[#This Row],[Waiting_Time]]&lt;=40,"Medium",TRUE,"High")</f>
        <v>High</v>
      </c>
      <c r="V540" t="str" cm="1">
        <f t="array" ref="V540">_xlfn.IFS(smart_dataset[[#This Row],[Temperature]]&lt;=20,"Cold",smart_dataset[[#This Row],[Temperature]]&lt;=28,"Normal",TRUE,"Hot")</f>
        <v>Normal</v>
      </c>
      <c r="W540" t="str" cm="1">
        <f t="array" ref="W540">_xlfn.IFS(smart_dataset[[#This Row],[Asset_Utilization]]&lt;=75,"Low",smart_dataset[[#This Row],[Asset_Utilization]]&lt;=90,"Medium",TRUE,"High")</f>
        <v>High</v>
      </c>
    </row>
    <row r="541" spans="1:23" x14ac:dyDescent="0.25">
      <c r="A541" s="1">
        <v>45554.513298611113</v>
      </c>
      <c r="B541" s="1">
        <f>INT(smart_dataset[[#This Row],[Timestamp]])</f>
        <v>45554</v>
      </c>
      <c r="C541" s="7">
        <f>MOD(smart_dataset[[#This Row],[Timestamp]],1)</f>
        <v>0.51329861111298669</v>
      </c>
      <c r="D541">
        <f>YEAR(smart_dataset[[#This Row],[Date]])</f>
        <v>2024</v>
      </c>
      <c r="E541">
        <f>MONTH(smart_dataset[[#This Row],[Timestamp]])</f>
        <v>9</v>
      </c>
      <c r="F541" t="s">
        <v>20</v>
      </c>
      <c r="G541">
        <v>21.310400000000001</v>
      </c>
      <c r="H541">
        <v>-80.529200000000003</v>
      </c>
      <c r="I541">
        <v>202</v>
      </c>
      <c r="J541" t="s">
        <v>26</v>
      </c>
      <c r="K541">
        <v>18.5</v>
      </c>
      <c r="L541">
        <v>69.5</v>
      </c>
      <c r="M541" t="s">
        <v>22</v>
      </c>
      <c r="N541">
        <v>54</v>
      </c>
      <c r="O541">
        <v>261</v>
      </c>
      <c r="P541">
        <v>3</v>
      </c>
      <c r="Q541" t="s">
        <v>19</v>
      </c>
      <c r="R541">
        <v>62.5</v>
      </c>
      <c r="S541">
        <v>213</v>
      </c>
      <c r="T541">
        <v>1</v>
      </c>
      <c r="U541" t="str" cm="1">
        <f t="array" ref="U541">_xlfn.IFS(smart_dataset[[#This Row],[Waiting_Time]]&lt;=20,"Low",smart_dataset[[#This Row],[Waiting_Time]]&lt;=40,"Medium",TRUE,"High")</f>
        <v>High</v>
      </c>
      <c r="V541" t="str" cm="1">
        <f t="array" ref="V541">_xlfn.IFS(smart_dataset[[#This Row],[Temperature]]&lt;=20,"Cold",smart_dataset[[#This Row],[Temperature]]&lt;=28,"Normal",TRUE,"Hot")</f>
        <v>Cold</v>
      </c>
      <c r="W541" t="str" cm="1">
        <f t="array" ref="W541">_xlfn.IFS(smart_dataset[[#This Row],[Asset_Utilization]]&lt;=75,"Low",smart_dataset[[#This Row],[Asset_Utilization]]&lt;=90,"Medium",TRUE,"High")</f>
        <v>Low</v>
      </c>
    </row>
    <row r="542" spans="1:23" hidden="1" x14ac:dyDescent="0.25">
      <c r="A542" s="1">
        <v>45353.65121527778</v>
      </c>
      <c r="B542" s="1">
        <f>INT(smart_dataset[[#This Row],[Timestamp]])</f>
        <v>45353</v>
      </c>
      <c r="C542" s="1">
        <f>MOD(smart_dataset[[#This Row],[Timestamp]],1)</f>
        <v>0.65121527777955635</v>
      </c>
      <c r="D542" s="1">
        <f>YEAR(smart_dataset[[#This Row],[Date]])</f>
        <v>2024</v>
      </c>
      <c r="E542" s="1">
        <f>MONTH(smart_dataset[[#This Row],[Timestamp]])</f>
        <v>3</v>
      </c>
      <c r="F542" t="s">
        <v>33</v>
      </c>
      <c r="G542">
        <v>-2.2841</v>
      </c>
      <c r="H542">
        <v>23.415199999999999</v>
      </c>
      <c r="I542">
        <v>418</v>
      </c>
      <c r="J542" t="s">
        <v>17</v>
      </c>
      <c r="K542">
        <v>29.6</v>
      </c>
      <c r="L542">
        <v>67.400000000000006</v>
      </c>
      <c r="M542" t="s">
        <v>22</v>
      </c>
      <c r="N542">
        <v>54</v>
      </c>
      <c r="O542">
        <v>199</v>
      </c>
      <c r="P542">
        <v>9</v>
      </c>
      <c r="Q542" t="s">
        <v>27</v>
      </c>
      <c r="R542">
        <v>99.9</v>
      </c>
      <c r="S542">
        <v>215</v>
      </c>
      <c r="T542">
        <v>1</v>
      </c>
      <c r="U542" t="str" cm="1">
        <f t="array" ref="U542">_xlfn.IFS(smart_dataset[[#This Row],[Waiting_Time]]&lt;=20,"Low",smart_dataset[[#This Row],[Waiting_Time]]&lt;=40,"Medium",TRUE,"High")</f>
        <v>High</v>
      </c>
      <c r="V542" t="str" cm="1">
        <f t="array" ref="V542">_xlfn.IFS(smart_dataset[[#This Row],[Temperature]]&lt;=20,"Cold",smart_dataset[[#This Row],[Temperature]]&lt;=28,"Normal",TRUE,"Hot")</f>
        <v>Hot</v>
      </c>
      <c r="W542" t="str" cm="1">
        <f t="array" ref="W542">_xlfn.IFS(smart_dataset[[#This Row],[Asset_Utilization]]&lt;=75,"Low",smart_dataset[[#This Row],[Asset_Utilization]]&lt;=90,"Medium",TRUE,"High")</f>
        <v>High</v>
      </c>
    </row>
    <row r="543" spans="1:23" hidden="1" x14ac:dyDescent="0.25">
      <c r="A543" s="1">
        <v>45346.959780092591</v>
      </c>
      <c r="B543" s="1">
        <f>INT(smart_dataset[[#This Row],[Timestamp]])</f>
        <v>45346</v>
      </c>
      <c r="C543" s="1">
        <f>MOD(smart_dataset[[#This Row],[Timestamp]],1)</f>
        <v>0.95978009259124519</v>
      </c>
      <c r="D543" s="1">
        <f>YEAR(smart_dataset[[#This Row],[Date]])</f>
        <v>2024</v>
      </c>
      <c r="E543" s="1">
        <f>MONTH(smart_dataset[[#This Row],[Timestamp]])</f>
        <v>2</v>
      </c>
      <c r="F543" t="s">
        <v>29</v>
      </c>
      <c r="G543">
        <v>-23.4709</v>
      </c>
      <c r="H543">
        <v>54.526499999999999</v>
      </c>
      <c r="I543">
        <v>458</v>
      </c>
      <c r="J543" t="s">
        <v>17</v>
      </c>
      <c r="K543">
        <v>23.3</v>
      </c>
      <c r="L543">
        <v>58.6</v>
      </c>
      <c r="M543" t="s">
        <v>22</v>
      </c>
      <c r="N543">
        <v>43</v>
      </c>
      <c r="O543">
        <v>372</v>
      </c>
      <c r="P543">
        <v>10</v>
      </c>
      <c r="Q543" t="s">
        <v>31</v>
      </c>
      <c r="R543">
        <v>92.9</v>
      </c>
      <c r="S543">
        <v>262</v>
      </c>
      <c r="T543">
        <v>1</v>
      </c>
      <c r="U543" t="str" cm="1">
        <f t="array" ref="U543">_xlfn.IFS(smart_dataset[[#This Row],[Waiting_Time]]&lt;=20,"Low",smart_dataset[[#This Row],[Waiting_Time]]&lt;=40,"Medium",TRUE,"High")</f>
        <v>High</v>
      </c>
      <c r="V543" t="str" cm="1">
        <f t="array" ref="V543">_xlfn.IFS(smart_dataset[[#This Row],[Temperature]]&lt;=20,"Cold",smart_dataset[[#This Row],[Temperature]]&lt;=28,"Normal",TRUE,"Hot")</f>
        <v>Normal</v>
      </c>
      <c r="W543" t="str" cm="1">
        <f t="array" ref="W543">_xlfn.IFS(smart_dataset[[#This Row],[Asset_Utilization]]&lt;=75,"Low",smart_dataset[[#This Row],[Asset_Utilization]]&lt;=90,"Medium",TRUE,"High")</f>
        <v>High</v>
      </c>
    </row>
    <row r="544" spans="1:23" hidden="1" x14ac:dyDescent="0.25">
      <c r="A544" s="1">
        <v>45356.472650462965</v>
      </c>
      <c r="B544" s="1">
        <f>INT(smart_dataset[[#This Row],[Timestamp]])</f>
        <v>45356</v>
      </c>
      <c r="C544" s="1">
        <f>MOD(smart_dataset[[#This Row],[Timestamp]],1)</f>
        <v>0.47265046296524815</v>
      </c>
      <c r="D544" s="1">
        <f>YEAR(smart_dataset[[#This Row],[Date]])</f>
        <v>2024</v>
      </c>
      <c r="E544" s="1">
        <f>MONTH(smart_dataset[[#This Row],[Timestamp]])</f>
        <v>3</v>
      </c>
      <c r="F544" t="s">
        <v>32</v>
      </c>
      <c r="G544">
        <v>44.505200000000002</v>
      </c>
      <c r="H544">
        <v>-178.72810000000001</v>
      </c>
      <c r="I544">
        <v>313</v>
      </c>
      <c r="J544" t="s">
        <v>21</v>
      </c>
      <c r="K544">
        <v>18.7</v>
      </c>
      <c r="L544">
        <v>74.7</v>
      </c>
      <c r="M544" t="s">
        <v>22</v>
      </c>
      <c r="N544">
        <v>16</v>
      </c>
      <c r="O544">
        <v>284</v>
      </c>
      <c r="P544">
        <v>3</v>
      </c>
      <c r="Q544" t="s">
        <v>31</v>
      </c>
      <c r="R544">
        <v>69</v>
      </c>
      <c r="S544">
        <v>105</v>
      </c>
      <c r="T544">
        <v>1</v>
      </c>
      <c r="U544" t="str" cm="1">
        <f t="array" ref="U544">_xlfn.IFS(smart_dataset[[#This Row],[Waiting_Time]]&lt;=20,"Low",smart_dataset[[#This Row],[Waiting_Time]]&lt;=40,"Medium",TRUE,"High")</f>
        <v>Low</v>
      </c>
      <c r="V544" t="str" cm="1">
        <f t="array" ref="V544">_xlfn.IFS(smart_dataset[[#This Row],[Temperature]]&lt;=20,"Cold",smart_dataset[[#This Row],[Temperature]]&lt;=28,"Normal",TRUE,"Hot")</f>
        <v>Cold</v>
      </c>
      <c r="W544" t="str" cm="1">
        <f t="array" ref="W544">_xlfn.IFS(smart_dataset[[#This Row],[Asset_Utilization]]&lt;=75,"Low",smart_dataset[[#This Row],[Asset_Utilization]]&lt;=90,"Medium",TRUE,"High")</f>
        <v>Low</v>
      </c>
    </row>
    <row r="545" spans="1:23" x14ac:dyDescent="0.25">
      <c r="A545" s="1">
        <v>45355.982534722221</v>
      </c>
      <c r="B545" s="1">
        <f>INT(smart_dataset[[#This Row],[Timestamp]])</f>
        <v>45355</v>
      </c>
      <c r="C545" s="7">
        <f>MOD(smart_dataset[[#This Row],[Timestamp]],1)</f>
        <v>0.98253472222131677</v>
      </c>
      <c r="D545">
        <f>YEAR(smart_dataset[[#This Row],[Date]])</f>
        <v>2024</v>
      </c>
      <c r="E545">
        <f>MONTH(smart_dataset[[#This Row],[Timestamp]])</f>
        <v>3</v>
      </c>
      <c r="F545" t="s">
        <v>25</v>
      </c>
      <c r="G545">
        <v>-8.1412999999999993</v>
      </c>
      <c r="H545">
        <v>92.868099999999998</v>
      </c>
      <c r="I545">
        <v>457</v>
      </c>
      <c r="J545" t="s">
        <v>17</v>
      </c>
      <c r="K545">
        <v>18.2</v>
      </c>
      <c r="L545">
        <v>62.6</v>
      </c>
      <c r="M545" t="s">
        <v>18</v>
      </c>
      <c r="N545">
        <v>18</v>
      </c>
      <c r="O545">
        <v>217</v>
      </c>
      <c r="P545">
        <v>9</v>
      </c>
      <c r="Q545" t="s">
        <v>19</v>
      </c>
      <c r="R545">
        <v>97.8</v>
      </c>
      <c r="S545">
        <v>199</v>
      </c>
      <c r="T545">
        <v>1</v>
      </c>
      <c r="U545" t="str" cm="1">
        <f t="array" ref="U545">_xlfn.IFS(smart_dataset[[#This Row],[Waiting_Time]]&lt;=20,"Low",smart_dataset[[#This Row],[Waiting_Time]]&lt;=40,"Medium",TRUE,"High")</f>
        <v>Low</v>
      </c>
      <c r="V545" t="str" cm="1">
        <f t="array" ref="V545">_xlfn.IFS(smart_dataset[[#This Row],[Temperature]]&lt;=20,"Cold",smart_dataset[[#This Row],[Temperature]]&lt;=28,"Normal",TRUE,"Hot")</f>
        <v>Cold</v>
      </c>
      <c r="W545" t="str" cm="1">
        <f t="array" ref="W545">_xlfn.IFS(smart_dataset[[#This Row],[Asset_Utilization]]&lt;=75,"Low",smart_dataset[[#This Row],[Asset_Utilization]]&lt;=90,"Medium",TRUE,"High")</f>
        <v>High</v>
      </c>
    </row>
    <row r="546" spans="1:23" x14ac:dyDescent="0.25">
      <c r="A546" s="1">
        <v>45473.190266203703</v>
      </c>
      <c r="B546" s="1">
        <f>INT(smart_dataset[[#This Row],[Timestamp]])</f>
        <v>45473</v>
      </c>
      <c r="C546" s="7">
        <f>MOD(smart_dataset[[#This Row],[Timestamp]],1)</f>
        <v>0.19026620370277669</v>
      </c>
      <c r="D546">
        <f>YEAR(smart_dataset[[#This Row],[Date]])</f>
        <v>2024</v>
      </c>
      <c r="E546">
        <f>MONTH(smart_dataset[[#This Row],[Timestamp]])</f>
        <v>6</v>
      </c>
      <c r="F546" t="s">
        <v>30</v>
      </c>
      <c r="G546">
        <v>0.71179999999999999</v>
      </c>
      <c r="H546">
        <v>108.5142</v>
      </c>
      <c r="I546">
        <v>298</v>
      </c>
      <c r="J546" t="s">
        <v>26</v>
      </c>
      <c r="K546">
        <v>27.8</v>
      </c>
      <c r="L546">
        <v>76.900000000000006</v>
      </c>
      <c r="M546" t="s">
        <v>22</v>
      </c>
      <c r="N546">
        <v>18</v>
      </c>
      <c r="O546">
        <v>414</v>
      </c>
      <c r="P546">
        <v>5</v>
      </c>
      <c r="Q546" t="s">
        <v>19</v>
      </c>
      <c r="R546">
        <v>72.2</v>
      </c>
      <c r="S546">
        <v>164</v>
      </c>
      <c r="T546">
        <v>1</v>
      </c>
      <c r="U546" t="str" cm="1">
        <f t="array" ref="U546">_xlfn.IFS(smart_dataset[[#This Row],[Waiting_Time]]&lt;=20,"Low",smart_dataset[[#This Row],[Waiting_Time]]&lt;=40,"Medium",TRUE,"High")</f>
        <v>Low</v>
      </c>
      <c r="V546" t="str" cm="1">
        <f t="array" ref="V546">_xlfn.IFS(smart_dataset[[#This Row],[Temperature]]&lt;=20,"Cold",smart_dataset[[#This Row],[Temperature]]&lt;=28,"Normal",TRUE,"Hot")</f>
        <v>Normal</v>
      </c>
      <c r="W546" t="str" cm="1">
        <f t="array" ref="W546">_xlfn.IFS(smart_dataset[[#This Row],[Asset_Utilization]]&lt;=75,"Low",smart_dataset[[#This Row],[Asset_Utilization]]&lt;=90,"Medium",TRUE,"High")</f>
        <v>Low</v>
      </c>
    </row>
    <row r="547" spans="1:23" hidden="1" x14ac:dyDescent="0.25">
      <c r="A547" s="1">
        <v>45628.430393518516</v>
      </c>
      <c r="B547" s="1">
        <f>INT(smart_dataset[[#This Row],[Timestamp]])</f>
        <v>45628</v>
      </c>
      <c r="C547" s="1">
        <f>MOD(smart_dataset[[#This Row],[Timestamp]],1)</f>
        <v>0.43039351851621177</v>
      </c>
      <c r="D547" s="1">
        <f>YEAR(smart_dataset[[#This Row],[Date]])</f>
        <v>2024</v>
      </c>
      <c r="E547" s="1">
        <f>MONTH(smart_dataset[[#This Row],[Timestamp]])</f>
        <v>12</v>
      </c>
      <c r="F547" t="s">
        <v>29</v>
      </c>
      <c r="G547">
        <v>43.225499999999997</v>
      </c>
      <c r="H547">
        <v>-143.04150000000001</v>
      </c>
      <c r="I547">
        <v>106</v>
      </c>
      <c r="J547" t="s">
        <v>17</v>
      </c>
      <c r="K547">
        <v>23.7</v>
      </c>
      <c r="L547">
        <v>74.7</v>
      </c>
      <c r="M547" t="s">
        <v>22</v>
      </c>
      <c r="N547">
        <v>14</v>
      </c>
      <c r="O547">
        <v>442</v>
      </c>
      <c r="P547">
        <v>4</v>
      </c>
      <c r="Q547" t="s">
        <v>31</v>
      </c>
      <c r="R547">
        <v>83.6</v>
      </c>
      <c r="S547">
        <v>276</v>
      </c>
      <c r="T547">
        <v>1</v>
      </c>
      <c r="U547" t="str" cm="1">
        <f t="array" ref="U547">_xlfn.IFS(smart_dataset[[#This Row],[Waiting_Time]]&lt;=20,"Low",smart_dataset[[#This Row],[Waiting_Time]]&lt;=40,"Medium",TRUE,"High")</f>
        <v>Low</v>
      </c>
      <c r="V547" t="str" cm="1">
        <f t="array" ref="V547">_xlfn.IFS(smart_dataset[[#This Row],[Temperature]]&lt;=20,"Cold",smart_dataset[[#This Row],[Temperature]]&lt;=28,"Normal",TRUE,"Hot")</f>
        <v>Normal</v>
      </c>
      <c r="W547" t="str" cm="1">
        <f t="array" ref="W547">_xlfn.IFS(smart_dataset[[#This Row],[Asset_Utilization]]&lt;=75,"Low",smart_dataset[[#This Row],[Asset_Utilization]]&lt;=90,"Medium",TRUE,"High")</f>
        <v>Medium</v>
      </c>
    </row>
    <row r="548" spans="1:23" hidden="1" x14ac:dyDescent="0.25">
      <c r="A548" s="1">
        <v>45518.460613425923</v>
      </c>
      <c r="B548" s="1">
        <f>INT(smart_dataset[[#This Row],[Timestamp]])</f>
        <v>45518</v>
      </c>
      <c r="C548" s="1">
        <f>MOD(smart_dataset[[#This Row],[Timestamp]],1)</f>
        <v>0.46061342592292931</v>
      </c>
      <c r="D548" s="1">
        <f>YEAR(smart_dataset[[#This Row],[Date]])</f>
        <v>2024</v>
      </c>
      <c r="E548" s="1">
        <f>MONTH(smart_dataset[[#This Row],[Timestamp]])</f>
        <v>8</v>
      </c>
      <c r="F548" t="s">
        <v>20</v>
      </c>
      <c r="G548">
        <v>61.804699999999997</v>
      </c>
      <c r="H548">
        <v>-72.121899999999997</v>
      </c>
      <c r="I548">
        <v>293</v>
      </c>
      <c r="J548" t="s">
        <v>26</v>
      </c>
      <c r="K548">
        <v>28.5</v>
      </c>
      <c r="L548">
        <v>59.3</v>
      </c>
      <c r="M548" t="s">
        <v>28</v>
      </c>
      <c r="N548">
        <v>50</v>
      </c>
      <c r="O548">
        <v>168</v>
      </c>
      <c r="P548">
        <v>4</v>
      </c>
      <c r="Q548" t="s">
        <v>23</v>
      </c>
      <c r="R548">
        <v>67.2</v>
      </c>
      <c r="S548">
        <v>199</v>
      </c>
      <c r="T548">
        <v>0</v>
      </c>
      <c r="U548" t="str" cm="1">
        <f t="array" ref="U548">_xlfn.IFS(smart_dataset[[#This Row],[Waiting_Time]]&lt;=20,"Low",smart_dataset[[#This Row],[Waiting_Time]]&lt;=40,"Medium",TRUE,"High")</f>
        <v>High</v>
      </c>
      <c r="V548" t="str" cm="1">
        <f t="array" ref="V548">_xlfn.IFS(smart_dataset[[#This Row],[Temperature]]&lt;=20,"Cold",smart_dataset[[#This Row],[Temperature]]&lt;=28,"Normal",TRUE,"Hot")</f>
        <v>Hot</v>
      </c>
      <c r="W548" t="str" cm="1">
        <f t="array" ref="W548">_xlfn.IFS(smart_dataset[[#This Row],[Asset_Utilization]]&lt;=75,"Low",smart_dataset[[#This Row],[Asset_Utilization]]&lt;=90,"Medium",TRUE,"High")</f>
        <v>Low</v>
      </c>
    </row>
    <row r="549" spans="1:23" x14ac:dyDescent="0.25">
      <c r="A549" s="1">
        <v>45548.132974537039</v>
      </c>
      <c r="B549" s="1">
        <f>INT(smart_dataset[[#This Row],[Timestamp]])</f>
        <v>45548</v>
      </c>
      <c r="C549" s="7">
        <f>MOD(smart_dataset[[#This Row],[Timestamp]],1)</f>
        <v>0.13297453703853535</v>
      </c>
      <c r="D549">
        <f>YEAR(smart_dataset[[#This Row],[Date]])</f>
        <v>2024</v>
      </c>
      <c r="E549">
        <f>MONTH(smart_dataset[[#This Row],[Timestamp]])</f>
        <v>9</v>
      </c>
      <c r="F549" t="s">
        <v>25</v>
      </c>
      <c r="G549">
        <v>-42.692900000000002</v>
      </c>
      <c r="H549">
        <v>46.252499999999998</v>
      </c>
      <c r="I549">
        <v>301</v>
      </c>
      <c r="J549" t="s">
        <v>17</v>
      </c>
      <c r="K549">
        <v>19.2</v>
      </c>
      <c r="L549">
        <v>57.6</v>
      </c>
      <c r="M549" t="s">
        <v>22</v>
      </c>
      <c r="N549">
        <v>16</v>
      </c>
      <c r="O549">
        <v>256</v>
      </c>
      <c r="P549">
        <v>6</v>
      </c>
      <c r="Q549" t="s">
        <v>19</v>
      </c>
      <c r="R549">
        <v>65.400000000000006</v>
      </c>
      <c r="S549">
        <v>148</v>
      </c>
      <c r="T549">
        <v>1</v>
      </c>
      <c r="U549" t="str" cm="1">
        <f t="array" ref="U549">_xlfn.IFS(smart_dataset[[#This Row],[Waiting_Time]]&lt;=20,"Low",smart_dataset[[#This Row],[Waiting_Time]]&lt;=40,"Medium",TRUE,"High")</f>
        <v>Low</v>
      </c>
      <c r="V549" t="str" cm="1">
        <f t="array" ref="V549">_xlfn.IFS(smart_dataset[[#This Row],[Temperature]]&lt;=20,"Cold",smart_dataset[[#This Row],[Temperature]]&lt;=28,"Normal",TRUE,"Hot")</f>
        <v>Cold</v>
      </c>
      <c r="W549" t="str" cm="1">
        <f t="array" ref="W549">_xlfn.IFS(smart_dataset[[#This Row],[Asset_Utilization]]&lt;=75,"Low",smart_dataset[[#This Row],[Asset_Utilization]]&lt;=90,"Medium",TRUE,"High")</f>
        <v>Low</v>
      </c>
    </row>
    <row r="550" spans="1:23" hidden="1" x14ac:dyDescent="0.25">
      <c r="A550" s="1">
        <v>45655.765266203707</v>
      </c>
      <c r="B550" s="1">
        <f>INT(smart_dataset[[#This Row],[Timestamp]])</f>
        <v>45655</v>
      </c>
      <c r="C550" s="1">
        <f>MOD(smart_dataset[[#This Row],[Timestamp]],1)</f>
        <v>0.76526620370714227</v>
      </c>
      <c r="D550" s="1">
        <f>YEAR(smart_dataset[[#This Row],[Date]])</f>
        <v>2024</v>
      </c>
      <c r="E550" s="1">
        <f>MONTH(smart_dataset[[#This Row],[Timestamp]])</f>
        <v>12</v>
      </c>
      <c r="F550" t="s">
        <v>35</v>
      </c>
      <c r="G550">
        <v>-78.075500000000005</v>
      </c>
      <c r="H550">
        <v>-11.8927</v>
      </c>
      <c r="I550">
        <v>287</v>
      </c>
      <c r="J550" t="s">
        <v>21</v>
      </c>
      <c r="K550">
        <v>25.2</v>
      </c>
      <c r="L550">
        <v>51.8</v>
      </c>
      <c r="M550" t="s">
        <v>18</v>
      </c>
      <c r="N550">
        <v>34</v>
      </c>
      <c r="O550">
        <v>399</v>
      </c>
      <c r="P550">
        <v>2</v>
      </c>
      <c r="Q550" t="s">
        <v>31</v>
      </c>
      <c r="R550">
        <v>85</v>
      </c>
      <c r="S550">
        <v>124</v>
      </c>
      <c r="T550">
        <v>0</v>
      </c>
      <c r="U550" t="str" cm="1">
        <f t="array" ref="U550">_xlfn.IFS(smart_dataset[[#This Row],[Waiting_Time]]&lt;=20,"Low",smart_dataset[[#This Row],[Waiting_Time]]&lt;=40,"Medium",TRUE,"High")</f>
        <v>Medium</v>
      </c>
      <c r="V550" t="str" cm="1">
        <f t="array" ref="V550">_xlfn.IFS(smart_dataset[[#This Row],[Temperature]]&lt;=20,"Cold",smart_dataset[[#This Row],[Temperature]]&lt;=28,"Normal",TRUE,"Hot")</f>
        <v>Normal</v>
      </c>
      <c r="W550" t="str" cm="1">
        <f t="array" ref="W550">_xlfn.IFS(smart_dataset[[#This Row],[Asset_Utilization]]&lt;=75,"Low",smart_dataset[[#This Row],[Asset_Utilization]]&lt;=90,"Medium",TRUE,"High")</f>
        <v>Medium</v>
      </c>
    </row>
    <row r="551" spans="1:23" hidden="1" x14ac:dyDescent="0.25">
      <c r="A551" s="1">
        <v>45615.578645833331</v>
      </c>
      <c r="B551" s="1">
        <f>INT(smart_dataset[[#This Row],[Timestamp]])</f>
        <v>45615</v>
      </c>
      <c r="C551" s="1">
        <f>MOD(smart_dataset[[#This Row],[Timestamp]],1)</f>
        <v>0.57864583333139308</v>
      </c>
      <c r="D551" s="1">
        <f>YEAR(smart_dataset[[#This Row],[Date]])</f>
        <v>2024</v>
      </c>
      <c r="E551" s="1">
        <f>MONTH(smart_dataset[[#This Row],[Timestamp]])</f>
        <v>11</v>
      </c>
      <c r="F551" t="s">
        <v>34</v>
      </c>
      <c r="G551">
        <v>65.554699999999997</v>
      </c>
      <c r="H551">
        <v>-128.3673</v>
      </c>
      <c r="I551">
        <v>237</v>
      </c>
      <c r="J551" t="s">
        <v>21</v>
      </c>
      <c r="K551">
        <v>23.4</v>
      </c>
      <c r="L551">
        <v>53.3</v>
      </c>
      <c r="M551" t="s">
        <v>18</v>
      </c>
      <c r="N551">
        <v>38</v>
      </c>
      <c r="O551">
        <v>109</v>
      </c>
      <c r="P551">
        <v>2</v>
      </c>
      <c r="Q551" t="s">
        <v>31</v>
      </c>
      <c r="R551">
        <v>87.9</v>
      </c>
      <c r="S551">
        <v>157</v>
      </c>
      <c r="T551">
        <v>0</v>
      </c>
      <c r="U551" t="str" cm="1">
        <f t="array" ref="U551">_xlfn.IFS(smart_dataset[[#This Row],[Waiting_Time]]&lt;=20,"Low",smart_dataset[[#This Row],[Waiting_Time]]&lt;=40,"Medium",TRUE,"High")</f>
        <v>Medium</v>
      </c>
      <c r="V551" t="str" cm="1">
        <f t="array" ref="V551">_xlfn.IFS(smart_dataset[[#This Row],[Temperature]]&lt;=20,"Cold",smart_dataset[[#This Row],[Temperature]]&lt;=28,"Normal",TRUE,"Hot")</f>
        <v>Normal</v>
      </c>
      <c r="W551" t="str" cm="1">
        <f t="array" ref="W551">_xlfn.IFS(smart_dataset[[#This Row],[Asset_Utilization]]&lt;=75,"Low",smart_dataset[[#This Row],[Asset_Utilization]]&lt;=90,"Medium",TRUE,"High")</f>
        <v>Medium</v>
      </c>
    </row>
    <row r="552" spans="1:23" hidden="1" x14ac:dyDescent="0.25">
      <c r="A552" s="1">
        <v>45439.309872685182</v>
      </c>
      <c r="B552" s="1">
        <f>INT(smart_dataset[[#This Row],[Timestamp]])</f>
        <v>45439</v>
      </c>
      <c r="C552" s="1">
        <f>MOD(smart_dataset[[#This Row],[Timestamp]],1)</f>
        <v>0.30987268518219935</v>
      </c>
      <c r="D552" s="1">
        <f>YEAR(smart_dataset[[#This Row],[Date]])</f>
        <v>2024</v>
      </c>
      <c r="E552" s="1">
        <f>MONTH(smart_dataset[[#This Row],[Timestamp]])</f>
        <v>5</v>
      </c>
      <c r="F552" t="s">
        <v>35</v>
      </c>
      <c r="G552">
        <v>-19.557400000000001</v>
      </c>
      <c r="H552">
        <v>-65.549300000000002</v>
      </c>
      <c r="I552">
        <v>258</v>
      </c>
      <c r="J552" t="s">
        <v>21</v>
      </c>
      <c r="K552">
        <v>25.2</v>
      </c>
      <c r="L552">
        <v>67.599999999999994</v>
      </c>
      <c r="M552" t="s">
        <v>28</v>
      </c>
      <c r="N552">
        <v>32</v>
      </c>
      <c r="O552">
        <v>484</v>
      </c>
      <c r="P552">
        <v>7</v>
      </c>
      <c r="Q552" t="s">
        <v>27</v>
      </c>
      <c r="R552">
        <v>98.8</v>
      </c>
      <c r="S552">
        <v>191</v>
      </c>
      <c r="T552">
        <v>0</v>
      </c>
      <c r="U552" t="str" cm="1">
        <f t="array" ref="U552">_xlfn.IFS(smart_dataset[[#This Row],[Waiting_Time]]&lt;=20,"Low",smart_dataset[[#This Row],[Waiting_Time]]&lt;=40,"Medium",TRUE,"High")</f>
        <v>Medium</v>
      </c>
      <c r="V552" t="str" cm="1">
        <f t="array" ref="V552">_xlfn.IFS(smart_dataset[[#This Row],[Temperature]]&lt;=20,"Cold",smart_dataset[[#This Row],[Temperature]]&lt;=28,"Normal",TRUE,"Hot")</f>
        <v>Normal</v>
      </c>
      <c r="W552" t="str" cm="1">
        <f t="array" ref="W552">_xlfn.IFS(smart_dataset[[#This Row],[Asset_Utilization]]&lt;=75,"Low",smart_dataset[[#This Row],[Asset_Utilization]]&lt;=90,"Medium",TRUE,"High")</f>
        <v>High</v>
      </c>
    </row>
    <row r="553" spans="1:23" hidden="1" x14ac:dyDescent="0.25">
      <c r="A553" s="1">
        <v>45615.835532407407</v>
      </c>
      <c r="B553" s="1">
        <f>INT(smart_dataset[[#This Row],[Timestamp]])</f>
        <v>45615</v>
      </c>
      <c r="C553" s="1">
        <f>MOD(smart_dataset[[#This Row],[Timestamp]],1)</f>
        <v>0.83553240740729962</v>
      </c>
      <c r="D553" s="1">
        <f>YEAR(smart_dataset[[#This Row],[Date]])</f>
        <v>2024</v>
      </c>
      <c r="E553" s="1">
        <f>MONTH(smart_dataset[[#This Row],[Timestamp]])</f>
        <v>11</v>
      </c>
      <c r="F553" t="s">
        <v>33</v>
      </c>
      <c r="G553">
        <v>17.708300000000001</v>
      </c>
      <c r="H553">
        <v>-162.0043</v>
      </c>
      <c r="I553">
        <v>480</v>
      </c>
      <c r="J553" t="s">
        <v>21</v>
      </c>
      <c r="K553">
        <v>27.1</v>
      </c>
      <c r="L553">
        <v>76.3</v>
      </c>
      <c r="M553" t="s">
        <v>22</v>
      </c>
      <c r="N553">
        <v>22</v>
      </c>
      <c r="O553">
        <v>497</v>
      </c>
      <c r="P553">
        <v>9</v>
      </c>
      <c r="Q553" t="s">
        <v>27</v>
      </c>
      <c r="R553">
        <v>74.900000000000006</v>
      </c>
      <c r="S553">
        <v>183</v>
      </c>
      <c r="T553">
        <v>1</v>
      </c>
      <c r="U553" t="str" cm="1">
        <f t="array" ref="U553">_xlfn.IFS(smart_dataset[[#This Row],[Waiting_Time]]&lt;=20,"Low",smart_dataset[[#This Row],[Waiting_Time]]&lt;=40,"Medium",TRUE,"High")</f>
        <v>Medium</v>
      </c>
      <c r="V553" t="str" cm="1">
        <f t="array" ref="V553">_xlfn.IFS(smart_dataset[[#This Row],[Temperature]]&lt;=20,"Cold",smart_dataset[[#This Row],[Temperature]]&lt;=28,"Normal",TRUE,"Hot")</f>
        <v>Normal</v>
      </c>
      <c r="W553" t="str" cm="1">
        <f t="array" ref="W553">_xlfn.IFS(smart_dataset[[#This Row],[Asset_Utilization]]&lt;=75,"Low",smart_dataset[[#This Row],[Asset_Utilization]]&lt;=90,"Medium",TRUE,"High")</f>
        <v>Low</v>
      </c>
    </row>
    <row r="554" spans="1:23" hidden="1" x14ac:dyDescent="0.25">
      <c r="A554" s="1">
        <v>45553.961388888885</v>
      </c>
      <c r="B554" s="1">
        <f>INT(smart_dataset[[#This Row],[Timestamp]])</f>
        <v>45553</v>
      </c>
      <c r="C554" s="1">
        <f>MOD(smart_dataset[[#This Row],[Timestamp]],1)</f>
        <v>0.96138888888526708</v>
      </c>
      <c r="D554" s="1">
        <f>YEAR(smart_dataset[[#This Row],[Date]])</f>
        <v>2024</v>
      </c>
      <c r="E554" s="1">
        <f>MONTH(smart_dataset[[#This Row],[Timestamp]])</f>
        <v>9</v>
      </c>
      <c r="F554" t="s">
        <v>32</v>
      </c>
      <c r="G554">
        <v>-52.168599999999998</v>
      </c>
      <c r="H554">
        <v>-175.62690000000001</v>
      </c>
      <c r="I554">
        <v>441</v>
      </c>
      <c r="J554" t="s">
        <v>21</v>
      </c>
      <c r="K554">
        <v>22.6</v>
      </c>
      <c r="L554">
        <v>53.3</v>
      </c>
      <c r="M554" t="s">
        <v>28</v>
      </c>
      <c r="N554">
        <v>29</v>
      </c>
      <c r="O554">
        <v>343</v>
      </c>
      <c r="P554">
        <v>3</v>
      </c>
      <c r="Q554" t="s">
        <v>31</v>
      </c>
      <c r="R554">
        <v>86.5</v>
      </c>
      <c r="S554">
        <v>172</v>
      </c>
      <c r="T554">
        <v>0</v>
      </c>
      <c r="U554" t="str" cm="1">
        <f t="array" ref="U554">_xlfn.IFS(smart_dataset[[#This Row],[Waiting_Time]]&lt;=20,"Low",smart_dataset[[#This Row],[Waiting_Time]]&lt;=40,"Medium",TRUE,"High")</f>
        <v>Medium</v>
      </c>
      <c r="V554" t="str" cm="1">
        <f t="array" ref="V554">_xlfn.IFS(smart_dataset[[#This Row],[Temperature]]&lt;=20,"Cold",smart_dataset[[#This Row],[Temperature]]&lt;=28,"Normal",TRUE,"Hot")</f>
        <v>Normal</v>
      </c>
      <c r="W554" t="str" cm="1">
        <f t="array" ref="W554">_xlfn.IFS(smart_dataset[[#This Row],[Asset_Utilization]]&lt;=75,"Low",smart_dataset[[#This Row],[Asset_Utilization]]&lt;=90,"Medium",TRUE,"High")</f>
        <v>Medium</v>
      </c>
    </row>
    <row r="555" spans="1:23" hidden="1" x14ac:dyDescent="0.25">
      <c r="A555" s="1">
        <v>45642.095138888886</v>
      </c>
      <c r="B555" s="1">
        <f>INT(smart_dataset[[#This Row],[Timestamp]])</f>
        <v>45642</v>
      </c>
      <c r="C555" s="1">
        <f>MOD(smart_dataset[[#This Row],[Timestamp]],1)</f>
        <v>9.5138888886140194E-2</v>
      </c>
      <c r="D555" s="1">
        <f>YEAR(smart_dataset[[#This Row],[Date]])</f>
        <v>2024</v>
      </c>
      <c r="E555" s="1">
        <f>MONTH(smart_dataset[[#This Row],[Timestamp]])</f>
        <v>12</v>
      </c>
      <c r="F555" t="s">
        <v>20</v>
      </c>
      <c r="G555">
        <v>-84.237499999999997</v>
      </c>
      <c r="H555">
        <v>76.933899999999994</v>
      </c>
      <c r="I555">
        <v>346</v>
      </c>
      <c r="J555" t="s">
        <v>21</v>
      </c>
      <c r="K555">
        <v>21.6</v>
      </c>
      <c r="L555">
        <v>65.2</v>
      </c>
      <c r="M555" t="s">
        <v>28</v>
      </c>
      <c r="N555">
        <v>43</v>
      </c>
      <c r="O555">
        <v>402</v>
      </c>
      <c r="P555">
        <v>8</v>
      </c>
      <c r="Q555" t="s">
        <v>27</v>
      </c>
      <c r="R555">
        <v>96.4</v>
      </c>
      <c r="S555">
        <v>157</v>
      </c>
      <c r="T555">
        <v>0</v>
      </c>
      <c r="U555" t="str" cm="1">
        <f t="array" ref="U555">_xlfn.IFS(smart_dataset[[#This Row],[Waiting_Time]]&lt;=20,"Low",smart_dataset[[#This Row],[Waiting_Time]]&lt;=40,"Medium",TRUE,"High")</f>
        <v>High</v>
      </c>
      <c r="V555" t="str" cm="1">
        <f t="array" ref="V555">_xlfn.IFS(smart_dataset[[#This Row],[Temperature]]&lt;=20,"Cold",smart_dataset[[#This Row],[Temperature]]&lt;=28,"Normal",TRUE,"Hot")</f>
        <v>Normal</v>
      </c>
      <c r="W555" t="str" cm="1">
        <f t="array" ref="W555">_xlfn.IFS(smart_dataset[[#This Row],[Asset_Utilization]]&lt;=75,"Low",smart_dataset[[#This Row],[Asset_Utilization]]&lt;=90,"Medium",TRUE,"High")</f>
        <v>High</v>
      </c>
    </row>
    <row r="556" spans="1:23" x14ac:dyDescent="0.25">
      <c r="A556" s="1">
        <v>45564.792372685188</v>
      </c>
      <c r="B556" s="1">
        <f>INT(smart_dataset[[#This Row],[Timestamp]])</f>
        <v>45564</v>
      </c>
      <c r="C556" s="7">
        <f>MOD(smart_dataset[[#This Row],[Timestamp]],1)</f>
        <v>0.79237268518772908</v>
      </c>
      <c r="D556">
        <f>YEAR(smart_dataset[[#This Row],[Date]])</f>
        <v>2024</v>
      </c>
      <c r="E556">
        <f>MONTH(smart_dataset[[#This Row],[Timestamp]])</f>
        <v>9</v>
      </c>
      <c r="F556" t="s">
        <v>30</v>
      </c>
      <c r="G556">
        <v>-7.5990000000000002</v>
      </c>
      <c r="H556">
        <v>-78.748900000000006</v>
      </c>
      <c r="I556">
        <v>205</v>
      </c>
      <c r="J556" t="s">
        <v>21</v>
      </c>
      <c r="K556">
        <v>23.6</v>
      </c>
      <c r="L556">
        <v>76.2</v>
      </c>
      <c r="M556" t="s">
        <v>22</v>
      </c>
      <c r="N556">
        <v>41</v>
      </c>
      <c r="O556">
        <v>324</v>
      </c>
      <c r="P556">
        <v>2</v>
      </c>
      <c r="Q556" t="s">
        <v>19</v>
      </c>
      <c r="R556">
        <v>73.8</v>
      </c>
      <c r="S556">
        <v>153</v>
      </c>
      <c r="T556">
        <v>1</v>
      </c>
      <c r="U556" t="str" cm="1">
        <f t="array" ref="U556">_xlfn.IFS(smart_dataset[[#This Row],[Waiting_Time]]&lt;=20,"Low",smart_dataset[[#This Row],[Waiting_Time]]&lt;=40,"Medium",TRUE,"High")</f>
        <v>High</v>
      </c>
      <c r="V556" t="str" cm="1">
        <f t="array" ref="V556">_xlfn.IFS(smart_dataset[[#This Row],[Temperature]]&lt;=20,"Cold",smart_dataset[[#This Row],[Temperature]]&lt;=28,"Normal",TRUE,"Hot")</f>
        <v>Normal</v>
      </c>
      <c r="W556" t="str" cm="1">
        <f t="array" ref="W556">_xlfn.IFS(smart_dataset[[#This Row],[Asset_Utilization]]&lt;=75,"Low",smart_dataset[[#This Row],[Asset_Utilization]]&lt;=90,"Medium",TRUE,"High")</f>
        <v>Low</v>
      </c>
    </row>
    <row r="557" spans="1:23" hidden="1" x14ac:dyDescent="0.25">
      <c r="A557" s="1">
        <v>45380.057858796295</v>
      </c>
      <c r="B557" s="1">
        <f>INT(smart_dataset[[#This Row],[Timestamp]])</f>
        <v>45380</v>
      </c>
      <c r="C557" s="1">
        <f>MOD(smart_dataset[[#This Row],[Timestamp]],1)</f>
        <v>5.7858796295477077E-2</v>
      </c>
      <c r="D557" s="1">
        <f>YEAR(smart_dataset[[#This Row],[Date]])</f>
        <v>2024</v>
      </c>
      <c r="E557" s="1">
        <f>MONTH(smart_dataset[[#This Row],[Timestamp]])</f>
        <v>3</v>
      </c>
      <c r="F557" t="s">
        <v>30</v>
      </c>
      <c r="G557">
        <v>36.621000000000002</v>
      </c>
      <c r="H557">
        <v>97.219399999999993</v>
      </c>
      <c r="I557">
        <v>477</v>
      </c>
      <c r="J557" t="s">
        <v>17</v>
      </c>
      <c r="K557">
        <v>25.1</v>
      </c>
      <c r="L557">
        <v>50.3</v>
      </c>
      <c r="M557" t="s">
        <v>18</v>
      </c>
      <c r="N557">
        <v>32</v>
      </c>
      <c r="O557">
        <v>297</v>
      </c>
      <c r="P557">
        <v>7</v>
      </c>
      <c r="Q557" t="s">
        <v>27</v>
      </c>
      <c r="R557">
        <v>96.4</v>
      </c>
      <c r="S557">
        <v>212</v>
      </c>
      <c r="T557">
        <v>1</v>
      </c>
      <c r="U557" t="str" cm="1">
        <f t="array" ref="U557">_xlfn.IFS(smart_dataset[[#This Row],[Waiting_Time]]&lt;=20,"Low",smart_dataset[[#This Row],[Waiting_Time]]&lt;=40,"Medium",TRUE,"High")</f>
        <v>Medium</v>
      </c>
      <c r="V557" t="str" cm="1">
        <f t="array" ref="V557">_xlfn.IFS(smart_dataset[[#This Row],[Temperature]]&lt;=20,"Cold",smart_dataset[[#This Row],[Temperature]]&lt;=28,"Normal",TRUE,"Hot")</f>
        <v>Normal</v>
      </c>
      <c r="W557" t="str" cm="1">
        <f t="array" ref="W557">_xlfn.IFS(smart_dataset[[#This Row],[Asset_Utilization]]&lt;=75,"Low",smart_dataset[[#This Row],[Asset_Utilization]]&lt;=90,"Medium",TRUE,"High")</f>
        <v>High</v>
      </c>
    </row>
    <row r="558" spans="1:23" hidden="1" x14ac:dyDescent="0.25">
      <c r="A558" s="1">
        <v>45499.423310185186</v>
      </c>
      <c r="B558" s="1">
        <f>INT(smart_dataset[[#This Row],[Timestamp]])</f>
        <v>45499</v>
      </c>
      <c r="C558" s="1">
        <f>MOD(smart_dataset[[#This Row],[Timestamp]],1)</f>
        <v>0.42331018518598285</v>
      </c>
      <c r="D558" s="1">
        <f>YEAR(smart_dataset[[#This Row],[Date]])</f>
        <v>2024</v>
      </c>
      <c r="E558" s="1">
        <f>MONTH(smart_dataset[[#This Row],[Timestamp]])</f>
        <v>7</v>
      </c>
      <c r="F558" t="s">
        <v>25</v>
      </c>
      <c r="G558">
        <v>-7.9898999999999996</v>
      </c>
      <c r="H558">
        <v>-23.572299999999998</v>
      </c>
      <c r="I558">
        <v>355</v>
      </c>
      <c r="J558" t="s">
        <v>17</v>
      </c>
      <c r="K558">
        <v>19.8</v>
      </c>
      <c r="L558">
        <v>60.9</v>
      </c>
      <c r="M558" t="s">
        <v>28</v>
      </c>
      <c r="N558">
        <v>24</v>
      </c>
      <c r="O558">
        <v>226</v>
      </c>
      <c r="P558">
        <v>9</v>
      </c>
      <c r="Q558" t="s">
        <v>23</v>
      </c>
      <c r="R558">
        <v>62.8</v>
      </c>
      <c r="S558">
        <v>243</v>
      </c>
      <c r="T558">
        <v>1</v>
      </c>
      <c r="U558" t="str" cm="1">
        <f t="array" ref="U558">_xlfn.IFS(smart_dataset[[#This Row],[Waiting_Time]]&lt;=20,"Low",smart_dataset[[#This Row],[Waiting_Time]]&lt;=40,"Medium",TRUE,"High")</f>
        <v>Medium</v>
      </c>
      <c r="V558" t="str" cm="1">
        <f t="array" ref="V558">_xlfn.IFS(smart_dataset[[#This Row],[Temperature]]&lt;=20,"Cold",smart_dataset[[#This Row],[Temperature]]&lt;=28,"Normal",TRUE,"Hot")</f>
        <v>Cold</v>
      </c>
      <c r="W558" t="str" cm="1">
        <f t="array" ref="W558">_xlfn.IFS(smart_dataset[[#This Row],[Asset_Utilization]]&lt;=75,"Low",smart_dataset[[#This Row],[Asset_Utilization]]&lt;=90,"Medium",TRUE,"High")</f>
        <v>Low</v>
      </c>
    </row>
    <row r="559" spans="1:23" hidden="1" x14ac:dyDescent="0.25">
      <c r="A559" s="1">
        <v>45645.441921296297</v>
      </c>
      <c r="B559" s="1">
        <f>INT(smart_dataset[[#This Row],[Timestamp]])</f>
        <v>45645</v>
      </c>
      <c r="C559" s="1">
        <f>MOD(smart_dataset[[#This Row],[Timestamp]],1)</f>
        <v>0.44192129629664123</v>
      </c>
      <c r="D559" s="1">
        <f>YEAR(smart_dataset[[#This Row],[Date]])</f>
        <v>2024</v>
      </c>
      <c r="E559" s="1">
        <f>MONTH(smart_dataset[[#This Row],[Timestamp]])</f>
        <v>12</v>
      </c>
      <c r="F559" t="s">
        <v>29</v>
      </c>
      <c r="G559">
        <v>-68.5749</v>
      </c>
      <c r="H559">
        <v>106.21120000000001</v>
      </c>
      <c r="I559">
        <v>148</v>
      </c>
      <c r="J559" t="s">
        <v>26</v>
      </c>
      <c r="K559">
        <v>23.3</v>
      </c>
      <c r="L559">
        <v>59.1</v>
      </c>
      <c r="M559" t="s">
        <v>18</v>
      </c>
      <c r="N559">
        <v>53</v>
      </c>
      <c r="O559">
        <v>161</v>
      </c>
      <c r="P559">
        <v>10</v>
      </c>
      <c r="Q559" t="s">
        <v>23</v>
      </c>
      <c r="R559">
        <v>65.7</v>
      </c>
      <c r="S559">
        <v>189</v>
      </c>
      <c r="T559">
        <v>0</v>
      </c>
      <c r="U559" t="str" cm="1">
        <f t="array" ref="U559">_xlfn.IFS(smart_dataset[[#This Row],[Waiting_Time]]&lt;=20,"Low",smart_dataset[[#This Row],[Waiting_Time]]&lt;=40,"Medium",TRUE,"High")</f>
        <v>High</v>
      </c>
      <c r="V559" t="str" cm="1">
        <f t="array" ref="V559">_xlfn.IFS(smart_dataset[[#This Row],[Temperature]]&lt;=20,"Cold",smart_dataset[[#This Row],[Temperature]]&lt;=28,"Normal",TRUE,"Hot")</f>
        <v>Normal</v>
      </c>
      <c r="W559" t="str" cm="1">
        <f t="array" ref="W559">_xlfn.IFS(smart_dataset[[#This Row],[Asset_Utilization]]&lt;=75,"Low",smart_dataset[[#This Row],[Asset_Utilization]]&lt;=90,"Medium",TRUE,"High")</f>
        <v>Low</v>
      </c>
    </row>
    <row r="560" spans="1:23" x14ac:dyDescent="0.25">
      <c r="A560" s="1">
        <v>45457.43787037037</v>
      </c>
      <c r="B560" s="1">
        <f>INT(smart_dataset[[#This Row],[Timestamp]])</f>
        <v>45457</v>
      </c>
      <c r="C560" s="7">
        <f>MOD(smart_dataset[[#This Row],[Timestamp]],1)</f>
        <v>0.43787037036963739</v>
      </c>
      <c r="D560">
        <f>YEAR(smart_dataset[[#This Row],[Date]])</f>
        <v>2024</v>
      </c>
      <c r="E560">
        <f>MONTH(smart_dataset[[#This Row],[Timestamp]])</f>
        <v>6</v>
      </c>
      <c r="F560" t="s">
        <v>20</v>
      </c>
      <c r="G560">
        <v>-86.647199999999998</v>
      </c>
      <c r="H560">
        <v>76.164100000000005</v>
      </c>
      <c r="I560">
        <v>190</v>
      </c>
      <c r="J560" t="s">
        <v>17</v>
      </c>
      <c r="K560">
        <v>27.8</v>
      </c>
      <c r="L560">
        <v>62.2</v>
      </c>
      <c r="M560" t="s">
        <v>18</v>
      </c>
      <c r="N560">
        <v>41</v>
      </c>
      <c r="O560">
        <v>238</v>
      </c>
      <c r="P560">
        <v>2</v>
      </c>
      <c r="Q560" t="s">
        <v>19</v>
      </c>
      <c r="R560">
        <v>90.2</v>
      </c>
      <c r="S560">
        <v>122</v>
      </c>
      <c r="T560">
        <v>1</v>
      </c>
      <c r="U560" t="str" cm="1">
        <f t="array" ref="U560">_xlfn.IFS(smart_dataset[[#This Row],[Waiting_Time]]&lt;=20,"Low",smart_dataset[[#This Row],[Waiting_Time]]&lt;=40,"Medium",TRUE,"High")</f>
        <v>High</v>
      </c>
      <c r="V560" t="str" cm="1">
        <f t="array" ref="V560">_xlfn.IFS(smart_dataset[[#This Row],[Temperature]]&lt;=20,"Cold",smart_dataset[[#This Row],[Temperature]]&lt;=28,"Normal",TRUE,"Hot")</f>
        <v>Normal</v>
      </c>
      <c r="W560" t="str" cm="1">
        <f t="array" ref="W560">_xlfn.IFS(smart_dataset[[#This Row],[Asset_Utilization]]&lt;=75,"Low",smart_dataset[[#This Row],[Asset_Utilization]]&lt;=90,"Medium",TRUE,"High")</f>
        <v>High</v>
      </c>
    </row>
    <row r="561" spans="1:23" hidden="1" x14ac:dyDescent="0.25">
      <c r="A561" s="1">
        <v>45297.224293981482</v>
      </c>
      <c r="B561" s="1">
        <f>INT(smart_dataset[[#This Row],[Timestamp]])</f>
        <v>45297</v>
      </c>
      <c r="C561" s="1">
        <f>MOD(smart_dataset[[#This Row],[Timestamp]],1)</f>
        <v>0.22429398148233304</v>
      </c>
      <c r="D561" s="1">
        <f>YEAR(smart_dataset[[#This Row],[Date]])</f>
        <v>2024</v>
      </c>
      <c r="E561" s="1">
        <f>MONTH(smart_dataset[[#This Row],[Timestamp]])</f>
        <v>1</v>
      </c>
      <c r="F561" t="s">
        <v>24</v>
      </c>
      <c r="G561">
        <v>-20.073</v>
      </c>
      <c r="H561">
        <v>169.58629999999999</v>
      </c>
      <c r="I561">
        <v>356</v>
      </c>
      <c r="J561" t="s">
        <v>17</v>
      </c>
      <c r="K561">
        <v>24.8</v>
      </c>
      <c r="L561">
        <v>70</v>
      </c>
      <c r="M561" t="s">
        <v>18</v>
      </c>
      <c r="N561">
        <v>37</v>
      </c>
      <c r="O561">
        <v>345</v>
      </c>
      <c r="P561">
        <v>3</v>
      </c>
      <c r="Q561" t="s">
        <v>27</v>
      </c>
      <c r="R561">
        <v>84</v>
      </c>
      <c r="S561">
        <v>245</v>
      </c>
      <c r="T561">
        <v>1</v>
      </c>
      <c r="U561" t="str" cm="1">
        <f t="array" ref="U561">_xlfn.IFS(smart_dataset[[#This Row],[Waiting_Time]]&lt;=20,"Low",smart_dataset[[#This Row],[Waiting_Time]]&lt;=40,"Medium",TRUE,"High")</f>
        <v>Medium</v>
      </c>
      <c r="V561" t="str" cm="1">
        <f t="array" ref="V561">_xlfn.IFS(smart_dataset[[#This Row],[Temperature]]&lt;=20,"Cold",smart_dataset[[#This Row],[Temperature]]&lt;=28,"Normal",TRUE,"Hot")</f>
        <v>Normal</v>
      </c>
      <c r="W561" t="str" cm="1">
        <f t="array" ref="W561">_xlfn.IFS(smart_dataset[[#This Row],[Asset_Utilization]]&lt;=75,"Low",smart_dataset[[#This Row],[Asset_Utilization]]&lt;=90,"Medium",TRUE,"High")</f>
        <v>Medium</v>
      </c>
    </row>
    <row r="562" spans="1:23" hidden="1" x14ac:dyDescent="0.25">
      <c r="A562" s="1">
        <v>45552.747557870367</v>
      </c>
      <c r="B562" s="1">
        <f>INT(smart_dataset[[#This Row],[Timestamp]])</f>
        <v>45552</v>
      </c>
      <c r="C562" s="1">
        <f>MOD(smart_dataset[[#This Row],[Timestamp]],1)</f>
        <v>0.74755787036701804</v>
      </c>
      <c r="D562" s="1">
        <f>YEAR(smart_dataset[[#This Row],[Date]])</f>
        <v>2024</v>
      </c>
      <c r="E562" s="1">
        <f>MONTH(smart_dataset[[#This Row],[Timestamp]])</f>
        <v>9</v>
      </c>
      <c r="F562" t="s">
        <v>30</v>
      </c>
      <c r="G562">
        <v>8.0303000000000004</v>
      </c>
      <c r="H562">
        <v>137.60730000000001</v>
      </c>
      <c r="I562">
        <v>228</v>
      </c>
      <c r="J562" t="s">
        <v>26</v>
      </c>
      <c r="K562">
        <v>18.3</v>
      </c>
      <c r="L562">
        <v>52.3</v>
      </c>
      <c r="M562" t="s">
        <v>28</v>
      </c>
      <c r="N562">
        <v>57</v>
      </c>
      <c r="O562">
        <v>350</v>
      </c>
      <c r="P562">
        <v>3</v>
      </c>
      <c r="Q562" t="s">
        <v>27</v>
      </c>
      <c r="R562">
        <v>76.5</v>
      </c>
      <c r="S562">
        <v>285</v>
      </c>
      <c r="T562">
        <v>0</v>
      </c>
      <c r="U562" t="str" cm="1">
        <f t="array" ref="U562">_xlfn.IFS(smart_dataset[[#This Row],[Waiting_Time]]&lt;=20,"Low",smart_dataset[[#This Row],[Waiting_Time]]&lt;=40,"Medium",TRUE,"High")</f>
        <v>High</v>
      </c>
      <c r="V562" t="str" cm="1">
        <f t="array" ref="V562">_xlfn.IFS(smart_dataset[[#This Row],[Temperature]]&lt;=20,"Cold",smart_dataset[[#This Row],[Temperature]]&lt;=28,"Normal",TRUE,"Hot")</f>
        <v>Cold</v>
      </c>
      <c r="W562" t="str" cm="1">
        <f t="array" ref="W562">_xlfn.IFS(smart_dataset[[#This Row],[Asset_Utilization]]&lt;=75,"Low",smart_dataset[[#This Row],[Asset_Utilization]]&lt;=90,"Medium",TRUE,"High")</f>
        <v>Medium</v>
      </c>
    </row>
    <row r="563" spans="1:23" hidden="1" x14ac:dyDescent="0.25">
      <c r="A563" s="1">
        <v>45655.717881944445</v>
      </c>
      <c r="B563" s="1">
        <f>INT(smart_dataset[[#This Row],[Timestamp]])</f>
        <v>45655</v>
      </c>
      <c r="C563" s="1">
        <f>MOD(smart_dataset[[#This Row],[Timestamp]],1)</f>
        <v>0.71788194444525288</v>
      </c>
      <c r="D563" s="1">
        <f>YEAR(smart_dataset[[#This Row],[Date]])</f>
        <v>2024</v>
      </c>
      <c r="E563" s="1">
        <f>MONTH(smart_dataset[[#This Row],[Timestamp]])</f>
        <v>12</v>
      </c>
      <c r="F563" t="s">
        <v>20</v>
      </c>
      <c r="G563">
        <v>-58.6706</v>
      </c>
      <c r="H563">
        <v>162.76990000000001</v>
      </c>
      <c r="I563">
        <v>437</v>
      </c>
      <c r="J563" t="s">
        <v>21</v>
      </c>
      <c r="K563">
        <v>20.9</v>
      </c>
      <c r="L563">
        <v>55.2</v>
      </c>
      <c r="M563" t="s">
        <v>28</v>
      </c>
      <c r="N563">
        <v>44</v>
      </c>
      <c r="O563">
        <v>336</v>
      </c>
      <c r="P563">
        <v>7</v>
      </c>
      <c r="Q563" t="s">
        <v>23</v>
      </c>
      <c r="R563">
        <v>88.6</v>
      </c>
      <c r="S563">
        <v>118</v>
      </c>
      <c r="T563">
        <v>0</v>
      </c>
      <c r="U563" t="str" cm="1">
        <f t="array" ref="U563">_xlfn.IFS(smart_dataset[[#This Row],[Waiting_Time]]&lt;=20,"Low",smart_dataset[[#This Row],[Waiting_Time]]&lt;=40,"Medium",TRUE,"High")</f>
        <v>High</v>
      </c>
      <c r="V563" t="str" cm="1">
        <f t="array" ref="V563">_xlfn.IFS(smart_dataset[[#This Row],[Temperature]]&lt;=20,"Cold",smart_dataset[[#This Row],[Temperature]]&lt;=28,"Normal",TRUE,"Hot")</f>
        <v>Normal</v>
      </c>
      <c r="W563" t="str" cm="1">
        <f t="array" ref="W563">_xlfn.IFS(smart_dataset[[#This Row],[Asset_Utilization]]&lt;=75,"Low",smart_dataset[[#This Row],[Asset_Utilization]]&lt;=90,"Medium",TRUE,"High")</f>
        <v>Medium</v>
      </c>
    </row>
    <row r="564" spans="1:23" x14ac:dyDescent="0.25">
      <c r="A564" s="1">
        <v>45626.703831018516</v>
      </c>
      <c r="B564" s="1">
        <f>INT(smart_dataset[[#This Row],[Timestamp]])</f>
        <v>45626</v>
      </c>
      <c r="C564" s="7">
        <f>MOD(smart_dataset[[#This Row],[Timestamp]],1)</f>
        <v>0.70383101851621177</v>
      </c>
      <c r="D564">
        <f>YEAR(smart_dataset[[#This Row],[Date]])</f>
        <v>2024</v>
      </c>
      <c r="E564">
        <f>MONTH(smart_dataset[[#This Row],[Timestamp]])</f>
        <v>11</v>
      </c>
      <c r="F564" t="s">
        <v>24</v>
      </c>
      <c r="G564">
        <v>63.609200000000001</v>
      </c>
      <c r="H564">
        <v>-40.485199999999999</v>
      </c>
      <c r="I564">
        <v>295</v>
      </c>
      <c r="J564" t="s">
        <v>17</v>
      </c>
      <c r="K564">
        <v>20.3</v>
      </c>
      <c r="L564">
        <v>68.599999999999994</v>
      </c>
      <c r="M564" t="s">
        <v>18</v>
      </c>
      <c r="N564">
        <v>29</v>
      </c>
      <c r="O564">
        <v>249</v>
      </c>
      <c r="P564">
        <v>6</v>
      </c>
      <c r="Q564" t="s">
        <v>19</v>
      </c>
      <c r="R564">
        <v>63.2</v>
      </c>
      <c r="S564">
        <v>295</v>
      </c>
      <c r="T564">
        <v>1</v>
      </c>
      <c r="U564" t="str" cm="1">
        <f t="array" ref="U564">_xlfn.IFS(smart_dataset[[#This Row],[Waiting_Time]]&lt;=20,"Low",smart_dataset[[#This Row],[Waiting_Time]]&lt;=40,"Medium",TRUE,"High")</f>
        <v>Medium</v>
      </c>
      <c r="V564" t="str" cm="1">
        <f t="array" ref="V564">_xlfn.IFS(smart_dataset[[#This Row],[Temperature]]&lt;=20,"Cold",smart_dataset[[#This Row],[Temperature]]&lt;=28,"Normal",TRUE,"Hot")</f>
        <v>Normal</v>
      </c>
      <c r="W564" t="str" cm="1">
        <f t="array" ref="W564">_xlfn.IFS(smart_dataset[[#This Row],[Asset_Utilization]]&lt;=75,"Low",smart_dataset[[#This Row],[Asset_Utilization]]&lt;=90,"Medium",TRUE,"High")</f>
        <v>Low</v>
      </c>
    </row>
    <row r="565" spans="1:23" hidden="1" x14ac:dyDescent="0.25">
      <c r="A565" s="1">
        <v>45585.496006944442</v>
      </c>
      <c r="B565" s="1">
        <f>INT(smart_dataset[[#This Row],[Timestamp]])</f>
        <v>45585</v>
      </c>
      <c r="C565" s="1">
        <f>MOD(smart_dataset[[#This Row],[Timestamp]],1)</f>
        <v>0.4960069444423425</v>
      </c>
      <c r="D565" s="1">
        <f>YEAR(smart_dataset[[#This Row],[Date]])</f>
        <v>2024</v>
      </c>
      <c r="E565" s="1">
        <f>MONTH(smart_dataset[[#This Row],[Timestamp]])</f>
        <v>10</v>
      </c>
      <c r="F565" t="s">
        <v>33</v>
      </c>
      <c r="G565">
        <v>69.9178</v>
      </c>
      <c r="H565">
        <v>-25.7593</v>
      </c>
      <c r="I565">
        <v>365</v>
      </c>
      <c r="J565" t="s">
        <v>21</v>
      </c>
      <c r="K565">
        <v>30</v>
      </c>
      <c r="L565">
        <v>60</v>
      </c>
      <c r="M565" t="s">
        <v>28</v>
      </c>
      <c r="N565">
        <v>18</v>
      </c>
      <c r="O565">
        <v>215</v>
      </c>
      <c r="P565">
        <v>5</v>
      </c>
      <c r="Q565" t="s">
        <v>27</v>
      </c>
      <c r="R565">
        <v>95.8</v>
      </c>
      <c r="S565">
        <v>201</v>
      </c>
      <c r="T565">
        <v>0</v>
      </c>
      <c r="U565" t="str" cm="1">
        <f t="array" ref="U565">_xlfn.IFS(smart_dataset[[#This Row],[Waiting_Time]]&lt;=20,"Low",smart_dataset[[#This Row],[Waiting_Time]]&lt;=40,"Medium",TRUE,"High")</f>
        <v>Low</v>
      </c>
      <c r="V565" t="str" cm="1">
        <f t="array" ref="V565">_xlfn.IFS(smart_dataset[[#This Row],[Temperature]]&lt;=20,"Cold",smart_dataset[[#This Row],[Temperature]]&lt;=28,"Normal",TRUE,"Hot")</f>
        <v>Hot</v>
      </c>
      <c r="W565" t="str" cm="1">
        <f t="array" ref="W565">_xlfn.IFS(smart_dataset[[#This Row],[Asset_Utilization]]&lt;=75,"Low",smart_dataset[[#This Row],[Asset_Utilization]]&lt;=90,"Medium",TRUE,"High")</f>
        <v>High</v>
      </c>
    </row>
    <row r="566" spans="1:23" hidden="1" x14ac:dyDescent="0.25">
      <c r="A566" s="1">
        <v>45451.700960648152</v>
      </c>
      <c r="B566" s="1">
        <f>INT(smart_dataset[[#This Row],[Timestamp]])</f>
        <v>45451</v>
      </c>
      <c r="C566" s="1">
        <f>MOD(smart_dataset[[#This Row],[Timestamp]],1)</f>
        <v>0.70096064815152204</v>
      </c>
      <c r="D566" s="1">
        <f>YEAR(smart_dataset[[#This Row],[Date]])</f>
        <v>2024</v>
      </c>
      <c r="E566" s="1">
        <f>MONTH(smart_dataset[[#This Row],[Timestamp]])</f>
        <v>6</v>
      </c>
      <c r="F566" t="s">
        <v>24</v>
      </c>
      <c r="G566">
        <v>27.388400000000001</v>
      </c>
      <c r="H566">
        <v>-85.693799999999996</v>
      </c>
      <c r="I566">
        <v>117</v>
      </c>
      <c r="J566" t="s">
        <v>17</v>
      </c>
      <c r="K566">
        <v>23.9</v>
      </c>
      <c r="L566">
        <v>64.3</v>
      </c>
      <c r="M566" t="s">
        <v>28</v>
      </c>
      <c r="N566">
        <v>16</v>
      </c>
      <c r="O566">
        <v>175</v>
      </c>
      <c r="P566">
        <v>8</v>
      </c>
      <c r="Q566" t="s">
        <v>31</v>
      </c>
      <c r="R566">
        <v>73.900000000000006</v>
      </c>
      <c r="S566">
        <v>270</v>
      </c>
      <c r="T566">
        <v>1</v>
      </c>
      <c r="U566" t="str" cm="1">
        <f t="array" ref="U566">_xlfn.IFS(smart_dataset[[#This Row],[Waiting_Time]]&lt;=20,"Low",smart_dataset[[#This Row],[Waiting_Time]]&lt;=40,"Medium",TRUE,"High")</f>
        <v>Low</v>
      </c>
      <c r="V566" t="str" cm="1">
        <f t="array" ref="V566">_xlfn.IFS(smart_dataset[[#This Row],[Temperature]]&lt;=20,"Cold",smart_dataset[[#This Row],[Temperature]]&lt;=28,"Normal",TRUE,"Hot")</f>
        <v>Normal</v>
      </c>
      <c r="W566" t="str" cm="1">
        <f t="array" ref="W566">_xlfn.IFS(smart_dataset[[#This Row],[Asset_Utilization]]&lt;=75,"Low",smart_dataset[[#This Row],[Asset_Utilization]]&lt;=90,"Medium",TRUE,"High")</f>
        <v>Low</v>
      </c>
    </row>
    <row r="567" spans="1:23" x14ac:dyDescent="0.25">
      <c r="A567" s="1">
        <v>45546.376400462963</v>
      </c>
      <c r="B567" s="1">
        <f>INT(smart_dataset[[#This Row],[Timestamp]])</f>
        <v>45546</v>
      </c>
      <c r="C567" s="7">
        <f>MOD(smart_dataset[[#This Row],[Timestamp]],1)</f>
        <v>0.37640046296291985</v>
      </c>
      <c r="D567">
        <f>YEAR(smart_dataset[[#This Row],[Date]])</f>
        <v>2024</v>
      </c>
      <c r="E567">
        <f>MONTH(smart_dataset[[#This Row],[Timestamp]])</f>
        <v>9</v>
      </c>
      <c r="F567" t="s">
        <v>20</v>
      </c>
      <c r="G567">
        <v>5.5362999999999998</v>
      </c>
      <c r="H567">
        <v>-6.3697999999999997</v>
      </c>
      <c r="I567">
        <v>202</v>
      </c>
      <c r="J567" t="s">
        <v>17</v>
      </c>
      <c r="K567">
        <v>25.9</v>
      </c>
      <c r="L567">
        <v>62.3</v>
      </c>
      <c r="M567" t="s">
        <v>22</v>
      </c>
      <c r="N567">
        <v>11</v>
      </c>
      <c r="O567">
        <v>249</v>
      </c>
      <c r="P567">
        <v>4</v>
      </c>
      <c r="Q567" t="s">
        <v>19</v>
      </c>
      <c r="R567">
        <v>98</v>
      </c>
      <c r="S567">
        <v>131</v>
      </c>
      <c r="T567">
        <v>1</v>
      </c>
      <c r="U567" t="str" cm="1">
        <f t="array" ref="U567">_xlfn.IFS(smart_dataset[[#This Row],[Waiting_Time]]&lt;=20,"Low",smart_dataset[[#This Row],[Waiting_Time]]&lt;=40,"Medium",TRUE,"High")</f>
        <v>Low</v>
      </c>
      <c r="V567" t="str" cm="1">
        <f t="array" ref="V567">_xlfn.IFS(smart_dataset[[#This Row],[Temperature]]&lt;=20,"Cold",smart_dataset[[#This Row],[Temperature]]&lt;=28,"Normal",TRUE,"Hot")</f>
        <v>Normal</v>
      </c>
      <c r="W567" t="str" cm="1">
        <f t="array" ref="W567">_xlfn.IFS(smart_dataset[[#This Row],[Asset_Utilization]]&lt;=75,"Low",smart_dataset[[#This Row],[Asset_Utilization]]&lt;=90,"Medium",TRUE,"High")</f>
        <v>High</v>
      </c>
    </row>
    <row r="568" spans="1:23" x14ac:dyDescent="0.25">
      <c r="A568" s="1">
        <v>45604.597037037034</v>
      </c>
      <c r="B568" s="1">
        <f>INT(smart_dataset[[#This Row],[Timestamp]])</f>
        <v>45604</v>
      </c>
      <c r="C568" s="7">
        <f>MOD(smart_dataset[[#This Row],[Timestamp]],1)</f>
        <v>0.59703703703416977</v>
      </c>
      <c r="D568">
        <f>YEAR(smart_dataset[[#This Row],[Date]])</f>
        <v>2024</v>
      </c>
      <c r="E568">
        <f>MONTH(smart_dataset[[#This Row],[Timestamp]])</f>
        <v>11</v>
      </c>
      <c r="F568" t="s">
        <v>24</v>
      </c>
      <c r="G568">
        <v>-47.917400000000001</v>
      </c>
      <c r="H568">
        <v>-44.467300000000002</v>
      </c>
      <c r="I568">
        <v>408</v>
      </c>
      <c r="J568" t="s">
        <v>17</v>
      </c>
      <c r="K568">
        <v>29.9</v>
      </c>
      <c r="L568">
        <v>58.9</v>
      </c>
      <c r="M568" t="s">
        <v>22</v>
      </c>
      <c r="N568">
        <v>25</v>
      </c>
      <c r="O568">
        <v>390</v>
      </c>
      <c r="P568">
        <v>8</v>
      </c>
      <c r="Q568" t="s">
        <v>19</v>
      </c>
      <c r="R568">
        <v>61.5</v>
      </c>
      <c r="S568">
        <v>117</v>
      </c>
      <c r="T568">
        <v>1</v>
      </c>
      <c r="U568" t="str" cm="1">
        <f t="array" ref="U568">_xlfn.IFS(smart_dataset[[#This Row],[Waiting_Time]]&lt;=20,"Low",smart_dataset[[#This Row],[Waiting_Time]]&lt;=40,"Medium",TRUE,"High")</f>
        <v>Medium</v>
      </c>
      <c r="V568" t="str" cm="1">
        <f t="array" ref="V568">_xlfn.IFS(smart_dataset[[#This Row],[Temperature]]&lt;=20,"Cold",smart_dataset[[#This Row],[Temperature]]&lt;=28,"Normal",TRUE,"Hot")</f>
        <v>Hot</v>
      </c>
      <c r="W568" t="str" cm="1">
        <f t="array" ref="W568">_xlfn.IFS(smart_dataset[[#This Row],[Asset_Utilization]]&lt;=75,"Low",smart_dataset[[#This Row],[Asset_Utilization]]&lt;=90,"Medium",TRUE,"High")</f>
        <v>Low</v>
      </c>
    </row>
    <row r="569" spans="1:23" x14ac:dyDescent="0.25">
      <c r="A569" s="1">
        <v>45458.600682870368</v>
      </c>
      <c r="B569" s="1">
        <f>INT(smart_dataset[[#This Row],[Timestamp]])</f>
        <v>45458</v>
      </c>
      <c r="C569" s="7">
        <f>MOD(smart_dataset[[#This Row],[Timestamp]],1)</f>
        <v>0.60068287036847323</v>
      </c>
      <c r="D569">
        <f>YEAR(smart_dataset[[#This Row],[Date]])</f>
        <v>2024</v>
      </c>
      <c r="E569">
        <f>MONTH(smart_dataset[[#This Row],[Timestamp]])</f>
        <v>6</v>
      </c>
      <c r="F569" t="s">
        <v>30</v>
      </c>
      <c r="G569">
        <v>-58.288400000000003</v>
      </c>
      <c r="H569">
        <v>-53.9833</v>
      </c>
      <c r="I569">
        <v>277</v>
      </c>
      <c r="J569" t="s">
        <v>21</v>
      </c>
      <c r="K569">
        <v>18.2</v>
      </c>
      <c r="L569">
        <v>75.099999999999994</v>
      </c>
      <c r="M569" t="s">
        <v>28</v>
      </c>
      <c r="N569">
        <v>60</v>
      </c>
      <c r="O569">
        <v>122</v>
      </c>
      <c r="P569">
        <v>10</v>
      </c>
      <c r="Q569" t="s">
        <v>19</v>
      </c>
      <c r="R569">
        <v>65</v>
      </c>
      <c r="S569">
        <v>147</v>
      </c>
      <c r="T569">
        <v>0</v>
      </c>
      <c r="U569" t="str" cm="1">
        <f t="array" ref="U569">_xlfn.IFS(smart_dataset[[#This Row],[Waiting_Time]]&lt;=20,"Low",smart_dataset[[#This Row],[Waiting_Time]]&lt;=40,"Medium",TRUE,"High")</f>
        <v>High</v>
      </c>
      <c r="V569" t="str" cm="1">
        <f t="array" ref="V569">_xlfn.IFS(smart_dataset[[#This Row],[Temperature]]&lt;=20,"Cold",smart_dataset[[#This Row],[Temperature]]&lt;=28,"Normal",TRUE,"Hot")</f>
        <v>Cold</v>
      </c>
      <c r="W569" t="str" cm="1">
        <f t="array" ref="W569">_xlfn.IFS(smart_dataset[[#This Row],[Asset_Utilization]]&lt;=75,"Low",smart_dataset[[#This Row],[Asset_Utilization]]&lt;=90,"Medium",TRUE,"High")</f>
        <v>Low</v>
      </c>
    </row>
    <row r="570" spans="1:23" hidden="1" x14ac:dyDescent="0.25">
      <c r="A570" s="1">
        <v>45428.077418981484</v>
      </c>
      <c r="B570" s="1">
        <f>INT(smart_dataset[[#This Row],[Timestamp]])</f>
        <v>45428</v>
      </c>
      <c r="C570" s="1">
        <f>MOD(smart_dataset[[#This Row],[Timestamp]],1)</f>
        <v>7.741898148378823E-2</v>
      </c>
      <c r="D570" s="1">
        <f>YEAR(smart_dataset[[#This Row],[Date]])</f>
        <v>2024</v>
      </c>
      <c r="E570" s="1">
        <f>MONTH(smart_dataset[[#This Row],[Timestamp]])</f>
        <v>5</v>
      </c>
      <c r="F570" t="s">
        <v>24</v>
      </c>
      <c r="G570">
        <v>44.471499999999999</v>
      </c>
      <c r="H570">
        <v>61.1203</v>
      </c>
      <c r="I570">
        <v>430</v>
      </c>
      <c r="J570" t="s">
        <v>17</v>
      </c>
      <c r="K570">
        <v>25</v>
      </c>
      <c r="L570">
        <v>53.4</v>
      </c>
      <c r="M570" t="s">
        <v>18</v>
      </c>
      <c r="N570">
        <v>30</v>
      </c>
      <c r="O570">
        <v>251</v>
      </c>
      <c r="P570">
        <v>4</v>
      </c>
      <c r="Q570" t="s">
        <v>31</v>
      </c>
      <c r="R570">
        <v>77.599999999999994</v>
      </c>
      <c r="S570">
        <v>119</v>
      </c>
      <c r="T570">
        <v>1</v>
      </c>
      <c r="U570" t="str" cm="1">
        <f t="array" ref="U570">_xlfn.IFS(smart_dataset[[#This Row],[Waiting_Time]]&lt;=20,"Low",smart_dataset[[#This Row],[Waiting_Time]]&lt;=40,"Medium",TRUE,"High")</f>
        <v>Medium</v>
      </c>
      <c r="V570" t="str" cm="1">
        <f t="array" ref="V570">_xlfn.IFS(smart_dataset[[#This Row],[Temperature]]&lt;=20,"Cold",smart_dataset[[#This Row],[Temperature]]&lt;=28,"Normal",TRUE,"Hot")</f>
        <v>Normal</v>
      </c>
      <c r="W570" t="str" cm="1">
        <f t="array" ref="W570">_xlfn.IFS(smart_dataset[[#This Row],[Asset_Utilization]]&lt;=75,"Low",smart_dataset[[#This Row],[Asset_Utilization]]&lt;=90,"Medium",TRUE,"High")</f>
        <v>Medium</v>
      </c>
    </row>
    <row r="571" spans="1:23" x14ac:dyDescent="0.25">
      <c r="A571" s="1">
        <v>45377.611493055556</v>
      </c>
      <c r="B571" s="1">
        <f>INT(smart_dataset[[#This Row],[Timestamp]])</f>
        <v>45377</v>
      </c>
      <c r="C571" s="7">
        <f>MOD(smart_dataset[[#This Row],[Timestamp]],1)</f>
        <v>0.61149305555591127</v>
      </c>
      <c r="D571">
        <f>YEAR(smart_dataset[[#This Row],[Date]])</f>
        <v>2024</v>
      </c>
      <c r="E571">
        <f>MONTH(smart_dataset[[#This Row],[Timestamp]])</f>
        <v>3</v>
      </c>
      <c r="F571" t="s">
        <v>16</v>
      </c>
      <c r="G571">
        <v>-73.573499999999996</v>
      </c>
      <c r="H571">
        <v>153.529</v>
      </c>
      <c r="I571">
        <v>451</v>
      </c>
      <c r="J571" t="s">
        <v>17</v>
      </c>
      <c r="K571">
        <v>21.3</v>
      </c>
      <c r="L571">
        <v>67.2</v>
      </c>
      <c r="M571" t="s">
        <v>18</v>
      </c>
      <c r="N571">
        <v>24</v>
      </c>
      <c r="O571">
        <v>187</v>
      </c>
      <c r="P571">
        <v>8</v>
      </c>
      <c r="Q571" t="s">
        <v>19</v>
      </c>
      <c r="R571">
        <v>69.3</v>
      </c>
      <c r="S571">
        <v>221</v>
      </c>
      <c r="T571">
        <v>1</v>
      </c>
      <c r="U571" t="str" cm="1">
        <f t="array" ref="U571">_xlfn.IFS(smart_dataset[[#This Row],[Waiting_Time]]&lt;=20,"Low",smart_dataset[[#This Row],[Waiting_Time]]&lt;=40,"Medium",TRUE,"High")</f>
        <v>Medium</v>
      </c>
      <c r="V571" t="str" cm="1">
        <f t="array" ref="V571">_xlfn.IFS(smart_dataset[[#This Row],[Temperature]]&lt;=20,"Cold",smart_dataset[[#This Row],[Temperature]]&lt;=28,"Normal",TRUE,"Hot")</f>
        <v>Normal</v>
      </c>
      <c r="W571" t="str" cm="1">
        <f t="array" ref="W571">_xlfn.IFS(smart_dataset[[#This Row],[Asset_Utilization]]&lt;=75,"Low",smart_dataset[[#This Row],[Asset_Utilization]]&lt;=90,"Medium",TRUE,"High")</f>
        <v>Low</v>
      </c>
    </row>
    <row r="572" spans="1:23" hidden="1" x14ac:dyDescent="0.25">
      <c r="A572" s="1">
        <v>45387.650682870371</v>
      </c>
      <c r="B572" s="1">
        <f>INT(smart_dataset[[#This Row],[Timestamp]])</f>
        <v>45387</v>
      </c>
      <c r="C572" s="1">
        <f>MOD(smart_dataset[[#This Row],[Timestamp]],1)</f>
        <v>0.65068287037138361</v>
      </c>
      <c r="D572" s="1">
        <f>YEAR(smart_dataset[[#This Row],[Date]])</f>
        <v>2024</v>
      </c>
      <c r="E572" s="1">
        <f>MONTH(smart_dataset[[#This Row],[Timestamp]])</f>
        <v>4</v>
      </c>
      <c r="F572" t="s">
        <v>32</v>
      </c>
      <c r="G572">
        <v>-39.396700000000003</v>
      </c>
      <c r="H572">
        <v>15.645200000000001</v>
      </c>
      <c r="I572">
        <v>421</v>
      </c>
      <c r="J572" t="s">
        <v>26</v>
      </c>
      <c r="K572">
        <v>26</v>
      </c>
      <c r="L572">
        <v>78.099999999999994</v>
      </c>
      <c r="M572" t="s">
        <v>22</v>
      </c>
      <c r="N572">
        <v>29</v>
      </c>
      <c r="O572">
        <v>379</v>
      </c>
      <c r="P572">
        <v>5</v>
      </c>
      <c r="Q572" t="s">
        <v>27</v>
      </c>
      <c r="R572">
        <v>81</v>
      </c>
      <c r="S572">
        <v>118</v>
      </c>
      <c r="T572">
        <v>1</v>
      </c>
      <c r="U572" t="str" cm="1">
        <f t="array" ref="U572">_xlfn.IFS(smart_dataset[[#This Row],[Waiting_Time]]&lt;=20,"Low",smart_dataset[[#This Row],[Waiting_Time]]&lt;=40,"Medium",TRUE,"High")</f>
        <v>Medium</v>
      </c>
      <c r="V572" t="str" cm="1">
        <f t="array" ref="V572">_xlfn.IFS(smart_dataset[[#This Row],[Temperature]]&lt;=20,"Cold",smart_dataset[[#This Row],[Temperature]]&lt;=28,"Normal",TRUE,"Hot")</f>
        <v>Normal</v>
      </c>
      <c r="W572" t="str" cm="1">
        <f t="array" ref="W572">_xlfn.IFS(smart_dataset[[#This Row],[Asset_Utilization]]&lt;=75,"Low",smart_dataset[[#This Row],[Asset_Utilization]]&lt;=90,"Medium",TRUE,"High")</f>
        <v>Medium</v>
      </c>
    </row>
    <row r="573" spans="1:23" hidden="1" x14ac:dyDescent="0.25">
      <c r="A573" s="1">
        <v>45609.166122685187</v>
      </c>
      <c r="B573" s="1">
        <f>INT(smart_dataset[[#This Row],[Timestamp]])</f>
        <v>45609</v>
      </c>
      <c r="C573" s="1">
        <f>MOD(smart_dataset[[#This Row],[Timestamp]],1)</f>
        <v>0.16612268518656492</v>
      </c>
      <c r="D573" s="1">
        <f>YEAR(smart_dataset[[#This Row],[Date]])</f>
        <v>2024</v>
      </c>
      <c r="E573" s="1">
        <f>MONTH(smart_dataset[[#This Row],[Timestamp]])</f>
        <v>11</v>
      </c>
      <c r="F573" t="s">
        <v>25</v>
      </c>
      <c r="G573">
        <v>-46.818300000000001</v>
      </c>
      <c r="H573">
        <v>81.914199999999994</v>
      </c>
      <c r="I573">
        <v>175</v>
      </c>
      <c r="J573" t="s">
        <v>21</v>
      </c>
      <c r="K573">
        <v>29.6</v>
      </c>
      <c r="L573">
        <v>66</v>
      </c>
      <c r="M573" t="s">
        <v>28</v>
      </c>
      <c r="N573">
        <v>34</v>
      </c>
      <c r="O573">
        <v>467</v>
      </c>
      <c r="P573">
        <v>9</v>
      </c>
      <c r="Q573" t="s">
        <v>23</v>
      </c>
      <c r="R573">
        <v>98.3</v>
      </c>
      <c r="S573">
        <v>220</v>
      </c>
      <c r="T573">
        <v>0</v>
      </c>
      <c r="U573" t="str" cm="1">
        <f t="array" ref="U573">_xlfn.IFS(smart_dataset[[#This Row],[Waiting_Time]]&lt;=20,"Low",smart_dataset[[#This Row],[Waiting_Time]]&lt;=40,"Medium",TRUE,"High")</f>
        <v>Medium</v>
      </c>
      <c r="V573" t="str" cm="1">
        <f t="array" ref="V573">_xlfn.IFS(smart_dataset[[#This Row],[Temperature]]&lt;=20,"Cold",smart_dataset[[#This Row],[Temperature]]&lt;=28,"Normal",TRUE,"Hot")</f>
        <v>Hot</v>
      </c>
      <c r="W573" t="str" cm="1">
        <f t="array" ref="W573">_xlfn.IFS(smart_dataset[[#This Row],[Asset_Utilization]]&lt;=75,"Low",smart_dataset[[#This Row],[Asset_Utilization]]&lt;=90,"Medium",TRUE,"High")</f>
        <v>High</v>
      </c>
    </row>
    <row r="574" spans="1:23" hidden="1" x14ac:dyDescent="0.25">
      <c r="A574" s="1">
        <v>45456.047592592593</v>
      </c>
      <c r="B574" s="1">
        <f>INT(smart_dataset[[#This Row],[Timestamp]])</f>
        <v>45456</v>
      </c>
      <c r="C574" s="1">
        <f>MOD(smart_dataset[[#This Row],[Timestamp]],1)</f>
        <v>4.7592592592991423E-2</v>
      </c>
      <c r="D574" s="1">
        <f>YEAR(smart_dataset[[#This Row],[Date]])</f>
        <v>2024</v>
      </c>
      <c r="E574" s="1">
        <f>MONTH(smart_dataset[[#This Row],[Timestamp]])</f>
        <v>6</v>
      </c>
      <c r="F574" t="s">
        <v>30</v>
      </c>
      <c r="G574">
        <v>57.329900000000002</v>
      </c>
      <c r="H574">
        <v>-54.796199999999999</v>
      </c>
      <c r="I574">
        <v>357</v>
      </c>
      <c r="J574" t="s">
        <v>21</v>
      </c>
      <c r="K574">
        <v>27.4</v>
      </c>
      <c r="L574">
        <v>55.5</v>
      </c>
      <c r="M574" t="s">
        <v>18</v>
      </c>
      <c r="N574">
        <v>43</v>
      </c>
      <c r="O574">
        <v>207</v>
      </c>
      <c r="P574">
        <v>2</v>
      </c>
      <c r="Q574" t="s">
        <v>23</v>
      </c>
      <c r="R574">
        <v>60.5</v>
      </c>
      <c r="S574">
        <v>111</v>
      </c>
      <c r="T574">
        <v>0</v>
      </c>
      <c r="U574" t="str" cm="1">
        <f t="array" ref="U574">_xlfn.IFS(smart_dataset[[#This Row],[Waiting_Time]]&lt;=20,"Low",smart_dataset[[#This Row],[Waiting_Time]]&lt;=40,"Medium",TRUE,"High")</f>
        <v>High</v>
      </c>
      <c r="V574" t="str" cm="1">
        <f t="array" ref="V574">_xlfn.IFS(smart_dataset[[#This Row],[Temperature]]&lt;=20,"Cold",smart_dataset[[#This Row],[Temperature]]&lt;=28,"Normal",TRUE,"Hot")</f>
        <v>Normal</v>
      </c>
      <c r="W574" t="str" cm="1">
        <f t="array" ref="W574">_xlfn.IFS(smart_dataset[[#This Row],[Asset_Utilization]]&lt;=75,"Low",smart_dataset[[#This Row],[Asset_Utilization]]&lt;=90,"Medium",TRUE,"High")</f>
        <v>Low</v>
      </c>
    </row>
    <row r="575" spans="1:23" hidden="1" x14ac:dyDescent="0.25">
      <c r="A575" s="1">
        <v>45312.377789351849</v>
      </c>
      <c r="B575" s="1">
        <f>INT(smart_dataset[[#This Row],[Timestamp]])</f>
        <v>45312</v>
      </c>
      <c r="C575" s="1">
        <f>MOD(smart_dataset[[#This Row],[Timestamp]],1)</f>
        <v>0.37778935184906004</v>
      </c>
      <c r="D575" s="1">
        <f>YEAR(smart_dataset[[#This Row],[Date]])</f>
        <v>2024</v>
      </c>
      <c r="E575" s="1">
        <f>MONTH(smart_dataset[[#This Row],[Timestamp]])</f>
        <v>1</v>
      </c>
      <c r="F575" t="s">
        <v>25</v>
      </c>
      <c r="G575">
        <v>86.1935</v>
      </c>
      <c r="H575">
        <v>59.498699999999999</v>
      </c>
      <c r="I575">
        <v>419</v>
      </c>
      <c r="J575" t="s">
        <v>26</v>
      </c>
      <c r="K575">
        <v>26.5</v>
      </c>
      <c r="L575">
        <v>56.2</v>
      </c>
      <c r="M575" t="s">
        <v>18</v>
      </c>
      <c r="N575">
        <v>15</v>
      </c>
      <c r="O575">
        <v>277</v>
      </c>
      <c r="P575">
        <v>2</v>
      </c>
      <c r="Q575" t="s">
        <v>23</v>
      </c>
      <c r="R575">
        <v>68.3</v>
      </c>
      <c r="S575">
        <v>280</v>
      </c>
      <c r="T575">
        <v>0</v>
      </c>
      <c r="U575" t="str" cm="1">
        <f t="array" ref="U575">_xlfn.IFS(smart_dataset[[#This Row],[Waiting_Time]]&lt;=20,"Low",smart_dataset[[#This Row],[Waiting_Time]]&lt;=40,"Medium",TRUE,"High")</f>
        <v>Low</v>
      </c>
      <c r="V575" t="str" cm="1">
        <f t="array" ref="V575">_xlfn.IFS(smart_dataset[[#This Row],[Temperature]]&lt;=20,"Cold",smart_dataset[[#This Row],[Temperature]]&lt;=28,"Normal",TRUE,"Hot")</f>
        <v>Normal</v>
      </c>
      <c r="W575" t="str" cm="1">
        <f t="array" ref="W575">_xlfn.IFS(smart_dataset[[#This Row],[Asset_Utilization]]&lt;=75,"Low",smart_dataset[[#This Row],[Asset_Utilization]]&lt;=90,"Medium",TRUE,"High")</f>
        <v>Low</v>
      </c>
    </row>
    <row r="576" spans="1:23" hidden="1" x14ac:dyDescent="0.25">
      <c r="A576" s="1">
        <v>45570.599664351852</v>
      </c>
      <c r="B576" s="1">
        <f>INT(smart_dataset[[#This Row],[Timestamp]])</f>
        <v>45570</v>
      </c>
      <c r="C576" s="1">
        <f>MOD(smart_dataset[[#This Row],[Timestamp]],1)</f>
        <v>0.59966435185197042</v>
      </c>
      <c r="D576" s="1">
        <f>YEAR(smart_dataset[[#This Row],[Date]])</f>
        <v>2024</v>
      </c>
      <c r="E576" s="1">
        <f>MONTH(smart_dataset[[#This Row],[Timestamp]])</f>
        <v>10</v>
      </c>
      <c r="F576" t="s">
        <v>16</v>
      </c>
      <c r="G576">
        <v>59.854300000000002</v>
      </c>
      <c r="H576">
        <v>-132.38650000000001</v>
      </c>
      <c r="I576">
        <v>455</v>
      </c>
      <c r="J576" t="s">
        <v>26</v>
      </c>
      <c r="K576">
        <v>19.8</v>
      </c>
      <c r="L576">
        <v>67.599999999999994</v>
      </c>
      <c r="M576" t="s">
        <v>28</v>
      </c>
      <c r="N576">
        <v>22</v>
      </c>
      <c r="O576">
        <v>301</v>
      </c>
      <c r="P576">
        <v>3</v>
      </c>
      <c r="Q576" t="s">
        <v>27</v>
      </c>
      <c r="R576">
        <v>68.2</v>
      </c>
      <c r="S576">
        <v>254</v>
      </c>
      <c r="T576">
        <v>0</v>
      </c>
      <c r="U576" t="str" cm="1">
        <f t="array" ref="U576">_xlfn.IFS(smart_dataset[[#This Row],[Waiting_Time]]&lt;=20,"Low",smart_dataset[[#This Row],[Waiting_Time]]&lt;=40,"Medium",TRUE,"High")</f>
        <v>Medium</v>
      </c>
      <c r="V576" t="str" cm="1">
        <f t="array" ref="V576">_xlfn.IFS(smart_dataset[[#This Row],[Temperature]]&lt;=20,"Cold",smart_dataset[[#This Row],[Temperature]]&lt;=28,"Normal",TRUE,"Hot")</f>
        <v>Cold</v>
      </c>
      <c r="W576" t="str" cm="1">
        <f t="array" ref="W576">_xlfn.IFS(smart_dataset[[#This Row],[Asset_Utilization]]&lt;=75,"Low",smart_dataset[[#This Row],[Asset_Utilization]]&lt;=90,"Medium",TRUE,"High")</f>
        <v>Low</v>
      </c>
    </row>
    <row r="577" spans="1:23" hidden="1" x14ac:dyDescent="0.25">
      <c r="A577" s="1">
        <v>45403.309675925928</v>
      </c>
      <c r="B577" s="1">
        <f>INT(smart_dataset[[#This Row],[Timestamp]])</f>
        <v>45403</v>
      </c>
      <c r="C577" s="1">
        <f>MOD(smart_dataset[[#This Row],[Timestamp]],1)</f>
        <v>0.30967592592787696</v>
      </c>
      <c r="D577" s="1">
        <f>YEAR(smart_dataset[[#This Row],[Date]])</f>
        <v>2024</v>
      </c>
      <c r="E577" s="1">
        <f>MONTH(smart_dataset[[#This Row],[Timestamp]])</f>
        <v>4</v>
      </c>
      <c r="F577" t="s">
        <v>30</v>
      </c>
      <c r="G577">
        <v>-41.790799999999997</v>
      </c>
      <c r="H577">
        <v>84.200100000000006</v>
      </c>
      <c r="I577">
        <v>438</v>
      </c>
      <c r="J577" t="s">
        <v>17</v>
      </c>
      <c r="K577">
        <v>24.3</v>
      </c>
      <c r="L577">
        <v>78.8</v>
      </c>
      <c r="M577" t="s">
        <v>18</v>
      </c>
      <c r="N577">
        <v>33</v>
      </c>
      <c r="O577">
        <v>322</v>
      </c>
      <c r="P577">
        <v>7</v>
      </c>
      <c r="Q577" t="s">
        <v>23</v>
      </c>
      <c r="R577">
        <v>79</v>
      </c>
      <c r="S577">
        <v>206</v>
      </c>
      <c r="T577">
        <v>1</v>
      </c>
      <c r="U577" t="str" cm="1">
        <f t="array" ref="U577">_xlfn.IFS(smart_dataset[[#This Row],[Waiting_Time]]&lt;=20,"Low",smart_dataset[[#This Row],[Waiting_Time]]&lt;=40,"Medium",TRUE,"High")</f>
        <v>Medium</v>
      </c>
      <c r="V577" t="str" cm="1">
        <f t="array" ref="V577">_xlfn.IFS(smart_dataset[[#This Row],[Temperature]]&lt;=20,"Cold",smart_dataset[[#This Row],[Temperature]]&lt;=28,"Normal",TRUE,"Hot")</f>
        <v>Normal</v>
      </c>
      <c r="W577" t="str" cm="1">
        <f t="array" ref="W577">_xlfn.IFS(smart_dataset[[#This Row],[Asset_Utilization]]&lt;=75,"Low",smart_dataset[[#This Row],[Asset_Utilization]]&lt;=90,"Medium",TRUE,"High")</f>
        <v>Medium</v>
      </c>
    </row>
    <row r="578" spans="1:23" hidden="1" x14ac:dyDescent="0.25">
      <c r="A578" s="1">
        <v>45406.935740740744</v>
      </c>
      <c r="B578" s="1">
        <f>INT(smart_dataset[[#This Row],[Timestamp]])</f>
        <v>45406</v>
      </c>
      <c r="C578" s="1">
        <f>MOD(smart_dataset[[#This Row],[Timestamp]],1)</f>
        <v>0.93574074074422242</v>
      </c>
      <c r="D578" s="1">
        <f>YEAR(smart_dataset[[#This Row],[Date]])</f>
        <v>2024</v>
      </c>
      <c r="E578" s="1">
        <f>MONTH(smart_dataset[[#This Row],[Timestamp]])</f>
        <v>4</v>
      </c>
      <c r="F578" t="s">
        <v>20</v>
      </c>
      <c r="G578">
        <v>-3.7401</v>
      </c>
      <c r="H578">
        <v>43.269300000000001</v>
      </c>
      <c r="I578">
        <v>497</v>
      </c>
      <c r="J578" t="s">
        <v>21</v>
      </c>
      <c r="K578">
        <v>28.2</v>
      </c>
      <c r="L578">
        <v>68.2</v>
      </c>
      <c r="M578" t="s">
        <v>18</v>
      </c>
      <c r="N578">
        <v>47</v>
      </c>
      <c r="O578">
        <v>184</v>
      </c>
      <c r="P578">
        <v>6</v>
      </c>
      <c r="Q578" t="s">
        <v>27</v>
      </c>
      <c r="R578">
        <v>63.8</v>
      </c>
      <c r="S578">
        <v>251</v>
      </c>
      <c r="T578">
        <v>0</v>
      </c>
      <c r="U578" t="str" cm="1">
        <f t="array" ref="U578">_xlfn.IFS(smart_dataset[[#This Row],[Waiting_Time]]&lt;=20,"Low",smart_dataset[[#This Row],[Waiting_Time]]&lt;=40,"Medium",TRUE,"High")</f>
        <v>High</v>
      </c>
      <c r="V578" t="str" cm="1">
        <f t="array" ref="V578">_xlfn.IFS(smart_dataset[[#This Row],[Temperature]]&lt;=20,"Cold",smart_dataset[[#This Row],[Temperature]]&lt;=28,"Normal",TRUE,"Hot")</f>
        <v>Hot</v>
      </c>
      <c r="W578" t="str" cm="1">
        <f t="array" ref="W578">_xlfn.IFS(smart_dataset[[#This Row],[Asset_Utilization]]&lt;=75,"Low",smart_dataset[[#This Row],[Asset_Utilization]]&lt;=90,"Medium",TRUE,"High")</f>
        <v>Low</v>
      </c>
    </row>
    <row r="579" spans="1:23" hidden="1" x14ac:dyDescent="0.25">
      <c r="A579" s="1">
        <v>45332.292662037034</v>
      </c>
      <c r="B579" s="1">
        <f>INT(smart_dataset[[#This Row],[Timestamp]])</f>
        <v>45332</v>
      </c>
      <c r="C579" s="1">
        <f>MOD(smart_dataset[[#This Row],[Timestamp]],1)</f>
        <v>0.29266203703446081</v>
      </c>
      <c r="D579" s="1">
        <f>YEAR(smart_dataset[[#This Row],[Date]])</f>
        <v>2024</v>
      </c>
      <c r="E579" s="1">
        <f>MONTH(smart_dataset[[#This Row],[Timestamp]])</f>
        <v>2</v>
      </c>
      <c r="F579" t="s">
        <v>32</v>
      </c>
      <c r="G579">
        <v>-27.019600000000001</v>
      </c>
      <c r="H579">
        <v>-24.081</v>
      </c>
      <c r="I579">
        <v>410</v>
      </c>
      <c r="J579" t="s">
        <v>21</v>
      </c>
      <c r="K579">
        <v>29.8</v>
      </c>
      <c r="L579">
        <v>76.2</v>
      </c>
      <c r="M579" t="s">
        <v>18</v>
      </c>
      <c r="N579">
        <v>52</v>
      </c>
      <c r="O579">
        <v>152</v>
      </c>
      <c r="P579">
        <v>2</v>
      </c>
      <c r="Q579" t="s">
        <v>31</v>
      </c>
      <c r="R579">
        <v>76.599999999999994</v>
      </c>
      <c r="S579">
        <v>149</v>
      </c>
      <c r="T579">
        <v>0</v>
      </c>
      <c r="U579" t="str" cm="1">
        <f t="array" ref="U579">_xlfn.IFS(smart_dataset[[#This Row],[Waiting_Time]]&lt;=20,"Low",smart_dataset[[#This Row],[Waiting_Time]]&lt;=40,"Medium",TRUE,"High")</f>
        <v>High</v>
      </c>
      <c r="V579" t="str" cm="1">
        <f t="array" ref="V579">_xlfn.IFS(smart_dataset[[#This Row],[Temperature]]&lt;=20,"Cold",smart_dataset[[#This Row],[Temperature]]&lt;=28,"Normal",TRUE,"Hot")</f>
        <v>Hot</v>
      </c>
      <c r="W579" t="str" cm="1">
        <f t="array" ref="W579">_xlfn.IFS(smart_dataset[[#This Row],[Asset_Utilization]]&lt;=75,"Low",smart_dataset[[#This Row],[Asset_Utilization]]&lt;=90,"Medium",TRUE,"High")</f>
        <v>Medium</v>
      </c>
    </row>
    <row r="580" spans="1:23" hidden="1" x14ac:dyDescent="0.25">
      <c r="A580" s="1">
        <v>45561.707731481481</v>
      </c>
      <c r="B580" s="1">
        <f>INT(smart_dataset[[#This Row],[Timestamp]])</f>
        <v>45561</v>
      </c>
      <c r="C580" s="1">
        <f>MOD(smart_dataset[[#This Row],[Timestamp]],1)</f>
        <v>0.70773148148145992</v>
      </c>
      <c r="D580" s="1">
        <f>YEAR(smart_dataset[[#This Row],[Date]])</f>
        <v>2024</v>
      </c>
      <c r="E580" s="1">
        <f>MONTH(smart_dataset[[#This Row],[Timestamp]])</f>
        <v>9</v>
      </c>
      <c r="F580" t="s">
        <v>16</v>
      </c>
      <c r="G580">
        <v>-53.710700000000003</v>
      </c>
      <c r="H580">
        <v>-60.595100000000002</v>
      </c>
      <c r="I580">
        <v>306</v>
      </c>
      <c r="J580" t="s">
        <v>26</v>
      </c>
      <c r="K580">
        <v>21.5</v>
      </c>
      <c r="L580">
        <v>78.5</v>
      </c>
      <c r="M580" t="s">
        <v>28</v>
      </c>
      <c r="N580">
        <v>48</v>
      </c>
      <c r="O580">
        <v>317</v>
      </c>
      <c r="P580">
        <v>7</v>
      </c>
      <c r="Q580" t="s">
        <v>23</v>
      </c>
      <c r="R580">
        <v>92.8</v>
      </c>
      <c r="S580">
        <v>231</v>
      </c>
      <c r="T580">
        <v>0</v>
      </c>
      <c r="U580" t="str" cm="1">
        <f t="array" ref="U580">_xlfn.IFS(smart_dataset[[#This Row],[Waiting_Time]]&lt;=20,"Low",smart_dataset[[#This Row],[Waiting_Time]]&lt;=40,"Medium",TRUE,"High")</f>
        <v>High</v>
      </c>
      <c r="V580" t="str" cm="1">
        <f t="array" ref="V580">_xlfn.IFS(smart_dataset[[#This Row],[Temperature]]&lt;=20,"Cold",smart_dataset[[#This Row],[Temperature]]&lt;=28,"Normal",TRUE,"Hot")</f>
        <v>Normal</v>
      </c>
      <c r="W580" t="str" cm="1">
        <f t="array" ref="W580">_xlfn.IFS(smart_dataset[[#This Row],[Asset_Utilization]]&lt;=75,"Low",smart_dataset[[#This Row],[Asset_Utilization]]&lt;=90,"Medium",TRUE,"High")</f>
        <v>High</v>
      </c>
    </row>
    <row r="581" spans="1:23" hidden="1" x14ac:dyDescent="0.25">
      <c r="A581" s="1">
        <v>45513.599444444444</v>
      </c>
      <c r="B581" s="1">
        <f>INT(smart_dataset[[#This Row],[Timestamp]])</f>
        <v>45513</v>
      </c>
      <c r="C581" s="1">
        <f>MOD(smart_dataset[[#This Row],[Timestamp]],1)</f>
        <v>0.59944444444408873</v>
      </c>
      <c r="D581" s="1">
        <f>YEAR(smart_dataset[[#This Row],[Date]])</f>
        <v>2024</v>
      </c>
      <c r="E581" s="1">
        <f>MONTH(smart_dataset[[#This Row],[Timestamp]])</f>
        <v>8</v>
      </c>
      <c r="F581" t="s">
        <v>33</v>
      </c>
      <c r="G581">
        <v>65.986599999999996</v>
      </c>
      <c r="H581">
        <v>135.5421</v>
      </c>
      <c r="I581">
        <v>209</v>
      </c>
      <c r="J581" t="s">
        <v>17</v>
      </c>
      <c r="K581">
        <v>18.600000000000001</v>
      </c>
      <c r="L581">
        <v>69.599999999999994</v>
      </c>
      <c r="M581" t="s">
        <v>22</v>
      </c>
      <c r="N581">
        <v>50</v>
      </c>
      <c r="O581">
        <v>357</v>
      </c>
      <c r="P581">
        <v>10</v>
      </c>
      <c r="Q581" t="s">
        <v>27</v>
      </c>
      <c r="R581">
        <v>92.9</v>
      </c>
      <c r="S581">
        <v>125</v>
      </c>
      <c r="T581">
        <v>1</v>
      </c>
      <c r="U581" t="str" cm="1">
        <f t="array" ref="U581">_xlfn.IFS(smart_dataset[[#This Row],[Waiting_Time]]&lt;=20,"Low",smart_dataset[[#This Row],[Waiting_Time]]&lt;=40,"Medium",TRUE,"High")</f>
        <v>High</v>
      </c>
      <c r="V581" t="str" cm="1">
        <f t="array" ref="V581">_xlfn.IFS(smart_dataset[[#This Row],[Temperature]]&lt;=20,"Cold",smart_dataset[[#This Row],[Temperature]]&lt;=28,"Normal",TRUE,"Hot")</f>
        <v>Cold</v>
      </c>
      <c r="W581" t="str" cm="1">
        <f t="array" ref="W581">_xlfn.IFS(smart_dataset[[#This Row],[Asset_Utilization]]&lt;=75,"Low",smart_dataset[[#This Row],[Asset_Utilization]]&lt;=90,"Medium",TRUE,"High")</f>
        <v>High</v>
      </c>
    </row>
    <row r="582" spans="1:23" hidden="1" x14ac:dyDescent="0.25">
      <c r="A582" s="1">
        <v>45296.87976851852</v>
      </c>
      <c r="B582" s="1">
        <f>INT(smart_dataset[[#This Row],[Timestamp]])</f>
        <v>45296</v>
      </c>
      <c r="C582" s="1">
        <f>MOD(smart_dataset[[#This Row],[Timestamp]],1)</f>
        <v>0.87976851851999527</v>
      </c>
      <c r="D582" s="1">
        <f>YEAR(smart_dataset[[#This Row],[Date]])</f>
        <v>2024</v>
      </c>
      <c r="E582" s="1">
        <f>MONTH(smart_dataset[[#This Row],[Timestamp]])</f>
        <v>1</v>
      </c>
      <c r="F582" t="s">
        <v>29</v>
      </c>
      <c r="G582">
        <v>-77.813299999999998</v>
      </c>
      <c r="H582">
        <v>-89.117900000000006</v>
      </c>
      <c r="I582">
        <v>155</v>
      </c>
      <c r="J582" t="s">
        <v>17</v>
      </c>
      <c r="K582">
        <v>30</v>
      </c>
      <c r="L582">
        <v>64.5</v>
      </c>
      <c r="M582" t="s">
        <v>18</v>
      </c>
      <c r="N582">
        <v>33</v>
      </c>
      <c r="O582">
        <v>342</v>
      </c>
      <c r="P582">
        <v>6</v>
      </c>
      <c r="Q582" t="s">
        <v>23</v>
      </c>
      <c r="R582">
        <v>88.2</v>
      </c>
      <c r="S582">
        <v>179</v>
      </c>
      <c r="T582">
        <v>1</v>
      </c>
      <c r="U582" t="str" cm="1">
        <f t="array" ref="U582">_xlfn.IFS(smart_dataset[[#This Row],[Waiting_Time]]&lt;=20,"Low",smart_dataset[[#This Row],[Waiting_Time]]&lt;=40,"Medium",TRUE,"High")</f>
        <v>Medium</v>
      </c>
      <c r="V582" t="str" cm="1">
        <f t="array" ref="V582">_xlfn.IFS(smart_dataset[[#This Row],[Temperature]]&lt;=20,"Cold",smart_dataset[[#This Row],[Temperature]]&lt;=28,"Normal",TRUE,"Hot")</f>
        <v>Hot</v>
      </c>
      <c r="W582" t="str" cm="1">
        <f t="array" ref="W582">_xlfn.IFS(smart_dataset[[#This Row],[Asset_Utilization]]&lt;=75,"Low",smart_dataset[[#This Row],[Asset_Utilization]]&lt;=90,"Medium",TRUE,"High")</f>
        <v>Medium</v>
      </c>
    </row>
    <row r="583" spans="1:23" x14ac:dyDescent="0.25">
      <c r="A583" s="1">
        <v>45626.277928240743</v>
      </c>
      <c r="B583" s="1">
        <f>INT(smart_dataset[[#This Row],[Timestamp]])</f>
        <v>45626</v>
      </c>
      <c r="C583" s="7">
        <f>MOD(smart_dataset[[#This Row],[Timestamp]],1)</f>
        <v>0.27792824074276723</v>
      </c>
      <c r="D583">
        <f>YEAR(smart_dataset[[#This Row],[Date]])</f>
        <v>2024</v>
      </c>
      <c r="E583">
        <f>MONTH(smart_dataset[[#This Row],[Timestamp]])</f>
        <v>11</v>
      </c>
      <c r="F583" t="s">
        <v>33</v>
      </c>
      <c r="G583">
        <v>22.303599999999999</v>
      </c>
      <c r="H583">
        <v>59.468899999999998</v>
      </c>
      <c r="I583">
        <v>318</v>
      </c>
      <c r="J583" t="s">
        <v>17</v>
      </c>
      <c r="K583">
        <v>25.8</v>
      </c>
      <c r="L583">
        <v>79.5</v>
      </c>
      <c r="M583" t="s">
        <v>18</v>
      </c>
      <c r="N583">
        <v>11</v>
      </c>
      <c r="O583">
        <v>161</v>
      </c>
      <c r="P583">
        <v>10</v>
      </c>
      <c r="Q583" t="s">
        <v>19</v>
      </c>
      <c r="R583">
        <v>90</v>
      </c>
      <c r="S583">
        <v>191</v>
      </c>
      <c r="T583">
        <v>1</v>
      </c>
      <c r="U583" t="str" cm="1">
        <f t="array" ref="U583">_xlfn.IFS(smart_dataset[[#This Row],[Waiting_Time]]&lt;=20,"Low",smart_dataset[[#This Row],[Waiting_Time]]&lt;=40,"Medium",TRUE,"High")</f>
        <v>Low</v>
      </c>
      <c r="V583" t="str" cm="1">
        <f t="array" ref="V583">_xlfn.IFS(smart_dataset[[#This Row],[Temperature]]&lt;=20,"Cold",smart_dataset[[#This Row],[Temperature]]&lt;=28,"Normal",TRUE,"Hot")</f>
        <v>Normal</v>
      </c>
      <c r="W583" t="str" cm="1">
        <f t="array" ref="W583">_xlfn.IFS(smart_dataset[[#This Row],[Asset_Utilization]]&lt;=75,"Low",smart_dataset[[#This Row],[Asset_Utilization]]&lt;=90,"Medium",TRUE,"High")</f>
        <v>Medium</v>
      </c>
    </row>
    <row r="584" spans="1:23" hidden="1" x14ac:dyDescent="0.25">
      <c r="A584" s="1">
        <v>45546.346736111111</v>
      </c>
      <c r="B584" s="1">
        <f>INT(smart_dataset[[#This Row],[Timestamp]])</f>
        <v>45546</v>
      </c>
      <c r="C584" s="1">
        <f>MOD(smart_dataset[[#This Row],[Timestamp]],1)</f>
        <v>0.34673611111065838</v>
      </c>
      <c r="D584" s="1">
        <f>YEAR(smart_dataset[[#This Row],[Date]])</f>
        <v>2024</v>
      </c>
      <c r="E584" s="1">
        <f>MONTH(smart_dataset[[#This Row],[Timestamp]])</f>
        <v>9</v>
      </c>
      <c r="F584" t="s">
        <v>25</v>
      </c>
      <c r="G584">
        <v>-10.202299999999999</v>
      </c>
      <c r="H584">
        <v>76.794600000000003</v>
      </c>
      <c r="I584">
        <v>422</v>
      </c>
      <c r="J584" t="s">
        <v>26</v>
      </c>
      <c r="K584">
        <v>23.8</v>
      </c>
      <c r="L584">
        <v>62.4</v>
      </c>
      <c r="M584" t="s">
        <v>28</v>
      </c>
      <c r="N584">
        <v>10</v>
      </c>
      <c r="O584">
        <v>158</v>
      </c>
      <c r="P584">
        <v>4</v>
      </c>
      <c r="Q584" t="s">
        <v>27</v>
      </c>
      <c r="R584">
        <v>84.7</v>
      </c>
      <c r="S584">
        <v>294</v>
      </c>
      <c r="T584">
        <v>0</v>
      </c>
      <c r="U584" t="str" cm="1">
        <f t="array" ref="U584">_xlfn.IFS(smart_dataset[[#This Row],[Waiting_Time]]&lt;=20,"Low",smart_dataset[[#This Row],[Waiting_Time]]&lt;=40,"Medium",TRUE,"High")</f>
        <v>Low</v>
      </c>
      <c r="V584" t="str" cm="1">
        <f t="array" ref="V584">_xlfn.IFS(smart_dataset[[#This Row],[Temperature]]&lt;=20,"Cold",smart_dataset[[#This Row],[Temperature]]&lt;=28,"Normal",TRUE,"Hot")</f>
        <v>Normal</v>
      </c>
      <c r="W584" t="str" cm="1">
        <f t="array" ref="W584">_xlfn.IFS(smart_dataset[[#This Row],[Asset_Utilization]]&lt;=75,"Low",smart_dataset[[#This Row],[Asset_Utilization]]&lt;=90,"Medium",TRUE,"High")</f>
        <v>Medium</v>
      </c>
    </row>
    <row r="585" spans="1:23" x14ac:dyDescent="0.25">
      <c r="A585" s="1">
        <v>45570.99832175926</v>
      </c>
      <c r="B585" s="1">
        <f>INT(smart_dataset[[#This Row],[Timestamp]])</f>
        <v>45570</v>
      </c>
      <c r="C585" s="7">
        <f>MOD(smart_dataset[[#This Row],[Timestamp]],1)</f>
        <v>0.99832175925985212</v>
      </c>
      <c r="D585">
        <f>YEAR(smart_dataset[[#This Row],[Date]])</f>
        <v>2024</v>
      </c>
      <c r="E585">
        <f>MONTH(smart_dataset[[#This Row],[Timestamp]])</f>
        <v>10</v>
      </c>
      <c r="F585" t="s">
        <v>30</v>
      </c>
      <c r="G585">
        <v>-9.1011000000000006</v>
      </c>
      <c r="H585">
        <v>102.9819</v>
      </c>
      <c r="I585">
        <v>450</v>
      </c>
      <c r="J585" t="s">
        <v>21</v>
      </c>
      <c r="K585">
        <v>22.8</v>
      </c>
      <c r="L585">
        <v>58.7</v>
      </c>
      <c r="M585" t="s">
        <v>18</v>
      </c>
      <c r="N585">
        <v>45</v>
      </c>
      <c r="O585">
        <v>421</v>
      </c>
      <c r="P585">
        <v>9</v>
      </c>
      <c r="Q585" t="s">
        <v>19</v>
      </c>
      <c r="R585">
        <v>90</v>
      </c>
      <c r="S585">
        <v>240</v>
      </c>
      <c r="T585">
        <v>0</v>
      </c>
      <c r="U585" t="str" cm="1">
        <f t="array" ref="U585">_xlfn.IFS(smart_dataset[[#This Row],[Waiting_Time]]&lt;=20,"Low",smart_dataset[[#This Row],[Waiting_Time]]&lt;=40,"Medium",TRUE,"High")</f>
        <v>High</v>
      </c>
      <c r="V585" t="str" cm="1">
        <f t="array" ref="V585">_xlfn.IFS(smart_dataset[[#This Row],[Temperature]]&lt;=20,"Cold",smart_dataset[[#This Row],[Temperature]]&lt;=28,"Normal",TRUE,"Hot")</f>
        <v>Normal</v>
      </c>
      <c r="W585" t="str" cm="1">
        <f t="array" ref="W585">_xlfn.IFS(smart_dataset[[#This Row],[Asset_Utilization]]&lt;=75,"Low",smart_dataset[[#This Row],[Asset_Utilization]]&lt;=90,"Medium",TRUE,"High")</f>
        <v>Medium</v>
      </c>
    </row>
    <row r="586" spans="1:23" hidden="1" x14ac:dyDescent="0.25">
      <c r="A586" s="1">
        <v>45580.586018518516</v>
      </c>
      <c r="B586" s="1">
        <f>INT(smart_dataset[[#This Row],[Timestamp]])</f>
        <v>45580</v>
      </c>
      <c r="C586" s="1">
        <f>MOD(smart_dataset[[#This Row],[Timestamp]],1)</f>
        <v>0.58601851851562969</v>
      </c>
      <c r="D586" s="1">
        <f>YEAR(smart_dataset[[#This Row],[Date]])</f>
        <v>2024</v>
      </c>
      <c r="E586" s="1">
        <f>MONTH(smart_dataset[[#This Row],[Timestamp]])</f>
        <v>10</v>
      </c>
      <c r="F586" t="s">
        <v>29</v>
      </c>
      <c r="G586">
        <v>-85.297300000000007</v>
      </c>
      <c r="H586">
        <v>149.08590000000001</v>
      </c>
      <c r="I586">
        <v>221</v>
      </c>
      <c r="J586" t="s">
        <v>26</v>
      </c>
      <c r="K586">
        <v>21.6</v>
      </c>
      <c r="L586">
        <v>67.7</v>
      </c>
      <c r="M586" t="s">
        <v>22</v>
      </c>
      <c r="N586">
        <v>39</v>
      </c>
      <c r="O586">
        <v>430</v>
      </c>
      <c r="P586">
        <v>6</v>
      </c>
      <c r="Q586" t="s">
        <v>27</v>
      </c>
      <c r="R586">
        <v>71.900000000000006</v>
      </c>
      <c r="S586">
        <v>286</v>
      </c>
      <c r="T586">
        <v>1</v>
      </c>
      <c r="U586" t="str" cm="1">
        <f t="array" ref="U586">_xlfn.IFS(smart_dataset[[#This Row],[Waiting_Time]]&lt;=20,"Low",smart_dataset[[#This Row],[Waiting_Time]]&lt;=40,"Medium",TRUE,"High")</f>
        <v>Medium</v>
      </c>
      <c r="V586" t="str" cm="1">
        <f t="array" ref="V586">_xlfn.IFS(smart_dataset[[#This Row],[Temperature]]&lt;=20,"Cold",smart_dataset[[#This Row],[Temperature]]&lt;=28,"Normal",TRUE,"Hot")</f>
        <v>Normal</v>
      </c>
      <c r="W586" t="str" cm="1">
        <f t="array" ref="W586">_xlfn.IFS(smart_dataset[[#This Row],[Asset_Utilization]]&lt;=75,"Low",smart_dataset[[#This Row],[Asset_Utilization]]&lt;=90,"Medium",TRUE,"High")</f>
        <v>Low</v>
      </c>
    </row>
    <row r="587" spans="1:23" hidden="1" x14ac:dyDescent="0.25">
      <c r="A587" s="1">
        <v>45477.390810185185</v>
      </c>
      <c r="B587" s="1">
        <f>INT(smart_dataset[[#This Row],[Timestamp]])</f>
        <v>45477</v>
      </c>
      <c r="C587" s="1">
        <f>MOD(smart_dataset[[#This Row],[Timestamp]],1)</f>
        <v>0.39081018518481869</v>
      </c>
      <c r="D587" s="1">
        <f>YEAR(smart_dataset[[#This Row],[Date]])</f>
        <v>2024</v>
      </c>
      <c r="E587" s="1">
        <f>MONTH(smart_dataset[[#This Row],[Timestamp]])</f>
        <v>7</v>
      </c>
      <c r="F587" t="s">
        <v>16</v>
      </c>
      <c r="G587">
        <v>-13.197699999999999</v>
      </c>
      <c r="H587">
        <v>107.4226</v>
      </c>
      <c r="I587">
        <v>271</v>
      </c>
      <c r="J587" t="s">
        <v>26</v>
      </c>
      <c r="K587">
        <v>18.7</v>
      </c>
      <c r="L587">
        <v>75.400000000000006</v>
      </c>
      <c r="M587" t="s">
        <v>28</v>
      </c>
      <c r="N587">
        <v>37</v>
      </c>
      <c r="O587">
        <v>210</v>
      </c>
      <c r="P587">
        <v>10</v>
      </c>
      <c r="Q587" t="s">
        <v>27</v>
      </c>
      <c r="R587">
        <v>72</v>
      </c>
      <c r="S587">
        <v>120</v>
      </c>
      <c r="T587">
        <v>0</v>
      </c>
      <c r="U587" t="str" cm="1">
        <f t="array" ref="U587">_xlfn.IFS(smart_dataset[[#This Row],[Waiting_Time]]&lt;=20,"Low",smart_dataset[[#This Row],[Waiting_Time]]&lt;=40,"Medium",TRUE,"High")</f>
        <v>Medium</v>
      </c>
      <c r="V587" t="str" cm="1">
        <f t="array" ref="V587">_xlfn.IFS(smart_dataset[[#This Row],[Temperature]]&lt;=20,"Cold",smart_dataset[[#This Row],[Temperature]]&lt;=28,"Normal",TRUE,"Hot")</f>
        <v>Cold</v>
      </c>
      <c r="W587" t="str" cm="1">
        <f t="array" ref="W587">_xlfn.IFS(smart_dataset[[#This Row],[Asset_Utilization]]&lt;=75,"Low",smart_dataset[[#This Row],[Asset_Utilization]]&lt;=90,"Medium",TRUE,"High")</f>
        <v>Low</v>
      </c>
    </row>
    <row r="588" spans="1:23" hidden="1" x14ac:dyDescent="0.25">
      <c r="A588" s="1">
        <v>45525.722673611112</v>
      </c>
      <c r="B588" s="1">
        <f>INT(smart_dataset[[#This Row],[Timestamp]])</f>
        <v>45525</v>
      </c>
      <c r="C588" s="1">
        <f>MOD(smart_dataset[[#This Row],[Timestamp]],1)</f>
        <v>0.7226736111115315</v>
      </c>
      <c r="D588" s="1">
        <f>YEAR(smart_dataset[[#This Row],[Date]])</f>
        <v>2024</v>
      </c>
      <c r="E588" s="1">
        <f>MONTH(smart_dataset[[#This Row],[Timestamp]])</f>
        <v>8</v>
      </c>
      <c r="F588" t="s">
        <v>29</v>
      </c>
      <c r="G588">
        <v>-77.326999999999998</v>
      </c>
      <c r="H588">
        <v>-33.600099999999998</v>
      </c>
      <c r="I588">
        <v>402</v>
      </c>
      <c r="J588" t="s">
        <v>17</v>
      </c>
      <c r="K588">
        <v>18.7</v>
      </c>
      <c r="L588">
        <v>59.6</v>
      </c>
      <c r="M588" t="s">
        <v>18</v>
      </c>
      <c r="N588">
        <v>16</v>
      </c>
      <c r="O588">
        <v>454</v>
      </c>
      <c r="P588">
        <v>1</v>
      </c>
      <c r="Q588" t="s">
        <v>27</v>
      </c>
      <c r="R588">
        <v>62.9</v>
      </c>
      <c r="S588">
        <v>274</v>
      </c>
      <c r="T588">
        <v>1</v>
      </c>
      <c r="U588" t="str" cm="1">
        <f t="array" ref="U588">_xlfn.IFS(smart_dataset[[#This Row],[Waiting_Time]]&lt;=20,"Low",smart_dataset[[#This Row],[Waiting_Time]]&lt;=40,"Medium",TRUE,"High")</f>
        <v>Low</v>
      </c>
      <c r="V588" t="str" cm="1">
        <f t="array" ref="V588">_xlfn.IFS(smart_dataset[[#This Row],[Temperature]]&lt;=20,"Cold",smart_dataset[[#This Row],[Temperature]]&lt;=28,"Normal",TRUE,"Hot")</f>
        <v>Cold</v>
      </c>
      <c r="W588" t="str" cm="1">
        <f t="array" ref="W588">_xlfn.IFS(smart_dataset[[#This Row],[Asset_Utilization]]&lt;=75,"Low",smart_dataset[[#This Row],[Asset_Utilization]]&lt;=90,"Medium",TRUE,"High")</f>
        <v>Low</v>
      </c>
    </row>
    <row r="589" spans="1:23" x14ac:dyDescent="0.25">
      <c r="A589" s="1">
        <v>45476.272627314815</v>
      </c>
      <c r="B589" s="1">
        <f>INT(smart_dataset[[#This Row],[Timestamp]])</f>
        <v>45476</v>
      </c>
      <c r="C589" s="7">
        <f>MOD(smart_dataset[[#This Row],[Timestamp]],1)</f>
        <v>0.27262731481459923</v>
      </c>
      <c r="D589">
        <f>YEAR(smart_dataset[[#This Row],[Date]])</f>
        <v>2024</v>
      </c>
      <c r="E589">
        <f>MONTH(smart_dataset[[#This Row],[Timestamp]])</f>
        <v>7</v>
      </c>
      <c r="F589" t="s">
        <v>35</v>
      </c>
      <c r="G589">
        <v>-36.338799999999999</v>
      </c>
      <c r="H589">
        <v>69.5488</v>
      </c>
      <c r="I589">
        <v>119</v>
      </c>
      <c r="J589" t="s">
        <v>21</v>
      </c>
      <c r="K589">
        <v>24.4</v>
      </c>
      <c r="L589">
        <v>68.2</v>
      </c>
      <c r="M589" t="s">
        <v>22</v>
      </c>
      <c r="N589">
        <v>60</v>
      </c>
      <c r="O589">
        <v>125</v>
      </c>
      <c r="P589">
        <v>3</v>
      </c>
      <c r="Q589" t="s">
        <v>19</v>
      </c>
      <c r="R589">
        <v>81.599999999999994</v>
      </c>
      <c r="S589">
        <v>106</v>
      </c>
      <c r="T589">
        <v>1</v>
      </c>
      <c r="U589" t="str" cm="1">
        <f t="array" ref="U589">_xlfn.IFS(smart_dataset[[#This Row],[Waiting_Time]]&lt;=20,"Low",smart_dataset[[#This Row],[Waiting_Time]]&lt;=40,"Medium",TRUE,"High")</f>
        <v>High</v>
      </c>
      <c r="V589" t="str" cm="1">
        <f t="array" ref="V589">_xlfn.IFS(smart_dataset[[#This Row],[Temperature]]&lt;=20,"Cold",smart_dataset[[#This Row],[Temperature]]&lt;=28,"Normal",TRUE,"Hot")</f>
        <v>Normal</v>
      </c>
      <c r="W589" t="str" cm="1">
        <f t="array" ref="W589">_xlfn.IFS(smart_dataset[[#This Row],[Asset_Utilization]]&lt;=75,"Low",smart_dataset[[#This Row],[Asset_Utilization]]&lt;=90,"Medium",TRUE,"High")</f>
        <v>Medium</v>
      </c>
    </row>
    <row r="590" spans="1:23" hidden="1" x14ac:dyDescent="0.25">
      <c r="A590" s="1">
        <v>45342.734513888892</v>
      </c>
      <c r="B590" s="1">
        <f>INT(smart_dataset[[#This Row],[Timestamp]])</f>
        <v>45342</v>
      </c>
      <c r="C590" s="1">
        <f>MOD(smart_dataset[[#This Row],[Timestamp]],1)</f>
        <v>0.734513888892252</v>
      </c>
      <c r="D590" s="1">
        <f>YEAR(smart_dataset[[#This Row],[Date]])</f>
        <v>2024</v>
      </c>
      <c r="E590" s="1">
        <f>MONTH(smart_dataset[[#This Row],[Timestamp]])</f>
        <v>2</v>
      </c>
      <c r="F590" t="s">
        <v>20</v>
      </c>
      <c r="G590">
        <v>-35.495100000000001</v>
      </c>
      <c r="H590">
        <v>105.3877</v>
      </c>
      <c r="I590">
        <v>385</v>
      </c>
      <c r="J590" t="s">
        <v>26</v>
      </c>
      <c r="K590">
        <v>26.1</v>
      </c>
      <c r="L590">
        <v>68.3</v>
      </c>
      <c r="M590" t="s">
        <v>28</v>
      </c>
      <c r="N590">
        <v>38</v>
      </c>
      <c r="O590">
        <v>114</v>
      </c>
      <c r="P590">
        <v>6</v>
      </c>
      <c r="Q590" t="s">
        <v>23</v>
      </c>
      <c r="R590">
        <v>64.599999999999994</v>
      </c>
      <c r="S590">
        <v>190</v>
      </c>
      <c r="T590">
        <v>0</v>
      </c>
      <c r="U590" t="str" cm="1">
        <f t="array" ref="U590">_xlfn.IFS(smart_dataset[[#This Row],[Waiting_Time]]&lt;=20,"Low",smart_dataset[[#This Row],[Waiting_Time]]&lt;=40,"Medium",TRUE,"High")</f>
        <v>Medium</v>
      </c>
      <c r="V590" t="str" cm="1">
        <f t="array" ref="V590">_xlfn.IFS(smart_dataset[[#This Row],[Temperature]]&lt;=20,"Cold",smart_dataset[[#This Row],[Temperature]]&lt;=28,"Normal",TRUE,"Hot")</f>
        <v>Normal</v>
      </c>
      <c r="W590" t="str" cm="1">
        <f t="array" ref="W590">_xlfn.IFS(smart_dataset[[#This Row],[Asset_Utilization]]&lt;=75,"Low",smart_dataset[[#This Row],[Asset_Utilization]]&lt;=90,"Medium",TRUE,"High")</f>
        <v>Low</v>
      </c>
    </row>
    <row r="591" spans="1:23" hidden="1" x14ac:dyDescent="0.25">
      <c r="A591" s="1">
        <v>45437.158715277779</v>
      </c>
      <c r="B591" s="1">
        <f>INT(smart_dataset[[#This Row],[Timestamp]])</f>
        <v>45437</v>
      </c>
      <c r="C591" s="1">
        <f>MOD(smart_dataset[[#This Row],[Timestamp]],1)</f>
        <v>0.15871527777926531</v>
      </c>
      <c r="D591" s="1">
        <f>YEAR(smart_dataset[[#This Row],[Date]])</f>
        <v>2024</v>
      </c>
      <c r="E591" s="1">
        <f>MONTH(smart_dataset[[#This Row],[Timestamp]])</f>
        <v>5</v>
      </c>
      <c r="F591" t="s">
        <v>29</v>
      </c>
      <c r="G591">
        <v>-50.725499999999997</v>
      </c>
      <c r="H591">
        <v>49.299300000000002</v>
      </c>
      <c r="I591">
        <v>443</v>
      </c>
      <c r="J591" t="s">
        <v>26</v>
      </c>
      <c r="K591">
        <v>23.6</v>
      </c>
      <c r="L591">
        <v>66.599999999999994</v>
      </c>
      <c r="M591" t="s">
        <v>18</v>
      </c>
      <c r="N591">
        <v>42</v>
      </c>
      <c r="O591">
        <v>333</v>
      </c>
      <c r="P591">
        <v>9</v>
      </c>
      <c r="Q591" t="s">
        <v>27</v>
      </c>
      <c r="R591">
        <v>93.1</v>
      </c>
      <c r="S591">
        <v>143</v>
      </c>
      <c r="T591">
        <v>0</v>
      </c>
      <c r="U591" t="str" cm="1">
        <f t="array" ref="U591">_xlfn.IFS(smart_dataset[[#This Row],[Waiting_Time]]&lt;=20,"Low",smart_dataset[[#This Row],[Waiting_Time]]&lt;=40,"Medium",TRUE,"High")</f>
        <v>High</v>
      </c>
      <c r="V591" t="str" cm="1">
        <f t="array" ref="V591">_xlfn.IFS(smart_dataset[[#This Row],[Temperature]]&lt;=20,"Cold",smart_dataset[[#This Row],[Temperature]]&lt;=28,"Normal",TRUE,"Hot")</f>
        <v>Normal</v>
      </c>
      <c r="W591" t="str" cm="1">
        <f t="array" ref="W591">_xlfn.IFS(smart_dataset[[#This Row],[Asset_Utilization]]&lt;=75,"Low",smart_dataset[[#This Row],[Asset_Utilization]]&lt;=90,"Medium",TRUE,"High")</f>
        <v>High</v>
      </c>
    </row>
    <row r="592" spans="1:23" hidden="1" x14ac:dyDescent="0.25">
      <c r="A592" s="1">
        <v>45440.68378472222</v>
      </c>
      <c r="B592" s="1">
        <f>INT(smart_dataset[[#This Row],[Timestamp]])</f>
        <v>45440</v>
      </c>
      <c r="C592" s="1">
        <f>MOD(smart_dataset[[#This Row],[Timestamp]],1)</f>
        <v>0.68378472221957054</v>
      </c>
      <c r="D592" s="1">
        <f>YEAR(smart_dataset[[#This Row],[Date]])</f>
        <v>2024</v>
      </c>
      <c r="E592" s="1">
        <f>MONTH(smart_dataset[[#This Row],[Timestamp]])</f>
        <v>5</v>
      </c>
      <c r="F592" t="s">
        <v>29</v>
      </c>
      <c r="G592">
        <v>-85.600499999999997</v>
      </c>
      <c r="H592">
        <v>35.888300000000001</v>
      </c>
      <c r="I592">
        <v>271</v>
      </c>
      <c r="J592" t="s">
        <v>21</v>
      </c>
      <c r="K592">
        <v>23.6</v>
      </c>
      <c r="L592">
        <v>74.2</v>
      </c>
      <c r="M592" t="s">
        <v>28</v>
      </c>
      <c r="N592">
        <v>30</v>
      </c>
      <c r="O592">
        <v>214</v>
      </c>
      <c r="P592">
        <v>5</v>
      </c>
      <c r="Q592" t="s">
        <v>27</v>
      </c>
      <c r="R592">
        <v>72.099999999999994</v>
      </c>
      <c r="S592">
        <v>132</v>
      </c>
      <c r="T592">
        <v>0</v>
      </c>
      <c r="U592" t="str" cm="1">
        <f t="array" ref="U592">_xlfn.IFS(smart_dataset[[#This Row],[Waiting_Time]]&lt;=20,"Low",smart_dataset[[#This Row],[Waiting_Time]]&lt;=40,"Medium",TRUE,"High")</f>
        <v>Medium</v>
      </c>
      <c r="V592" t="str" cm="1">
        <f t="array" ref="V592">_xlfn.IFS(smart_dataset[[#This Row],[Temperature]]&lt;=20,"Cold",smart_dataset[[#This Row],[Temperature]]&lt;=28,"Normal",TRUE,"Hot")</f>
        <v>Normal</v>
      </c>
      <c r="W592" t="str" cm="1">
        <f t="array" ref="W592">_xlfn.IFS(smart_dataset[[#This Row],[Asset_Utilization]]&lt;=75,"Low",smart_dataset[[#This Row],[Asset_Utilization]]&lt;=90,"Medium",TRUE,"High")</f>
        <v>Low</v>
      </c>
    </row>
    <row r="593" spans="1:23" hidden="1" x14ac:dyDescent="0.25">
      <c r="A593" s="1">
        <v>45542.442696759259</v>
      </c>
      <c r="B593" s="1">
        <f>INT(smart_dataset[[#This Row],[Timestamp]])</f>
        <v>45542</v>
      </c>
      <c r="C593" s="1">
        <f>MOD(smart_dataset[[#This Row],[Timestamp]],1)</f>
        <v>0.442696759258979</v>
      </c>
      <c r="D593" s="1">
        <f>YEAR(smart_dataset[[#This Row],[Date]])</f>
        <v>2024</v>
      </c>
      <c r="E593" s="1">
        <f>MONTH(smart_dataset[[#This Row],[Timestamp]])</f>
        <v>9</v>
      </c>
      <c r="F593" t="s">
        <v>33</v>
      </c>
      <c r="G593">
        <v>-15.3475</v>
      </c>
      <c r="H593">
        <v>13.351599999999999</v>
      </c>
      <c r="I593">
        <v>133</v>
      </c>
      <c r="J593" t="s">
        <v>17</v>
      </c>
      <c r="K593">
        <v>29.4</v>
      </c>
      <c r="L593">
        <v>51.6</v>
      </c>
      <c r="M593" t="s">
        <v>28</v>
      </c>
      <c r="N593">
        <v>31</v>
      </c>
      <c r="O593">
        <v>485</v>
      </c>
      <c r="P593">
        <v>3</v>
      </c>
      <c r="Q593" t="s">
        <v>23</v>
      </c>
      <c r="R593">
        <v>90.1</v>
      </c>
      <c r="S593">
        <v>172</v>
      </c>
      <c r="T593">
        <v>1</v>
      </c>
      <c r="U593" t="str" cm="1">
        <f t="array" ref="U593">_xlfn.IFS(smart_dataset[[#This Row],[Waiting_Time]]&lt;=20,"Low",smart_dataset[[#This Row],[Waiting_Time]]&lt;=40,"Medium",TRUE,"High")</f>
        <v>Medium</v>
      </c>
      <c r="V593" t="str" cm="1">
        <f t="array" ref="V593">_xlfn.IFS(smart_dataset[[#This Row],[Temperature]]&lt;=20,"Cold",smart_dataset[[#This Row],[Temperature]]&lt;=28,"Normal",TRUE,"Hot")</f>
        <v>Hot</v>
      </c>
      <c r="W593" t="str" cm="1">
        <f t="array" ref="W593">_xlfn.IFS(smart_dataset[[#This Row],[Asset_Utilization]]&lt;=75,"Low",smart_dataset[[#This Row],[Asset_Utilization]]&lt;=90,"Medium",TRUE,"High")</f>
        <v>High</v>
      </c>
    </row>
    <row r="594" spans="1:23" hidden="1" x14ac:dyDescent="0.25">
      <c r="A594" s="1">
        <v>45524.63009259259</v>
      </c>
      <c r="B594" s="1">
        <f>INT(smart_dataset[[#This Row],[Timestamp]])</f>
        <v>45524</v>
      </c>
      <c r="C594" s="1">
        <f>MOD(smart_dataset[[#This Row],[Timestamp]],1)</f>
        <v>0.63009259258979</v>
      </c>
      <c r="D594" s="1">
        <f>YEAR(smart_dataset[[#This Row],[Date]])</f>
        <v>2024</v>
      </c>
      <c r="E594" s="1">
        <f>MONTH(smart_dataset[[#This Row],[Timestamp]])</f>
        <v>8</v>
      </c>
      <c r="F594" t="s">
        <v>29</v>
      </c>
      <c r="G594">
        <v>36.457299999999996</v>
      </c>
      <c r="H594">
        <v>-60.825499999999998</v>
      </c>
      <c r="I594">
        <v>388</v>
      </c>
      <c r="J594" t="s">
        <v>17</v>
      </c>
      <c r="K594">
        <v>23.1</v>
      </c>
      <c r="L594">
        <v>64.8</v>
      </c>
      <c r="M594" t="s">
        <v>18</v>
      </c>
      <c r="N594">
        <v>23</v>
      </c>
      <c r="O594">
        <v>329</v>
      </c>
      <c r="P594">
        <v>1</v>
      </c>
      <c r="Q594" t="s">
        <v>31</v>
      </c>
      <c r="R594">
        <v>89.2</v>
      </c>
      <c r="S594">
        <v>296</v>
      </c>
      <c r="T594">
        <v>1</v>
      </c>
      <c r="U594" t="str" cm="1">
        <f t="array" ref="U594">_xlfn.IFS(smart_dataset[[#This Row],[Waiting_Time]]&lt;=20,"Low",smart_dataset[[#This Row],[Waiting_Time]]&lt;=40,"Medium",TRUE,"High")</f>
        <v>Medium</v>
      </c>
      <c r="V594" t="str" cm="1">
        <f t="array" ref="V594">_xlfn.IFS(smart_dataset[[#This Row],[Temperature]]&lt;=20,"Cold",smart_dataset[[#This Row],[Temperature]]&lt;=28,"Normal",TRUE,"Hot")</f>
        <v>Normal</v>
      </c>
      <c r="W594" t="str" cm="1">
        <f t="array" ref="W594">_xlfn.IFS(smart_dataset[[#This Row],[Asset_Utilization]]&lt;=75,"Low",smart_dataset[[#This Row],[Asset_Utilization]]&lt;=90,"Medium",TRUE,"High")</f>
        <v>Medium</v>
      </c>
    </row>
    <row r="595" spans="1:23" hidden="1" x14ac:dyDescent="0.25">
      <c r="A595" s="1">
        <v>45607.802303240744</v>
      </c>
      <c r="B595" s="1">
        <f>INT(smart_dataset[[#This Row],[Timestamp]])</f>
        <v>45607</v>
      </c>
      <c r="C595" s="1">
        <f>MOD(smart_dataset[[#This Row],[Timestamp]],1)</f>
        <v>0.80230324074364034</v>
      </c>
      <c r="D595" s="1">
        <f>YEAR(smart_dataset[[#This Row],[Date]])</f>
        <v>2024</v>
      </c>
      <c r="E595" s="1">
        <f>MONTH(smart_dataset[[#This Row],[Timestamp]])</f>
        <v>11</v>
      </c>
      <c r="F595" t="s">
        <v>35</v>
      </c>
      <c r="G595">
        <v>40.9268</v>
      </c>
      <c r="H595">
        <v>-145.29900000000001</v>
      </c>
      <c r="I595">
        <v>429</v>
      </c>
      <c r="J595" t="s">
        <v>21</v>
      </c>
      <c r="K595">
        <v>20.9</v>
      </c>
      <c r="L595">
        <v>68</v>
      </c>
      <c r="M595" t="s">
        <v>22</v>
      </c>
      <c r="N595">
        <v>50</v>
      </c>
      <c r="O595">
        <v>196</v>
      </c>
      <c r="P595">
        <v>10</v>
      </c>
      <c r="Q595" t="s">
        <v>31</v>
      </c>
      <c r="R595">
        <v>72.900000000000006</v>
      </c>
      <c r="S595">
        <v>123</v>
      </c>
      <c r="T595">
        <v>1</v>
      </c>
      <c r="U595" t="str" cm="1">
        <f t="array" ref="U595">_xlfn.IFS(smart_dataset[[#This Row],[Waiting_Time]]&lt;=20,"Low",smart_dataset[[#This Row],[Waiting_Time]]&lt;=40,"Medium",TRUE,"High")</f>
        <v>High</v>
      </c>
      <c r="V595" t="str" cm="1">
        <f t="array" ref="V595">_xlfn.IFS(smart_dataset[[#This Row],[Temperature]]&lt;=20,"Cold",smart_dataset[[#This Row],[Temperature]]&lt;=28,"Normal",TRUE,"Hot")</f>
        <v>Normal</v>
      </c>
      <c r="W595" t="str" cm="1">
        <f t="array" ref="W595">_xlfn.IFS(smart_dataset[[#This Row],[Asset_Utilization]]&lt;=75,"Low",smart_dataset[[#This Row],[Asset_Utilization]]&lt;=90,"Medium",TRUE,"High")</f>
        <v>Low</v>
      </c>
    </row>
    <row r="596" spans="1:23" hidden="1" x14ac:dyDescent="0.25">
      <c r="A596" s="1">
        <v>45439.359791666669</v>
      </c>
      <c r="B596" s="1">
        <f>INT(smart_dataset[[#This Row],[Timestamp]])</f>
        <v>45439</v>
      </c>
      <c r="C596" s="1">
        <f>MOD(smart_dataset[[#This Row],[Timestamp]],1)</f>
        <v>0.35979166666948004</v>
      </c>
      <c r="D596" s="1">
        <f>YEAR(smart_dataset[[#This Row],[Date]])</f>
        <v>2024</v>
      </c>
      <c r="E596" s="1">
        <f>MONTH(smart_dataset[[#This Row],[Timestamp]])</f>
        <v>5</v>
      </c>
      <c r="F596" t="s">
        <v>20</v>
      </c>
      <c r="G596">
        <v>-66.072400000000002</v>
      </c>
      <c r="H596">
        <v>48.259700000000002</v>
      </c>
      <c r="I596">
        <v>145</v>
      </c>
      <c r="J596" t="s">
        <v>26</v>
      </c>
      <c r="K596">
        <v>18.8</v>
      </c>
      <c r="L596">
        <v>62.6</v>
      </c>
      <c r="M596" t="s">
        <v>18</v>
      </c>
      <c r="N596">
        <v>14</v>
      </c>
      <c r="O596">
        <v>408</v>
      </c>
      <c r="P596">
        <v>9</v>
      </c>
      <c r="Q596" t="s">
        <v>23</v>
      </c>
      <c r="R596">
        <v>81.3</v>
      </c>
      <c r="S596">
        <v>138</v>
      </c>
      <c r="T596">
        <v>0</v>
      </c>
      <c r="U596" t="str" cm="1">
        <f t="array" ref="U596">_xlfn.IFS(smart_dataset[[#This Row],[Waiting_Time]]&lt;=20,"Low",smart_dataset[[#This Row],[Waiting_Time]]&lt;=40,"Medium",TRUE,"High")</f>
        <v>Low</v>
      </c>
      <c r="V596" t="str" cm="1">
        <f t="array" ref="V596">_xlfn.IFS(smart_dataset[[#This Row],[Temperature]]&lt;=20,"Cold",smart_dataset[[#This Row],[Temperature]]&lt;=28,"Normal",TRUE,"Hot")</f>
        <v>Cold</v>
      </c>
      <c r="W596" t="str" cm="1">
        <f t="array" ref="W596">_xlfn.IFS(smart_dataset[[#This Row],[Asset_Utilization]]&lt;=75,"Low",smart_dataset[[#This Row],[Asset_Utilization]]&lt;=90,"Medium",TRUE,"High")</f>
        <v>Medium</v>
      </c>
    </row>
    <row r="597" spans="1:23" hidden="1" x14ac:dyDescent="0.25">
      <c r="A597" s="1">
        <v>45387.789386574077</v>
      </c>
      <c r="B597" s="1">
        <f>INT(smart_dataset[[#This Row],[Timestamp]])</f>
        <v>45387</v>
      </c>
      <c r="C597" s="1">
        <f>MOD(smart_dataset[[#This Row],[Timestamp]],1)</f>
        <v>0.78938657407707069</v>
      </c>
      <c r="D597" s="1">
        <f>YEAR(smart_dataset[[#This Row],[Date]])</f>
        <v>2024</v>
      </c>
      <c r="E597" s="1">
        <f>MONTH(smart_dataset[[#This Row],[Timestamp]])</f>
        <v>4</v>
      </c>
      <c r="F597" t="s">
        <v>35</v>
      </c>
      <c r="G597">
        <v>24.197099999999999</v>
      </c>
      <c r="H597">
        <v>18.693000000000001</v>
      </c>
      <c r="I597">
        <v>135</v>
      </c>
      <c r="J597" t="s">
        <v>26</v>
      </c>
      <c r="K597">
        <v>20.100000000000001</v>
      </c>
      <c r="L597">
        <v>53.8</v>
      </c>
      <c r="M597" t="s">
        <v>18</v>
      </c>
      <c r="N597">
        <v>21</v>
      </c>
      <c r="O597">
        <v>108</v>
      </c>
      <c r="P597">
        <v>10</v>
      </c>
      <c r="Q597" t="s">
        <v>27</v>
      </c>
      <c r="R597">
        <v>92</v>
      </c>
      <c r="S597">
        <v>243</v>
      </c>
      <c r="T597">
        <v>0</v>
      </c>
      <c r="U597" t="str" cm="1">
        <f t="array" ref="U597">_xlfn.IFS(smart_dataset[[#This Row],[Waiting_Time]]&lt;=20,"Low",smart_dataset[[#This Row],[Waiting_Time]]&lt;=40,"Medium",TRUE,"High")</f>
        <v>Medium</v>
      </c>
      <c r="V597" t="str" cm="1">
        <f t="array" ref="V597">_xlfn.IFS(smart_dataset[[#This Row],[Temperature]]&lt;=20,"Cold",smart_dataset[[#This Row],[Temperature]]&lt;=28,"Normal",TRUE,"Hot")</f>
        <v>Normal</v>
      </c>
      <c r="W597" t="str" cm="1">
        <f t="array" ref="W597">_xlfn.IFS(smart_dataset[[#This Row],[Asset_Utilization]]&lt;=75,"Low",smart_dataset[[#This Row],[Asset_Utilization]]&lt;=90,"Medium",TRUE,"High")</f>
        <v>High</v>
      </c>
    </row>
    <row r="598" spans="1:23" hidden="1" x14ac:dyDescent="0.25">
      <c r="A598" s="1">
        <v>45496.630902777775</v>
      </c>
      <c r="B598" s="1">
        <f>INT(smart_dataset[[#This Row],[Timestamp]])</f>
        <v>45496</v>
      </c>
      <c r="C598" s="1">
        <f>MOD(smart_dataset[[#This Row],[Timestamp]],1)</f>
        <v>0.63090277777519077</v>
      </c>
      <c r="D598" s="1">
        <f>YEAR(smart_dataset[[#This Row],[Date]])</f>
        <v>2024</v>
      </c>
      <c r="E598" s="1">
        <f>MONTH(smart_dataset[[#This Row],[Timestamp]])</f>
        <v>7</v>
      </c>
      <c r="F598" t="s">
        <v>34</v>
      </c>
      <c r="G598">
        <v>46.860900000000001</v>
      </c>
      <c r="H598">
        <v>37.823500000000003</v>
      </c>
      <c r="I598">
        <v>442</v>
      </c>
      <c r="J598" t="s">
        <v>17</v>
      </c>
      <c r="K598">
        <v>22.2</v>
      </c>
      <c r="L598">
        <v>65.400000000000006</v>
      </c>
      <c r="M598" t="s">
        <v>18</v>
      </c>
      <c r="N598">
        <v>33</v>
      </c>
      <c r="O598">
        <v>492</v>
      </c>
      <c r="P598">
        <v>5</v>
      </c>
      <c r="Q598" t="s">
        <v>23</v>
      </c>
      <c r="R598">
        <v>86.4</v>
      </c>
      <c r="S598">
        <v>145</v>
      </c>
      <c r="T598">
        <v>1</v>
      </c>
      <c r="U598" t="str" cm="1">
        <f t="array" ref="U598">_xlfn.IFS(smart_dataset[[#This Row],[Waiting_Time]]&lt;=20,"Low",smart_dataset[[#This Row],[Waiting_Time]]&lt;=40,"Medium",TRUE,"High")</f>
        <v>Medium</v>
      </c>
      <c r="V598" t="str" cm="1">
        <f t="array" ref="V598">_xlfn.IFS(smart_dataset[[#This Row],[Temperature]]&lt;=20,"Cold",smart_dataset[[#This Row],[Temperature]]&lt;=28,"Normal",TRUE,"Hot")</f>
        <v>Normal</v>
      </c>
      <c r="W598" t="str" cm="1">
        <f t="array" ref="W598">_xlfn.IFS(smart_dataset[[#This Row],[Asset_Utilization]]&lt;=75,"Low",smart_dataset[[#This Row],[Asset_Utilization]]&lt;=90,"Medium",TRUE,"High")</f>
        <v>Medium</v>
      </c>
    </row>
    <row r="599" spans="1:23" x14ac:dyDescent="0.25">
      <c r="A599" s="1">
        <v>45355.392187500001</v>
      </c>
      <c r="B599" s="1">
        <f>INT(smart_dataset[[#This Row],[Timestamp]])</f>
        <v>45355</v>
      </c>
      <c r="C599" s="7">
        <f>MOD(smart_dataset[[#This Row],[Timestamp]],1)</f>
        <v>0.39218750000145519</v>
      </c>
      <c r="D599">
        <f>YEAR(smart_dataset[[#This Row],[Date]])</f>
        <v>2024</v>
      </c>
      <c r="E599">
        <f>MONTH(smart_dataset[[#This Row],[Timestamp]])</f>
        <v>3</v>
      </c>
      <c r="F599" t="s">
        <v>24</v>
      </c>
      <c r="G599">
        <v>-56.785400000000003</v>
      </c>
      <c r="H599">
        <v>25.8691</v>
      </c>
      <c r="I599">
        <v>342</v>
      </c>
      <c r="J599" t="s">
        <v>26</v>
      </c>
      <c r="K599">
        <v>27.2</v>
      </c>
      <c r="L599">
        <v>55.1</v>
      </c>
      <c r="M599" t="s">
        <v>22</v>
      </c>
      <c r="N599">
        <v>22</v>
      </c>
      <c r="O599">
        <v>326</v>
      </c>
      <c r="P599">
        <v>2</v>
      </c>
      <c r="Q599" t="s">
        <v>19</v>
      </c>
      <c r="R599">
        <v>64.400000000000006</v>
      </c>
      <c r="S599">
        <v>300</v>
      </c>
      <c r="T599">
        <v>1</v>
      </c>
      <c r="U599" t="str" cm="1">
        <f t="array" ref="U599">_xlfn.IFS(smart_dataset[[#This Row],[Waiting_Time]]&lt;=20,"Low",smart_dataset[[#This Row],[Waiting_Time]]&lt;=40,"Medium",TRUE,"High")</f>
        <v>Medium</v>
      </c>
      <c r="V599" t="str" cm="1">
        <f t="array" ref="V599">_xlfn.IFS(smart_dataset[[#This Row],[Temperature]]&lt;=20,"Cold",smart_dataset[[#This Row],[Temperature]]&lt;=28,"Normal",TRUE,"Hot")</f>
        <v>Normal</v>
      </c>
      <c r="W599" t="str" cm="1">
        <f t="array" ref="W599">_xlfn.IFS(smart_dataset[[#This Row],[Asset_Utilization]]&lt;=75,"Low",smart_dataset[[#This Row],[Asset_Utilization]]&lt;=90,"Medium",TRUE,"High")</f>
        <v>Low</v>
      </c>
    </row>
    <row r="600" spans="1:23" hidden="1" x14ac:dyDescent="0.25">
      <c r="A600" s="1">
        <v>45294.534583333334</v>
      </c>
      <c r="B600" s="1">
        <f>INT(smart_dataset[[#This Row],[Timestamp]])</f>
        <v>45294</v>
      </c>
      <c r="C600" s="1">
        <f>MOD(smart_dataset[[#This Row],[Timestamp]],1)</f>
        <v>0.53458333333401242</v>
      </c>
      <c r="D600" s="1">
        <f>YEAR(smart_dataset[[#This Row],[Date]])</f>
        <v>2024</v>
      </c>
      <c r="E600" s="1">
        <f>MONTH(smart_dataset[[#This Row],[Timestamp]])</f>
        <v>1</v>
      </c>
      <c r="F600" t="s">
        <v>24</v>
      </c>
      <c r="G600">
        <v>-35.432899999999997</v>
      </c>
      <c r="H600">
        <v>9.9153000000000002</v>
      </c>
      <c r="I600">
        <v>308</v>
      </c>
      <c r="J600" t="s">
        <v>17</v>
      </c>
      <c r="K600">
        <v>25.2</v>
      </c>
      <c r="L600">
        <v>52.5</v>
      </c>
      <c r="M600" t="s">
        <v>22</v>
      </c>
      <c r="N600">
        <v>19</v>
      </c>
      <c r="O600">
        <v>475</v>
      </c>
      <c r="P600">
        <v>8</v>
      </c>
      <c r="Q600" t="s">
        <v>31</v>
      </c>
      <c r="R600">
        <v>95</v>
      </c>
      <c r="S600">
        <v>206</v>
      </c>
      <c r="T600">
        <v>1</v>
      </c>
      <c r="U600" t="str" cm="1">
        <f t="array" ref="U600">_xlfn.IFS(smart_dataset[[#This Row],[Waiting_Time]]&lt;=20,"Low",smart_dataset[[#This Row],[Waiting_Time]]&lt;=40,"Medium",TRUE,"High")</f>
        <v>Low</v>
      </c>
      <c r="V600" t="str" cm="1">
        <f t="array" ref="V600">_xlfn.IFS(smart_dataset[[#This Row],[Temperature]]&lt;=20,"Cold",smart_dataset[[#This Row],[Temperature]]&lt;=28,"Normal",TRUE,"Hot")</f>
        <v>Normal</v>
      </c>
      <c r="W600" t="str" cm="1">
        <f t="array" ref="W600">_xlfn.IFS(smart_dataset[[#This Row],[Asset_Utilization]]&lt;=75,"Low",smart_dataset[[#This Row],[Asset_Utilization]]&lt;=90,"Medium",TRUE,"High")</f>
        <v>High</v>
      </c>
    </row>
    <row r="601" spans="1:23" x14ac:dyDescent="0.25">
      <c r="A601" s="1">
        <v>45387.847511574073</v>
      </c>
      <c r="B601" s="1">
        <f>INT(smart_dataset[[#This Row],[Timestamp]])</f>
        <v>45387</v>
      </c>
      <c r="C601" s="7">
        <f>MOD(smart_dataset[[#This Row],[Timestamp]],1)</f>
        <v>0.84751157407299615</v>
      </c>
      <c r="D601">
        <f>YEAR(smart_dataset[[#This Row],[Date]])</f>
        <v>2024</v>
      </c>
      <c r="E601">
        <f>MONTH(smart_dataset[[#This Row],[Timestamp]])</f>
        <v>4</v>
      </c>
      <c r="F601" t="s">
        <v>16</v>
      </c>
      <c r="G601">
        <v>63.6965</v>
      </c>
      <c r="H601">
        <v>-131.15190000000001</v>
      </c>
      <c r="I601">
        <v>358</v>
      </c>
      <c r="J601" t="s">
        <v>17</v>
      </c>
      <c r="K601">
        <v>21.6</v>
      </c>
      <c r="L601">
        <v>61.7</v>
      </c>
      <c r="M601" t="s">
        <v>28</v>
      </c>
      <c r="N601">
        <v>23</v>
      </c>
      <c r="O601">
        <v>127</v>
      </c>
      <c r="P601">
        <v>6</v>
      </c>
      <c r="Q601" t="s">
        <v>19</v>
      </c>
      <c r="R601">
        <v>85.7</v>
      </c>
      <c r="S601">
        <v>199</v>
      </c>
      <c r="T601">
        <v>1</v>
      </c>
      <c r="U601" t="str" cm="1">
        <f t="array" ref="U601">_xlfn.IFS(smart_dataset[[#This Row],[Waiting_Time]]&lt;=20,"Low",smart_dataset[[#This Row],[Waiting_Time]]&lt;=40,"Medium",TRUE,"High")</f>
        <v>Medium</v>
      </c>
      <c r="V601" t="str" cm="1">
        <f t="array" ref="V601">_xlfn.IFS(smart_dataset[[#This Row],[Temperature]]&lt;=20,"Cold",smart_dataset[[#This Row],[Temperature]]&lt;=28,"Normal",TRUE,"Hot")</f>
        <v>Normal</v>
      </c>
      <c r="W601" t="str" cm="1">
        <f t="array" ref="W601">_xlfn.IFS(smart_dataset[[#This Row],[Asset_Utilization]]&lt;=75,"Low",smart_dataset[[#This Row],[Asset_Utilization]]&lt;=90,"Medium",TRUE,"High")</f>
        <v>Medium</v>
      </c>
    </row>
    <row r="602" spans="1:23" x14ac:dyDescent="0.25">
      <c r="A602" s="1">
        <v>45420.422986111109</v>
      </c>
      <c r="B602" s="1">
        <f>INT(smart_dataset[[#This Row],[Timestamp]])</f>
        <v>45420</v>
      </c>
      <c r="C602" s="7">
        <f>MOD(smart_dataset[[#This Row],[Timestamp]],1)</f>
        <v>0.42298611110891216</v>
      </c>
      <c r="D602">
        <f>YEAR(smart_dataset[[#This Row],[Date]])</f>
        <v>2024</v>
      </c>
      <c r="E602">
        <f>MONTH(smart_dataset[[#This Row],[Timestamp]])</f>
        <v>5</v>
      </c>
      <c r="F602" t="s">
        <v>20</v>
      </c>
      <c r="G602">
        <v>-43.417099999999998</v>
      </c>
      <c r="H602">
        <v>160.84229999999999</v>
      </c>
      <c r="I602">
        <v>128</v>
      </c>
      <c r="J602" t="s">
        <v>17</v>
      </c>
      <c r="K602">
        <v>23</v>
      </c>
      <c r="L602">
        <v>69.7</v>
      </c>
      <c r="M602" t="s">
        <v>28</v>
      </c>
      <c r="N602">
        <v>30</v>
      </c>
      <c r="O602">
        <v>462</v>
      </c>
      <c r="P602">
        <v>8</v>
      </c>
      <c r="Q602" t="s">
        <v>19</v>
      </c>
      <c r="R602">
        <v>76.7</v>
      </c>
      <c r="S602">
        <v>105</v>
      </c>
      <c r="T602">
        <v>1</v>
      </c>
      <c r="U602" t="str" cm="1">
        <f t="array" ref="U602">_xlfn.IFS(smart_dataset[[#This Row],[Waiting_Time]]&lt;=20,"Low",smart_dataset[[#This Row],[Waiting_Time]]&lt;=40,"Medium",TRUE,"High")</f>
        <v>Medium</v>
      </c>
      <c r="V602" t="str" cm="1">
        <f t="array" ref="V602">_xlfn.IFS(smart_dataset[[#This Row],[Temperature]]&lt;=20,"Cold",smart_dataset[[#This Row],[Temperature]]&lt;=28,"Normal",TRUE,"Hot")</f>
        <v>Normal</v>
      </c>
      <c r="W602" t="str" cm="1">
        <f t="array" ref="W602">_xlfn.IFS(smart_dataset[[#This Row],[Asset_Utilization]]&lt;=75,"Low",smart_dataset[[#This Row],[Asset_Utilization]]&lt;=90,"Medium",TRUE,"High")</f>
        <v>Medium</v>
      </c>
    </row>
    <row r="603" spans="1:23" hidden="1" x14ac:dyDescent="0.25">
      <c r="A603" s="1">
        <v>45480.825868055559</v>
      </c>
      <c r="B603" s="1">
        <f>INT(smart_dataset[[#This Row],[Timestamp]])</f>
        <v>45480</v>
      </c>
      <c r="C603" s="1">
        <f>MOD(smart_dataset[[#This Row],[Timestamp]],1)</f>
        <v>0.82586805555911269</v>
      </c>
      <c r="D603" s="1">
        <f>YEAR(smart_dataset[[#This Row],[Date]])</f>
        <v>2024</v>
      </c>
      <c r="E603" s="1">
        <f>MONTH(smart_dataset[[#This Row],[Timestamp]])</f>
        <v>7</v>
      </c>
      <c r="F603" t="s">
        <v>30</v>
      </c>
      <c r="G603">
        <v>-82.705799999999996</v>
      </c>
      <c r="H603">
        <v>-62.704000000000001</v>
      </c>
      <c r="I603">
        <v>426</v>
      </c>
      <c r="J603" t="s">
        <v>17</v>
      </c>
      <c r="K603">
        <v>24.2</v>
      </c>
      <c r="L603">
        <v>75.7</v>
      </c>
      <c r="M603" t="s">
        <v>28</v>
      </c>
      <c r="N603">
        <v>51</v>
      </c>
      <c r="O603">
        <v>303</v>
      </c>
      <c r="P603">
        <v>10</v>
      </c>
      <c r="Q603" t="s">
        <v>31</v>
      </c>
      <c r="R603">
        <v>94.1</v>
      </c>
      <c r="S603">
        <v>160</v>
      </c>
      <c r="T603">
        <v>1</v>
      </c>
      <c r="U603" t="str" cm="1">
        <f t="array" ref="U603">_xlfn.IFS(smart_dataset[[#This Row],[Waiting_Time]]&lt;=20,"Low",smart_dataset[[#This Row],[Waiting_Time]]&lt;=40,"Medium",TRUE,"High")</f>
        <v>High</v>
      </c>
      <c r="V603" t="str" cm="1">
        <f t="array" ref="V603">_xlfn.IFS(smart_dataset[[#This Row],[Temperature]]&lt;=20,"Cold",smart_dataset[[#This Row],[Temperature]]&lt;=28,"Normal",TRUE,"Hot")</f>
        <v>Normal</v>
      </c>
      <c r="W603" t="str" cm="1">
        <f t="array" ref="W603">_xlfn.IFS(smart_dataset[[#This Row],[Asset_Utilization]]&lt;=75,"Low",smart_dataset[[#This Row],[Asset_Utilization]]&lt;=90,"Medium",TRUE,"High")</f>
        <v>High</v>
      </c>
    </row>
    <row r="604" spans="1:23" x14ac:dyDescent="0.25">
      <c r="A604" s="1">
        <v>45622.948194444441</v>
      </c>
      <c r="B604" s="1">
        <f>INT(smart_dataset[[#This Row],[Timestamp]])</f>
        <v>45622</v>
      </c>
      <c r="C604" s="7">
        <f>MOD(smart_dataset[[#This Row],[Timestamp]],1)</f>
        <v>0.94819444444146939</v>
      </c>
      <c r="D604">
        <f>YEAR(smart_dataset[[#This Row],[Date]])</f>
        <v>2024</v>
      </c>
      <c r="E604">
        <f>MONTH(smart_dataset[[#This Row],[Timestamp]])</f>
        <v>11</v>
      </c>
      <c r="F604" t="s">
        <v>20</v>
      </c>
      <c r="G604">
        <v>-75.321100000000001</v>
      </c>
      <c r="H604">
        <v>-58.774900000000002</v>
      </c>
      <c r="I604">
        <v>349</v>
      </c>
      <c r="J604" t="s">
        <v>26</v>
      </c>
      <c r="K604">
        <v>21.1</v>
      </c>
      <c r="L604">
        <v>54.1</v>
      </c>
      <c r="M604" t="s">
        <v>18</v>
      </c>
      <c r="N604">
        <v>47</v>
      </c>
      <c r="O604">
        <v>290</v>
      </c>
      <c r="P604">
        <v>5</v>
      </c>
      <c r="Q604" t="s">
        <v>19</v>
      </c>
      <c r="R604">
        <v>70.400000000000006</v>
      </c>
      <c r="S604">
        <v>233</v>
      </c>
      <c r="T604">
        <v>0</v>
      </c>
      <c r="U604" t="str" cm="1">
        <f t="array" ref="U604">_xlfn.IFS(smart_dataset[[#This Row],[Waiting_Time]]&lt;=20,"Low",smart_dataset[[#This Row],[Waiting_Time]]&lt;=40,"Medium",TRUE,"High")</f>
        <v>High</v>
      </c>
      <c r="V604" t="str" cm="1">
        <f t="array" ref="V604">_xlfn.IFS(smart_dataset[[#This Row],[Temperature]]&lt;=20,"Cold",smart_dataset[[#This Row],[Temperature]]&lt;=28,"Normal",TRUE,"Hot")</f>
        <v>Normal</v>
      </c>
      <c r="W604" t="str" cm="1">
        <f t="array" ref="W604">_xlfn.IFS(smart_dataset[[#This Row],[Asset_Utilization]]&lt;=75,"Low",smart_dataset[[#This Row],[Asset_Utilization]]&lt;=90,"Medium",TRUE,"High")</f>
        <v>Low</v>
      </c>
    </row>
    <row r="605" spans="1:23" hidden="1" x14ac:dyDescent="0.25">
      <c r="A605" s="1">
        <v>45295.133692129632</v>
      </c>
      <c r="B605" s="1">
        <f>INT(smart_dataset[[#This Row],[Timestamp]])</f>
        <v>45295</v>
      </c>
      <c r="C605" s="1">
        <f>MOD(smart_dataset[[#This Row],[Timestamp]],1)</f>
        <v>0.13369212963152677</v>
      </c>
      <c r="D605" s="1">
        <f>YEAR(smart_dataset[[#This Row],[Date]])</f>
        <v>2024</v>
      </c>
      <c r="E605" s="1">
        <f>MONTH(smart_dataset[[#This Row],[Timestamp]])</f>
        <v>1</v>
      </c>
      <c r="F605" t="s">
        <v>29</v>
      </c>
      <c r="G605">
        <v>-50.708500000000001</v>
      </c>
      <c r="H605">
        <v>-85.451499999999996</v>
      </c>
      <c r="I605">
        <v>173</v>
      </c>
      <c r="J605" t="s">
        <v>21</v>
      </c>
      <c r="K605">
        <v>23.1</v>
      </c>
      <c r="L605">
        <v>56</v>
      </c>
      <c r="M605" t="s">
        <v>22</v>
      </c>
      <c r="N605">
        <v>50</v>
      </c>
      <c r="O605">
        <v>440</v>
      </c>
      <c r="P605">
        <v>3</v>
      </c>
      <c r="Q605" t="s">
        <v>31</v>
      </c>
      <c r="R605">
        <v>73.400000000000006</v>
      </c>
      <c r="S605">
        <v>289</v>
      </c>
      <c r="T605">
        <v>1</v>
      </c>
      <c r="U605" t="str" cm="1">
        <f t="array" ref="U605">_xlfn.IFS(smart_dataset[[#This Row],[Waiting_Time]]&lt;=20,"Low",smart_dataset[[#This Row],[Waiting_Time]]&lt;=40,"Medium",TRUE,"High")</f>
        <v>High</v>
      </c>
      <c r="V605" t="str" cm="1">
        <f t="array" ref="V605">_xlfn.IFS(smart_dataset[[#This Row],[Temperature]]&lt;=20,"Cold",smart_dataset[[#This Row],[Temperature]]&lt;=28,"Normal",TRUE,"Hot")</f>
        <v>Normal</v>
      </c>
      <c r="W605" t="str" cm="1">
        <f t="array" ref="W605">_xlfn.IFS(smart_dataset[[#This Row],[Asset_Utilization]]&lt;=75,"Low",smart_dataset[[#This Row],[Asset_Utilization]]&lt;=90,"Medium",TRUE,"High")</f>
        <v>Low</v>
      </c>
    </row>
    <row r="606" spans="1:23" hidden="1" x14ac:dyDescent="0.25">
      <c r="A606" s="1">
        <v>45504.624571759261</v>
      </c>
      <c r="B606" s="1">
        <f>INT(smart_dataset[[#This Row],[Timestamp]])</f>
        <v>45504</v>
      </c>
      <c r="C606" s="1">
        <f>MOD(smart_dataset[[#This Row],[Timestamp]],1)</f>
        <v>0.62457175926101627</v>
      </c>
      <c r="D606" s="1">
        <f>YEAR(smart_dataset[[#This Row],[Date]])</f>
        <v>2024</v>
      </c>
      <c r="E606" s="1">
        <f>MONTH(smart_dataset[[#This Row],[Timestamp]])</f>
        <v>7</v>
      </c>
      <c r="F606" t="s">
        <v>24</v>
      </c>
      <c r="G606">
        <v>70.710099999999997</v>
      </c>
      <c r="H606">
        <v>-175.98650000000001</v>
      </c>
      <c r="I606">
        <v>184</v>
      </c>
      <c r="J606" t="s">
        <v>17</v>
      </c>
      <c r="K606">
        <v>24.5</v>
      </c>
      <c r="L606">
        <v>54.9</v>
      </c>
      <c r="M606" t="s">
        <v>18</v>
      </c>
      <c r="N606">
        <v>23</v>
      </c>
      <c r="O606">
        <v>159</v>
      </c>
      <c r="P606">
        <v>7</v>
      </c>
      <c r="Q606" t="s">
        <v>27</v>
      </c>
      <c r="R606">
        <v>60.2</v>
      </c>
      <c r="S606">
        <v>120</v>
      </c>
      <c r="T606">
        <v>1</v>
      </c>
      <c r="U606" t="str" cm="1">
        <f t="array" ref="U606">_xlfn.IFS(smart_dataset[[#This Row],[Waiting_Time]]&lt;=20,"Low",smart_dataset[[#This Row],[Waiting_Time]]&lt;=40,"Medium",TRUE,"High")</f>
        <v>Medium</v>
      </c>
      <c r="V606" t="str" cm="1">
        <f t="array" ref="V606">_xlfn.IFS(smart_dataset[[#This Row],[Temperature]]&lt;=20,"Cold",smart_dataset[[#This Row],[Temperature]]&lt;=28,"Normal",TRUE,"Hot")</f>
        <v>Normal</v>
      </c>
      <c r="W606" t="str" cm="1">
        <f t="array" ref="W606">_xlfn.IFS(smart_dataset[[#This Row],[Asset_Utilization]]&lt;=75,"Low",smart_dataset[[#This Row],[Asset_Utilization]]&lt;=90,"Medium",TRUE,"High")</f>
        <v>Low</v>
      </c>
    </row>
    <row r="607" spans="1:23" hidden="1" x14ac:dyDescent="0.25">
      <c r="A607" s="1">
        <v>45435.974733796298</v>
      </c>
      <c r="B607" s="1">
        <f>INT(smart_dataset[[#This Row],[Timestamp]])</f>
        <v>45435</v>
      </c>
      <c r="C607" s="1">
        <f>MOD(smart_dataset[[#This Row],[Timestamp]],1)</f>
        <v>0.97473379629809642</v>
      </c>
      <c r="D607" s="1">
        <f>YEAR(smart_dataset[[#This Row],[Date]])</f>
        <v>2024</v>
      </c>
      <c r="E607" s="1">
        <f>MONTH(smart_dataset[[#This Row],[Timestamp]])</f>
        <v>5</v>
      </c>
      <c r="F607" t="s">
        <v>34</v>
      </c>
      <c r="G607">
        <v>-71.100399999999993</v>
      </c>
      <c r="H607">
        <v>-147.75700000000001</v>
      </c>
      <c r="I607">
        <v>318</v>
      </c>
      <c r="J607" t="s">
        <v>17</v>
      </c>
      <c r="K607">
        <v>25.5</v>
      </c>
      <c r="L607">
        <v>64.3</v>
      </c>
      <c r="M607" t="s">
        <v>22</v>
      </c>
      <c r="N607">
        <v>15</v>
      </c>
      <c r="O607">
        <v>215</v>
      </c>
      <c r="P607">
        <v>8</v>
      </c>
      <c r="Q607" t="s">
        <v>27</v>
      </c>
      <c r="R607">
        <v>69.099999999999994</v>
      </c>
      <c r="S607">
        <v>158</v>
      </c>
      <c r="T607">
        <v>1</v>
      </c>
      <c r="U607" t="str" cm="1">
        <f t="array" ref="U607">_xlfn.IFS(smart_dataset[[#This Row],[Waiting_Time]]&lt;=20,"Low",smart_dataset[[#This Row],[Waiting_Time]]&lt;=40,"Medium",TRUE,"High")</f>
        <v>Low</v>
      </c>
      <c r="V607" t="str" cm="1">
        <f t="array" ref="V607">_xlfn.IFS(smart_dataset[[#This Row],[Temperature]]&lt;=20,"Cold",smart_dataset[[#This Row],[Temperature]]&lt;=28,"Normal",TRUE,"Hot")</f>
        <v>Normal</v>
      </c>
      <c r="W607" t="str" cm="1">
        <f t="array" ref="W607">_xlfn.IFS(smart_dataset[[#This Row],[Asset_Utilization]]&lt;=75,"Low",smart_dataset[[#This Row],[Asset_Utilization]]&lt;=90,"Medium",TRUE,"High")</f>
        <v>Low</v>
      </c>
    </row>
    <row r="608" spans="1:23" hidden="1" x14ac:dyDescent="0.25">
      <c r="A608" s="1">
        <v>45477.003495370373</v>
      </c>
      <c r="B608" s="1">
        <f>INT(smart_dataset[[#This Row],[Timestamp]])</f>
        <v>45477</v>
      </c>
      <c r="C608" s="1">
        <f>MOD(smart_dataset[[#This Row],[Timestamp]],1)</f>
        <v>3.4953703725477681E-3</v>
      </c>
      <c r="D608" s="1">
        <f>YEAR(smart_dataset[[#This Row],[Date]])</f>
        <v>2024</v>
      </c>
      <c r="E608" s="1">
        <f>MONTH(smart_dataset[[#This Row],[Timestamp]])</f>
        <v>7</v>
      </c>
      <c r="F608" t="s">
        <v>33</v>
      </c>
      <c r="G608">
        <v>-76.897199999999998</v>
      </c>
      <c r="H608">
        <v>-3.6358000000000001</v>
      </c>
      <c r="I608">
        <v>288</v>
      </c>
      <c r="J608" t="s">
        <v>26</v>
      </c>
      <c r="K608">
        <v>24.7</v>
      </c>
      <c r="L608">
        <v>67.400000000000006</v>
      </c>
      <c r="M608" t="s">
        <v>18</v>
      </c>
      <c r="N608">
        <v>37</v>
      </c>
      <c r="O608">
        <v>230</v>
      </c>
      <c r="P608">
        <v>7</v>
      </c>
      <c r="Q608" t="s">
        <v>31</v>
      </c>
      <c r="R608">
        <v>65</v>
      </c>
      <c r="S608">
        <v>259</v>
      </c>
      <c r="T608">
        <v>0</v>
      </c>
      <c r="U608" t="str" cm="1">
        <f t="array" ref="U608">_xlfn.IFS(smart_dataset[[#This Row],[Waiting_Time]]&lt;=20,"Low",smart_dataset[[#This Row],[Waiting_Time]]&lt;=40,"Medium",TRUE,"High")</f>
        <v>Medium</v>
      </c>
      <c r="V608" t="str" cm="1">
        <f t="array" ref="V608">_xlfn.IFS(smart_dataset[[#This Row],[Temperature]]&lt;=20,"Cold",smart_dataset[[#This Row],[Temperature]]&lt;=28,"Normal",TRUE,"Hot")</f>
        <v>Normal</v>
      </c>
      <c r="W608" t="str" cm="1">
        <f t="array" ref="W608">_xlfn.IFS(smart_dataset[[#This Row],[Asset_Utilization]]&lt;=75,"Low",smart_dataset[[#This Row],[Asset_Utilization]]&lt;=90,"Medium",TRUE,"High")</f>
        <v>Low</v>
      </c>
    </row>
    <row r="609" spans="1:23" hidden="1" x14ac:dyDescent="0.25">
      <c r="A609" s="1">
        <v>45522.976238425923</v>
      </c>
      <c r="B609" s="1">
        <f>INT(smart_dataset[[#This Row],[Timestamp]])</f>
        <v>45522</v>
      </c>
      <c r="C609" s="1">
        <f>MOD(smart_dataset[[#This Row],[Timestamp]],1)</f>
        <v>0.97623842592292931</v>
      </c>
      <c r="D609" s="1">
        <f>YEAR(smart_dataset[[#This Row],[Date]])</f>
        <v>2024</v>
      </c>
      <c r="E609" s="1">
        <f>MONTH(smart_dataset[[#This Row],[Timestamp]])</f>
        <v>8</v>
      </c>
      <c r="F609" t="s">
        <v>20</v>
      </c>
      <c r="G609">
        <v>39.799799999999998</v>
      </c>
      <c r="H609">
        <v>58.746099999999998</v>
      </c>
      <c r="I609">
        <v>317</v>
      </c>
      <c r="J609" t="s">
        <v>26</v>
      </c>
      <c r="K609">
        <v>18.5</v>
      </c>
      <c r="L609">
        <v>66</v>
      </c>
      <c r="M609" t="s">
        <v>22</v>
      </c>
      <c r="N609">
        <v>36</v>
      </c>
      <c r="O609">
        <v>465</v>
      </c>
      <c r="P609">
        <v>1</v>
      </c>
      <c r="Q609" t="s">
        <v>31</v>
      </c>
      <c r="R609">
        <v>68</v>
      </c>
      <c r="S609">
        <v>180</v>
      </c>
      <c r="T609">
        <v>1</v>
      </c>
      <c r="U609" t="str" cm="1">
        <f t="array" ref="U609">_xlfn.IFS(smart_dataset[[#This Row],[Waiting_Time]]&lt;=20,"Low",smart_dataset[[#This Row],[Waiting_Time]]&lt;=40,"Medium",TRUE,"High")</f>
        <v>Medium</v>
      </c>
      <c r="V609" t="str" cm="1">
        <f t="array" ref="V609">_xlfn.IFS(smart_dataset[[#This Row],[Temperature]]&lt;=20,"Cold",smart_dataset[[#This Row],[Temperature]]&lt;=28,"Normal",TRUE,"Hot")</f>
        <v>Cold</v>
      </c>
      <c r="W609" t="str" cm="1">
        <f t="array" ref="W609">_xlfn.IFS(smart_dataset[[#This Row],[Asset_Utilization]]&lt;=75,"Low",smart_dataset[[#This Row],[Asset_Utilization]]&lt;=90,"Medium",TRUE,"High")</f>
        <v>Low</v>
      </c>
    </row>
    <row r="610" spans="1:23" x14ac:dyDescent="0.25">
      <c r="A610" s="1">
        <v>45588.639074074075</v>
      </c>
      <c r="B610" s="1">
        <f>INT(smart_dataset[[#This Row],[Timestamp]])</f>
        <v>45588</v>
      </c>
      <c r="C610" s="7">
        <f>MOD(smart_dataset[[#This Row],[Timestamp]],1)</f>
        <v>0.63907407407532446</v>
      </c>
      <c r="D610">
        <f>YEAR(smart_dataset[[#This Row],[Date]])</f>
        <v>2024</v>
      </c>
      <c r="E610">
        <f>MONTH(smart_dataset[[#This Row],[Timestamp]])</f>
        <v>10</v>
      </c>
      <c r="F610" t="s">
        <v>16</v>
      </c>
      <c r="G610">
        <v>78.595399999999998</v>
      </c>
      <c r="H610">
        <v>-173.0016</v>
      </c>
      <c r="I610">
        <v>122</v>
      </c>
      <c r="J610" t="s">
        <v>21</v>
      </c>
      <c r="K610">
        <v>26.7</v>
      </c>
      <c r="L610">
        <v>73.2</v>
      </c>
      <c r="M610" t="s">
        <v>28</v>
      </c>
      <c r="N610">
        <v>37</v>
      </c>
      <c r="O610">
        <v>128</v>
      </c>
      <c r="P610">
        <v>9</v>
      </c>
      <c r="Q610" t="s">
        <v>19</v>
      </c>
      <c r="R610">
        <v>81.400000000000006</v>
      </c>
      <c r="S610">
        <v>174</v>
      </c>
      <c r="T610">
        <v>0</v>
      </c>
      <c r="U610" t="str" cm="1">
        <f t="array" ref="U610">_xlfn.IFS(smart_dataset[[#This Row],[Waiting_Time]]&lt;=20,"Low",smart_dataset[[#This Row],[Waiting_Time]]&lt;=40,"Medium",TRUE,"High")</f>
        <v>Medium</v>
      </c>
      <c r="V610" t="str" cm="1">
        <f t="array" ref="V610">_xlfn.IFS(smart_dataset[[#This Row],[Temperature]]&lt;=20,"Cold",smart_dataset[[#This Row],[Temperature]]&lt;=28,"Normal",TRUE,"Hot")</f>
        <v>Normal</v>
      </c>
      <c r="W610" t="str" cm="1">
        <f t="array" ref="W610">_xlfn.IFS(smart_dataset[[#This Row],[Asset_Utilization]]&lt;=75,"Low",smart_dataset[[#This Row],[Asset_Utilization]]&lt;=90,"Medium",TRUE,"High")</f>
        <v>Medium</v>
      </c>
    </row>
    <row r="611" spans="1:23" hidden="1" x14ac:dyDescent="0.25">
      <c r="A611" s="1">
        <v>45475.69494212963</v>
      </c>
      <c r="B611" s="1">
        <f>INT(smart_dataset[[#This Row],[Timestamp]])</f>
        <v>45475</v>
      </c>
      <c r="C611" s="1">
        <f>MOD(smart_dataset[[#This Row],[Timestamp]],1)</f>
        <v>0.69494212963036261</v>
      </c>
      <c r="D611" s="1">
        <f>YEAR(smart_dataset[[#This Row],[Date]])</f>
        <v>2024</v>
      </c>
      <c r="E611" s="1">
        <f>MONTH(smart_dataset[[#This Row],[Timestamp]])</f>
        <v>7</v>
      </c>
      <c r="F611" t="s">
        <v>29</v>
      </c>
      <c r="G611">
        <v>-53.526400000000002</v>
      </c>
      <c r="H611">
        <v>13.001899999999999</v>
      </c>
      <c r="I611">
        <v>291</v>
      </c>
      <c r="J611" t="s">
        <v>26</v>
      </c>
      <c r="K611">
        <v>24.2</v>
      </c>
      <c r="L611">
        <v>67</v>
      </c>
      <c r="M611" t="s">
        <v>22</v>
      </c>
      <c r="N611">
        <v>29</v>
      </c>
      <c r="O611">
        <v>431</v>
      </c>
      <c r="P611">
        <v>9</v>
      </c>
      <c r="Q611" t="s">
        <v>27</v>
      </c>
      <c r="R611">
        <v>90.1</v>
      </c>
      <c r="S611">
        <v>172</v>
      </c>
      <c r="T611">
        <v>1</v>
      </c>
      <c r="U611" t="str" cm="1">
        <f t="array" ref="U611">_xlfn.IFS(smart_dataset[[#This Row],[Waiting_Time]]&lt;=20,"Low",smart_dataset[[#This Row],[Waiting_Time]]&lt;=40,"Medium",TRUE,"High")</f>
        <v>Medium</v>
      </c>
      <c r="V611" t="str" cm="1">
        <f t="array" ref="V611">_xlfn.IFS(smart_dataset[[#This Row],[Temperature]]&lt;=20,"Cold",smart_dataset[[#This Row],[Temperature]]&lt;=28,"Normal",TRUE,"Hot")</f>
        <v>Normal</v>
      </c>
      <c r="W611" t="str" cm="1">
        <f t="array" ref="W611">_xlfn.IFS(smart_dataset[[#This Row],[Asset_Utilization]]&lt;=75,"Low",smart_dataset[[#This Row],[Asset_Utilization]]&lt;=90,"Medium",TRUE,"High")</f>
        <v>High</v>
      </c>
    </row>
    <row r="612" spans="1:23" hidden="1" x14ac:dyDescent="0.25">
      <c r="A612" s="1">
        <v>45301.702939814815</v>
      </c>
      <c r="B612" s="1">
        <f>INT(smart_dataset[[#This Row],[Timestamp]])</f>
        <v>45301</v>
      </c>
      <c r="C612" s="1">
        <f>MOD(smart_dataset[[#This Row],[Timestamp]],1)</f>
        <v>0.70293981481518131</v>
      </c>
      <c r="D612" s="1">
        <f>YEAR(smart_dataset[[#This Row],[Date]])</f>
        <v>2024</v>
      </c>
      <c r="E612" s="1">
        <f>MONTH(smart_dataset[[#This Row],[Timestamp]])</f>
        <v>1</v>
      </c>
      <c r="F612" t="s">
        <v>35</v>
      </c>
      <c r="G612">
        <v>49.304900000000004</v>
      </c>
      <c r="H612">
        <v>-55.649299999999997</v>
      </c>
      <c r="I612">
        <v>199</v>
      </c>
      <c r="J612" t="s">
        <v>26</v>
      </c>
      <c r="K612">
        <v>23.4</v>
      </c>
      <c r="L612">
        <v>64.400000000000006</v>
      </c>
      <c r="M612" t="s">
        <v>22</v>
      </c>
      <c r="N612">
        <v>59</v>
      </c>
      <c r="O612">
        <v>476</v>
      </c>
      <c r="P612">
        <v>10</v>
      </c>
      <c r="Q612" t="s">
        <v>27</v>
      </c>
      <c r="R612">
        <v>81.3</v>
      </c>
      <c r="S612">
        <v>123</v>
      </c>
      <c r="T612">
        <v>1</v>
      </c>
      <c r="U612" t="str" cm="1">
        <f t="array" ref="U612">_xlfn.IFS(smart_dataset[[#This Row],[Waiting_Time]]&lt;=20,"Low",smart_dataset[[#This Row],[Waiting_Time]]&lt;=40,"Medium",TRUE,"High")</f>
        <v>High</v>
      </c>
      <c r="V612" t="str" cm="1">
        <f t="array" ref="V612">_xlfn.IFS(smart_dataset[[#This Row],[Temperature]]&lt;=20,"Cold",smart_dataset[[#This Row],[Temperature]]&lt;=28,"Normal",TRUE,"Hot")</f>
        <v>Normal</v>
      </c>
      <c r="W612" t="str" cm="1">
        <f t="array" ref="W612">_xlfn.IFS(smart_dataset[[#This Row],[Asset_Utilization]]&lt;=75,"Low",smart_dataset[[#This Row],[Asset_Utilization]]&lt;=90,"Medium",TRUE,"High")</f>
        <v>Medium</v>
      </c>
    </row>
    <row r="613" spans="1:23" hidden="1" x14ac:dyDescent="0.25">
      <c r="A613" s="1">
        <v>45590.668217592596</v>
      </c>
      <c r="B613" s="1">
        <f>INT(smart_dataset[[#This Row],[Timestamp]])</f>
        <v>45590</v>
      </c>
      <c r="C613" s="1">
        <f>MOD(smart_dataset[[#This Row],[Timestamp]],1)</f>
        <v>0.66821759259619284</v>
      </c>
      <c r="D613" s="1">
        <f>YEAR(smart_dataset[[#This Row],[Date]])</f>
        <v>2024</v>
      </c>
      <c r="E613" s="1">
        <f>MONTH(smart_dataset[[#This Row],[Timestamp]])</f>
        <v>10</v>
      </c>
      <c r="F613" t="s">
        <v>32</v>
      </c>
      <c r="G613">
        <v>72.998099999999994</v>
      </c>
      <c r="H613">
        <v>12.402900000000001</v>
      </c>
      <c r="I613">
        <v>488</v>
      </c>
      <c r="J613" t="s">
        <v>26</v>
      </c>
      <c r="K613">
        <v>21.9</v>
      </c>
      <c r="L613">
        <v>75.8</v>
      </c>
      <c r="M613" t="s">
        <v>18</v>
      </c>
      <c r="N613">
        <v>30</v>
      </c>
      <c r="O613">
        <v>147</v>
      </c>
      <c r="P613">
        <v>3</v>
      </c>
      <c r="Q613" t="s">
        <v>31</v>
      </c>
      <c r="R613">
        <v>81.599999999999994</v>
      </c>
      <c r="S613">
        <v>252</v>
      </c>
      <c r="T613">
        <v>0</v>
      </c>
      <c r="U613" t="str" cm="1">
        <f t="array" ref="U613">_xlfn.IFS(smart_dataset[[#This Row],[Waiting_Time]]&lt;=20,"Low",smart_dataset[[#This Row],[Waiting_Time]]&lt;=40,"Medium",TRUE,"High")</f>
        <v>Medium</v>
      </c>
      <c r="V613" t="str" cm="1">
        <f t="array" ref="V613">_xlfn.IFS(smart_dataset[[#This Row],[Temperature]]&lt;=20,"Cold",smart_dataset[[#This Row],[Temperature]]&lt;=28,"Normal",TRUE,"Hot")</f>
        <v>Normal</v>
      </c>
      <c r="W613" t="str" cm="1">
        <f t="array" ref="W613">_xlfn.IFS(smart_dataset[[#This Row],[Asset_Utilization]]&lt;=75,"Low",smart_dataset[[#This Row],[Asset_Utilization]]&lt;=90,"Medium",TRUE,"High")</f>
        <v>Medium</v>
      </c>
    </row>
    <row r="614" spans="1:23" x14ac:dyDescent="0.25">
      <c r="A614" s="1">
        <v>45349.906967592593</v>
      </c>
      <c r="B614" s="1">
        <f>INT(smart_dataset[[#This Row],[Timestamp]])</f>
        <v>45349</v>
      </c>
      <c r="C614" s="7">
        <f>MOD(smart_dataset[[#This Row],[Timestamp]],1)</f>
        <v>0.90696759259299142</v>
      </c>
      <c r="D614">
        <f>YEAR(smart_dataset[[#This Row],[Date]])</f>
        <v>2024</v>
      </c>
      <c r="E614">
        <f>MONTH(smart_dataset[[#This Row],[Timestamp]])</f>
        <v>2</v>
      </c>
      <c r="F614" t="s">
        <v>35</v>
      </c>
      <c r="G614">
        <v>80.417699999999996</v>
      </c>
      <c r="H614">
        <v>-39.963200000000001</v>
      </c>
      <c r="I614">
        <v>445</v>
      </c>
      <c r="J614" t="s">
        <v>17</v>
      </c>
      <c r="K614">
        <v>20.6</v>
      </c>
      <c r="L614">
        <v>68.2</v>
      </c>
      <c r="M614" t="s">
        <v>28</v>
      </c>
      <c r="N614">
        <v>41</v>
      </c>
      <c r="O614">
        <v>418</v>
      </c>
      <c r="P614">
        <v>9</v>
      </c>
      <c r="Q614" t="s">
        <v>19</v>
      </c>
      <c r="R614">
        <v>93.6</v>
      </c>
      <c r="S614">
        <v>184</v>
      </c>
      <c r="T614">
        <v>1</v>
      </c>
      <c r="U614" t="str" cm="1">
        <f t="array" ref="U614">_xlfn.IFS(smart_dataset[[#This Row],[Waiting_Time]]&lt;=20,"Low",smart_dataset[[#This Row],[Waiting_Time]]&lt;=40,"Medium",TRUE,"High")</f>
        <v>High</v>
      </c>
      <c r="V614" t="str" cm="1">
        <f t="array" ref="V614">_xlfn.IFS(smart_dataset[[#This Row],[Temperature]]&lt;=20,"Cold",smart_dataset[[#This Row],[Temperature]]&lt;=28,"Normal",TRUE,"Hot")</f>
        <v>Normal</v>
      </c>
      <c r="W614" t="str" cm="1">
        <f t="array" ref="W614">_xlfn.IFS(smart_dataset[[#This Row],[Asset_Utilization]]&lt;=75,"Low",smart_dataset[[#This Row],[Asset_Utilization]]&lt;=90,"Medium",TRUE,"High")</f>
        <v>High</v>
      </c>
    </row>
    <row r="615" spans="1:23" hidden="1" x14ac:dyDescent="0.25">
      <c r="A615" s="1">
        <v>45510.187060185184</v>
      </c>
      <c r="B615" s="1">
        <f>INT(smart_dataset[[#This Row],[Timestamp]])</f>
        <v>45510</v>
      </c>
      <c r="C615" s="1">
        <f>MOD(smart_dataset[[#This Row],[Timestamp]],1)</f>
        <v>0.18706018518423662</v>
      </c>
      <c r="D615" s="1">
        <f>YEAR(smart_dataset[[#This Row],[Date]])</f>
        <v>2024</v>
      </c>
      <c r="E615" s="1">
        <f>MONTH(smart_dataset[[#This Row],[Timestamp]])</f>
        <v>8</v>
      </c>
      <c r="F615" t="s">
        <v>30</v>
      </c>
      <c r="G615">
        <v>-51.024700000000003</v>
      </c>
      <c r="H615">
        <v>1.8063</v>
      </c>
      <c r="I615">
        <v>247</v>
      </c>
      <c r="J615" t="s">
        <v>17</v>
      </c>
      <c r="K615">
        <v>19.3</v>
      </c>
      <c r="L615">
        <v>62.9</v>
      </c>
      <c r="M615" t="s">
        <v>28</v>
      </c>
      <c r="N615">
        <v>55</v>
      </c>
      <c r="O615">
        <v>466</v>
      </c>
      <c r="P615">
        <v>2</v>
      </c>
      <c r="Q615" t="s">
        <v>23</v>
      </c>
      <c r="R615">
        <v>78</v>
      </c>
      <c r="S615">
        <v>183</v>
      </c>
      <c r="T615">
        <v>1</v>
      </c>
      <c r="U615" t="str" cm="1">
        <f t="array" ref="U615">_xlfn.IFS(smart_dataset[[#This Row],[Waiting_Time]]&lt;=20,"Low",smart_dataset[[#This Row],[Waiting_Time]]&lt;=40,"Medium",TRUE,"High")</f>
        <v>High</v>
      </c>
      <c r="V615" t="str" cm="1">
        <f t="array" ref="V615">_xlfn.IFS(smart_dataset[[#This Row],[Temperature]]&lt;=20,"Cold",smart_dataset[[#This Row],[Temperature]]&lt;=28,"Normal",TRUE,"Hot")</f>
        <v>Cold</v>
      </c>
      <c r="W615" t="str" cm="1">
        <f t="array" ref="W615">_xlfn.IFS(smart_dataset[[#This Row],[Asset_Utilization]]&lt;=75,"Low",smart_dataset[[#This Row],[Asset_Utilization]]&lt;=90,"Medium",TRUE,"High")</f>
        <v>Medium</v>
      </c>
    </row>
    <row r="616" spans="1:23" hidden="1" x14ac:dyDescent="0.25">
      <c r="A616" s="1">
        <v>45544.787731481483</v>
      </c>
      <c r="B616" s="1">
        <f>INT(smart_dataset[[#This Row],[Timestamp]])</f>
        <v>45544</v>
      </c>
      <c r="C616" s="1">
        <f>MOD(smart_dataset[[#This Row],[Timestamp]],1)</f>
        <v>0.78773148148320615</v>
      </c>
      <c r="D616" s="1">
        <f>YEAR(smart_dataset[[#This Row],[Date]])</f>
        <v>2024</v>
      </c>
      <c r="E616" s="1">
        <f>MONTH(smart_dataset[[#This Row],[Timestamp]])</f>
        <v>9</v>
      </c>
      <c r="F616" t="s">
        <v>29</v>
      </c>
      <c r="G616">
        <v>5.2922000000000002</v>
      </c>
      <c r="H616">
        <v>172.63759999999999</v>
      </c>
      <c r="I616">
        <v>351</v>
      </c>
      <c r="J616" t="s">
        <v>21</v>
      </c>
      <c r="K616">
        <v>29.7</v>
      </c>
      <c r="L616">
        <v>52.1</v>
      </c>
      <c r="M616" t="s">
        <v>28</v>
      </c>
      <c r="N616">
        <v>41</v>
      </c>
      <c r="O616">
        <v>330</v>
      </c>
      <c r="P616">
        <v>8</v>
      </c>
      <c r="Q616" t="s">
        <v>23</v>
      </c>
      <c r="R616">
        <v>94.5</v>
      </c>
      <c r="S616">
        <v>108</v>
      </c>
      <c r="T616">
        <v>0</v>
      </c>
      <c r="U616" t="str" cm="1">
        <f t="array" ref="U616">_xlfn.IFS(smart_dataset[[#This Row],[Waiting_Time]]&lt;=20,"Low",smart_dataset[[#This Row],[Waiting_Time]]&lt;=40,"Medium",TRUE,"High")</f>
        <v>High</v>
      </c>
      <c r="V616" t="str" cm="1">
        <f t="array" ref="V616">_xlfn.IFS(smart_dataset[[#This Row],[Temperature]]&lt;=20,"Cold",smart_dataset[[#This Row],[Temperature]]&lt;=28,"Normal",TRUE,"Hot")</f>
        <v>Hot</v>
      </c>
      <c r="W616" t="str" cm="1">
        <f t="array" ref="W616">_xlfn.IFS(smart_dataset[[#This Row],[Asset_Utilization]]&lt;=75,"Low",smart_dataset[[#This Row],[Asset_Utilization]]&lt;=90,"Medium",TRUE,"High")</f>
        <v>High</v>
      </c>
    </row>
    <row r="617" spans="1:23" hidden="1" x14ac:dyDescent="0.25">
      <c r="A617" s="1">
        <v>45312.538993055554</v>
      </c>
      <c r="B617" s="1">
        <f>INT(smart_dataset[[#This Row],[Timestamp]])</f>
        <v>45312</v>
      </c>
      <c r="C617" s="1">
        <f>MOD(smart_dataset[[#This Row],[Timestamp]],1)</f>
        <v>0.538993055553874</v>
      </c>
      <c r="D617" s="1">
        <f>YEAR(smart_dataset[[#This Row],[Date]])</f>
        <v>2024</v>
      </c>
      <c r="E617" s="1">
        <f>MONTH(smart_dataset[[#This Row],[Timestamp]])</f>
        <v>1</v>
      </c>
      <c r="F617" t="s">
        <v>35</v>
      </c>
      <c r="G617">
        <v>54.309899999999999</v>
      </c>
      <c r="H617">
        <v>-98.941000000000003</v>
      </c>
      <c r="I617">
        <v>311</v>
      </c>
      <c r="J617" t="s">
        <v>17</v>
      </c>
      <c r="K617">
        <v>28.9</v>
      </c>
      <c r="L617">
        <v>77.8</v>
      </c>
      <c r="M617" t="s">
        <v>22</v>
      </c>
      <c r="N617">
        <v>43</v>
      </c>
      <c r="O617">
        <v>415</v>
      </c>
      <c r="P617">
        <v>1</v>
      </c>
      <c r="Q617" t="s">
        <v>31</v>
      </c>
      <c r="R617">
        <v>76.400000000000006</v>
      </c>
      <c r="S617">
        <v>210</v>
      </c>
      <c r="T617">
        <v>1</v>
      </c>
      <c r="U617" t="str" cm="1">
        <f t="array" ref="U617">_xlfn.IFS(smart_dataset[[#This Row],[Waiting_Time]]&lt;=20,"Low",smart_dataset[[#This Row],[Waiting_Time]]&lt;=40,"Medium",TRUE,"High")</f>
        <v>High</v>
      </c>
      <c r="V617" t="str" cm="1">
        <f t="array" ref="V617">_xlfn.IFS(smart_dataset[[#This Row],[Temperature]]&lt;=20,"Cold",smart_dataset[[#This Row],[Temperature]]&lt;=28,"Normal",TRUE,"Hot")</f>
        <v>Hot</v>
      </c>
      <c r="W617" t="str" cm="1">
        <f t="array" ref="W617">_xlfn.IFS(smart_dataset[[#This Row],[Asset_Utilization]]&lt;=75,"Low",smart_dataset[[#This Row],[Asset_Utilization]]&lt;=90,"Medium",TRUE,"High")</f>
        <v>Medium</v>
      </c>
    </row>
    <row r="618" spans="1:23" hidden="1" x14ac:dyDescent="0.25">
      <c r="A618" s="1">
        <v>45588.882638888892</v>
      </c>
      <c r="B618" s="1">
        <f>INT(smart_dataset[[#This Row],[Timestamp]])</f>
        <v>45588</v>
      </c>
      <c r="C618" s="1">
        <f>MOD(smart_dataset[[#This Row],[Timestamp]],1)</f>
        <v>0.88263888889196096</v>
      </c>
      <c r="D618" s="1">
        <f>YEAR(smart_dataset[[#This Row],[Date]])</f>
        <v>2024</v>
      </c>
      <c r="E618" s="1">
        <f>MONTH(smart_dataset[[#This Row],[Timestamp]])</f>
        <v>10</v>
      </c>
      <c r="F618" t="s">
        <v>34</v>
      </c>
      <c r="G618">
        <v>-3.8161</v>
      </c>
      <c r="H618">
        <v>-159.72569999999999</v>
      </c>
      <c r="I618">
        <v>495</v>
      </c>
      <c r="J618" t="s">
        <v>26</v>
      </c>
      <c r="K618">
        <v>29.5</v>
      </c>
      <c r="L618">
        <v>50.6</v>
      </c>
      <c r="M618" t="s">
        <v>18</v>
      </c>
      <c r="N618">
        <v>58</v>
      </c>
      <c r="O618">
        <v>179</v>
      </c>
      <c r="P618">
        <v>3</v>
      </c>
      <c r="Q618" t="s">
        <v>31</v>
      </c>
      <c r="R618">
        <v>72.3</v>
      </c>
      <c r="S618">
        <v>245</v>
      </c>
      <c r="T618">
        <v>0</v>
      </c>
      <c r="U618" t="str" cm="1">
        <f t="array" ref="U618">_xlfn.IFS(smart_dataset[[#This Row],[Waiting_Time]]&lt;=20,"Low",smart_dataset[[#This Row],[Waiting_Time]]&lt;=40,"Medium",TRUE,"High")</f>
        <v>High</v>
      </c>
      <c r="V618" t="str" cm="1">
        <f t="array" ref="V618">_xlfn.IFS(smart_dataset[[#This Row],[Temperature]]&lt;=20,"Cold",smart_dataset[[#This Row],[Temperature]]&lt;=28,"Normal",TRUE,"Hot")</f>
        <v>Hot</v>
      </c>
      <c r="W618" t="str" cm="1">
        <f t="array" ref="W618">_xlfn.IFS(smart_dataset[[#This Row],[Asset_Utilization]]&lt;=75,"Low",smart_dataset[[#This Row],[Asset_Utilization]]&lt;=90,"Medium",TRUE,"High")</f>
        <v>Low</v>
      </c>
    </row>
    <row r="619" spans="1:23" hidden="1" x14ac:dyDescent="0.25">
      <c r="A619" s="1">
        <v>45373.129432870373</v>
      </c>
      <c r="B619" s="1">
        <f>INT(smart_dataset[[#This Row],[Timestamp]])</f>
        <v>45373</v>
      </c>
      <c r="C619" s="1">
        <f>MOD(smart_dataset[[#This Row],[Timestamp]],1)</f>
        <v>0.12943287037342088</v>
      </c>
      <c r="D619" s="1">
        <f>YEAR(smart_dataset[[#This Row],[Date]])</f>
        <v>2024</v>
      </c>
      <c r="E619" s="1">
        <f>MONTH(smart_dataset[[#This Row],[Timestamp]])</f>
        <v>3</v>
      </c>
      <c r="F619" t="s">
        <v>33</v>
      </c>
      <c r="G619">
        <v>-69.843100000000007</v>
      </c>
      <c r="H619">
        <v>-171.5361</v>
      </c>
      <c r="I619">
        <v>237</v>
      </c>
      <c r="J619" t="s">
        <v>21</v>
      </c>
      <c r="K619">
        <v>23.6</v>
      </c>
      <c r="L619">
        <v>62.7</v>
      </c>
      <c r="M619" t="s">
        <v>18</v>
      </c>
      <c r="N619">
        <v>35</v>
      </c>
      <c r="O619">
        <v>323</v>
      </c>
      <c r="P619">
        <v>9</v>
      </c>
      <c r="Q619" t="s">
        <v>23</v>
      </c>
      <c r="R619">
        <v>66.8</v>
      </c>
      <c r="S619">
        <v>267</v>
      </c>
      <c r="T619">
        <v>0</v>
      </c>
      <c r="U619" t="str" cm="1">
        <f t="array" ref="U619">_xlfn.IFS(smart_dataset[[#This Row],[Waiting_Time]]&lt;=20,"Low",smart_dataset[[#This Row],[Waiting_Time]]&lt;=40,"Medium",TRUE,"High")</f>
        <v>Medium</v>
      </c>
      <c r="V619" t="str" cm="1">
        <f t="array" ref="V619">_xlfn.IFS(smart_dataset[[#This Row],[Temperature]]&lt;=20,"Cold",smart_dataset[[#This Row],[Temperature]]&lt;=28,"Normal",TRUE,"Hot")</f>
        <v>Normal</v>
      </c>
      <c r="W619" t="str" cm="1">
        <f t="array" ref="W619">_xlfn.IFS(smart_dataset[[#This Row],[Asset_Utilization]]&lt;=75,"Low",smart_dataset[[#This Row],[Asset_Utilization]]&lt;=90,"Medium",TRUE,"High")</f>
        <v>Low</v>
      </c>
    </row>
    <row r="620" spans="1:23" hidden="1" x14ac:dyDescent="0.25">
      <c r="A620" s="1">
        <v>45542.082499999997</v>
      </c>
      <c r="B620" s="1">
        <f>INT(smart_dataset[[#This Row],[Timestamp]])</f>
        <v>45542</v>
      </c>
      <c r="C620" s="1">
        <f>MOD(smart_dataset[[#This Row],[Timestamp]],1)</f>
        <v>8.2499999996798579E-2</v>
      </c>
      <c r="D620" s="1">
        <f>YEAR(smart_dataset[[#This Row],[Date]])</f>
        <v>2024</v>
      </c>
      <c r="E620" s="1">
        <f>MONTH(smart_dataset[[#This Row],[Timestamp]])</f>
        <v>9</v>
      </c>
      <c r="F620" t="s">
        <v>30</v>
      </c>
      <c r="G620">
        <v>9.3528000000000002</v>
      </c>
      <c r="H620">
        <v>120.00109999999999</v>
      </c>
      <c r="I620">
        <v>290</v>
      </c>
      <c r="J620" t="s">
        <v>26</v>
      </c>
      <c r="K620">
        <v>28.7</v>
      </c>
      <c r="L620">
        <v>72.599999999999994</v>
      </c>
      <c r="M620" t="s">
        <v>28</v>
      </c>
      <c r="N620">
        <v>45</v>
      </c>
      <c r="O620">
        <v>151</v>
      </c>
      <c r="P620">
        <v>8</v>
      </c>
      <c r="Q620" t="s">
        <v>27</v>
      </c>
      <c r="R620">
        <v>81.7</v>
      </c>
      <c r="S620">
        <v>280</v>
      </c>
      <c r="T620">
        <v>0</v>
      </c>
      <c r="U620" t="str" cm="1">
        <f t="array" ref="U620">_xlfn.IFS(smart_dataset[[#This Row],[Waiting_Time]]&lt;=20,"Low",smart_dataset[[#This Row],[Waiting_Time]]&lt;=40,"Medium",TRUE,"High")</f>
        <v>High</v>
      </c>
      <c r="V620" t="str" cm="1">
        <f t="array" ref="V620">_xlfn.IFS(smart_dataset[[#This Row],[Temperature]]&lt;=20,"Cold",smart_dataset[[#This Row],[Temperature]]&lt;=28,"Normal",TRUE,"Hot")</f>
        <v>Hot</v>
      </c>
      <c r="W620" t="str" cm="1">
        <f t="array" ref="W620">_xlfn.IFS(smart_dataset[[#This Row],[Asset_Utilization]]&lt;=75,"Low",smart_dataset[[#This Row],[Asset_Utilization]]&lt;=90,"Medium",TRUE,"High")</f>
        <v>Medium</v>
      </c>
    </row>
    <row r="621" spans="1:23" x14ac:dyDescent="0.25">
      <c r="A621" s="1">
        <v>45335.22515046296</v>
      </c>
      <c r="B621" s="1">
        <f>INT(smart_dataset[[#This Row],[Timestamp]])</f>
        <v>45335</v>
      </c>
      <c r="C621" s="7">
        <f>MOD(smart_dataset[[#This Row],[Timestamp]],1)</f>
        <v>0.2251504629603005</v>
      </c>
      <c r="D621">
        <f>YEAR(smart_dataset[[#This Row],[Date]])</f>
        <v>2024</v>
      </c>
      <c r="E621">
        <f>MONTH(smart_dataset[[#This Row],[Timestamp]])</f>
        <v>2</v>
      </c>
      <c r="F621" t="s">
        <v>30</v>
      </c>
      <c r="G621">
        <v>-74.339600000000004</v>
      </c>
      <c r="H621">
        <v>-150.63390000000001</v>
      </c>
      <c r="I621">
        <v>111</v>
      </c>
      <c r="J621" t="s">
        <v>17</v>
      </c>
      <c r="K621">
        <v>22.7</v>
      </c>
      <c r="L621">
        <v>75.599999999999994</v>
      </c>
      <c r="M621" t="s">
        <v>28</v>
      </c>
      <c r="N621">
        <v>47</v>
      </c>
      <c r="O621">
        <v>207</v>
      </c>
      <c r="P621">
        <v>4</v>
      </c>
      <c r="Q621" t="s">
        <v>19</v>
      </c>
      <c r="R621">
        <v>60.4</v>
      </c>
      <c r="S621">
        <v>131</v>
      </c>
      <c r="T621">
        <v>1</v>
      </c>
      <c r="U621" t="str" cm="1">
        <f t="array" ref="U621">_xlfn.IFS(smart_dataset[[#This Row],[Waiting_Time]]&lt;=20,"Low",smart_dataset[[#This Row],[Waiting_Time]]&lt;=40,"Medium",TRUE,"High")</f>
        <v>High</v>
      </c>
      <c r="V621" t="str" cm="1">
        <f t="array" ref="V621">_xlfn.IFS(smart_dataset[[#This Row],[Temperature]]&lt;=20,"Cold",smart_dataset[[#This Row],[Temperature]]&lt;=28,"Normal",TRUE,"Hot")</f>
        <v>Normal</v>
      </c>
      <c r="W621" t="str" cm="1">
        <f t="array" ref="W621">_xlfn.IFS(smart_dataset[[#This Row],[Asset_Utilization]]&lt;=75,"Low",smart_dataset[[#This Row],[Asset_Utilization]]&lt;=90,"Medium",TRUE,"High")</f>
        <v>Low</v>
      </c>
    </row>
    <row r="622" spans="1:23" hidden="1" x14ac:dyDescent="0.25">
      <c r="A622" s="1">
        <v>45321.650416666664</v>
      </c>
      <c r="B622" s="1">
        <f>INT(smart_dataset[[#This Row],[Timestamp]])</f>
        <v>45321</v>
      </c>
      <c r="C622" s="1">
        <f>MOD(smart_dataset[[#This Row],[Timestamp]],1)</f>
        <v>0.65041666666365927</v>
      </c>
      <c r="D622" s="1">
        <f>YEAR(smart_dataset[[#This Row],[Date]])</f>
        <v>2024</v>
      </c>
      <c r="E622" s="1">
        <f>MONTH(smart_dataset[[#This Row],[Timestamp]])</f>
        <v>1</v>
      </c>
      <c r="F622" t="s">
        <v>30</v>
      </c>
      <c r="G622">
        <v>-62.0623</v>
      </c>
      <c r="H622">
        <v>133.88720000000001</v>
      </c>
      <c r="I622">
        <v>373</v>
      </c>
      <c r="J622" t="s">
        <v>17</v>
      </c>
      <c r="K622">
        <v>27.6</v>
      </c>
      <c r="L622">
        <v>65.8</v>
      </c>
      <c r="M622" t="s">
        <v>22</v>
      </c>
      <c r="N622">
        <v>23</v>
      </c>
      <c r="O622">
        <v>396</v>
      </c>
      <c r="P622">
        <v>1</v>
      </c>
      <c r="Q622" t="s">
        <v>27</v>
      </c>
      <c r="R622">
        <v>79.3</v>
      </c>
      <c r="S622">
        <v>126</v>
      </c>
      <c r="T622">
        <v>1</v>
      </c>
      <c r="U622" t="str" cm="1">
        <f t="array" ref="U622">_xlfn.IFS(smart_dataset[[#This Row],[Waiting_Time]]&lt;=20,"Low",smart_dataset[[#This Row],[Waiting_Time]]&lt;=40,"Medium",TRUE,"High")</f>
        <v>Medium</v>
      </c>
      <c r="V622" t="str" cm="1">
        <f t="array" ref="V622">_xlfn.IFS(smart_dataset[[#This Row],[Temperature]]&lt;=20,"Cold",smart_dataset[[#This Row],[Temperature]]&lt;=28,"Normal",TRUE,"Hot")</f>
        <v>Normal</v>
      </c>
      <c r="W622" t="str" cm="1">
        <f t="array" ref="W622">_xlfn.IFS(smart_dataset[[#This Row],[Asset_Utilization]]&lt;=75,"Low",smart_dataset[[#This Row],[Asset_Utilization]]&lt;=90,"Medium",TRUE,"High")</f>
        <v>Medium</v>
      </c>
    </row>
    <row r="623" spans="1:23" hidden="1" x14ac:dyDescent="0.25">
      <c r="A623" s="1">
        <v>45357.257268518515</v>
      </c>
      <c r="B623" s="1">
        <f>INT(smart_dataset[[#This Row],[Timestamp]])</f>
        <v>45357</v>
      </c>
      <c r="C623" s="1">
        <f>MOD(smart_dataset[[#This Row],[Timestamp]],1)</f>
        <v>0.25726851851504762</v>
      </c>
      <c r="D623" s="1">
        <f>YEAR(smart_dataset[[#This Row],[Date]])</f>
        <v>2024</v>
      </c>
      <c r="E623" s="1">
        <f>MONTH(smart_dataset[[#This Row],[Timestamp]])</f>
        <v>3</v>
      </c>
      <c r="F623" t="s">
        <v>24</v>
      </c>
      <c r="G623">
        <v>-53.135399999999997</v>
      </c>
      <c r="H623">
        <v>-164.488</v>
      </c>
      <c r="I623">
        <v>458</v>
      </c>
      <c r="J623" t="s">
        <v>21</v>
      </c>
      <c r="K623">
        <v>25.5</v>
      </c>
      <c r="L623">
        <v>52.1</v>
      </c>
      <c r="M623" t="s">
        <v>18</v>
      </c>
      <c r="N623">
        <v>32</v>
      </c>
      <c r="O623">
        <v>183</v>
      </c>
      <c r="P623">
        <v>6</v>
      </c>
      <c r="Q623" t="s">
        <v>23</v>
      </c>
      <c r="R623">
        <v>93.5</v>
      </c>
      <c r="S623">
        <v>154</v>
      </c>
      <c r="T623">
        <v>0</v>
      </c>
      <c r="U623" t="str" cm="1">
        <f t="array" ref="U623">_xlfn.IFS(smart_dataset[[#This Row],[Waiting_Time]]&lt;=20,"Low",smart_dataset[[#This Row],[Waiting_Time]]&lt;=40,"Medium",TRUE,"High")</f>
        <v>Medium</v>
      </c>
      <c r="V623" t="str" cm="1">
        <f t="array" ref="V623">_xlfn.IFS(smart_dataset[[#This Row],[Temperature]]&lt;=20,"Cold",smart_dataset[[#This Row],[Temperature]]&lt;=28,"Normal",TRUE,"Hot")</f>
        <v>Normal</v>
      </c>
      <c r="W623" t="str" cm="1">
        <f t="array" ref="W623">_xlfn.IFS(smart_dataset[[#This Row],[Asset_Utilization]]&lt;=75,"Low",smart_dataset[[#This Row],[Asset_Utilization]]&lt;=90,"Medium",TRUE,"High")</f>
        <v>High</v>
      </c>
    </row>
    <row r="624" spans="1:23" hidden="1" x14ac:dyDescent="0.25">
      <c r="A624" s="1">
        <v>45596.323750000003</v>
      </c>
      <c r="B624" s="1">
        <f>INT(smart_dataset[[#This Row],[Timestamp]])</f>
        <v>45596</v>
      </c>
      <c r="C624" s="1">
        <f>MOD(smart_dataset[[#This Row],[Timestamp]],1)</f>
        <v>0.32375000000320142</v>
      </c>
      <c r="D624" s="1">
        <f>YEAR(smart_dataset[[#This Row],[Date]])</f>
        <v>2024</v>
      </c>
      <c r="E624" s="1">
        <f>MONTH(smart_dataset[[#This Row],[Timestamp]])</f>
        <v>10</v>
      </c>
      <c r="F624" t="s">
        <v>29</v>
      </c>
      <c r="G624">
        <v>85.038899999999998</v>
      </c>
      <c r="H624">
        <v>-138.32480000000001</v>
      </c>
      <c r="I624">
        <v>354</v>
      </c>
      <c r="J624" t="s">
        <v>21</v>
      </c>
      <c r="K624">
        <v>24.7</v>
      </c>
      <c r="L624">
        <v>64.099999999999994</v>
      </c>
      <c r="M624" t="s">
        <v>18</v>
      </c>
      <c r="N624">
        <v>15</v>
      </c>
      <c r="O624">
        <v>298</v>
      </c>
      <c r="P624">
        <v>4</v>
      </c>
      <c r="Q624" t="s">
        <v>31</v>
      </c>
      <c r="R624">
        <v>71.900000000000006</v>
      </c>
      <c r="S624">
        <v>162</v>
      </c>
      <c r="T624">
        <v>0</v>
      </c>
      <c r="U624" t="str" cm="1">
        <f t="array" ref="U624">_xlfn.IFS(smart_dataset[[#This Row],[Waiting_Time]]&lt;=20,"Low",smart_dataset[[#This Row],[Waiting_Time]]&lt;=40,"Medium",TRUE,"High")</f>
        <v>Low</v>
      </c>
      <c r="V624" t="str" cm="1">
        <f t="array" ref="V624">_xlfn.IFS(smart_dataset[[#This Row],[Temperature]]&lt;=20,"Cold",smart_dataset[[#This Row],[Temperature]]&lt;=28,"Normal",TRUE,"Hot")</f>
        <v>Normal</v>
      </c>
      <c r="W624" t="str" cm="1">
        <f t="array" ref="W624">_xlfn.IFS(smart_dataset[[#This Row],[Asset_Utilization]]&lt;=75,"Low",smart_dataset[[#This Row],[Asset_Utilization]]&lt;=90,"Medium",TRUE,"High")</f>
        <v>Low</v>
      </c>
    </row>
    <row r="625" spans="1:23" hidden="1" x14ac:dyDescent="0.25">
      <c r="A625" s="1">
        <v>45464.418113425927</v>
      </c>
      <c r="B625" s="1">
        <f>INT(smart_dataset[[#This Row],[Timestamp]])</f>
        <v>45464</v>
      </c>
      <c r="C625" s="1">
        <f>MOD(smart_dataset[[#This Row],[Timestamp]],1)</f>
        <v>0.41811342592700385</v>
      </c>
      <c r="D625" s="1">
        <f>YEAR(smart_dataset[[#This Row],[Date]])</f>
        <v>2024</v>
      </c>
      <c r="E625" s="1">
        <f>MONTH(smart_dataset[[#This Row],[Timestamp]])</f>
        <v>6</v>
      </c>
      <c r="F625" t="s">
        <v>33</v>
      </c>
      <c r="G625">
        <v>48.959800000000001</v>
      </c>
      <c r="H625">
        <v>-160.9134</v>
      </c>
      <c r="I625">
        <v>165</v>
      </c>
      <c r="J625" t="s">
        <v>17</v>
      </c>
      <c r="K625">
        <v>28.8</v>
      </c>
      <c r="L625">
        <v>51.6</v>
      </c>
      <c r="M625" t="s">
        <v>22</v>
      </c>
      <c r="N625">
        <v>49</v>
      </c>
      <c r="O625">
        <v>410</v>
      </c>
      <c r="P625">
        <v>8</v>
      </c>
      <c r="Q625" t="s">
        <v>31</v>
      </c>
      <c r="R625">
        <v>88.4</v>
      </c>
      <c r="S625">
        <v>291</v>
      </c>
      <c r="T625">
        <v>1</v>
      </c>
      <c r="U625" t="str" cm="1">
        <f t="array" ref="U625">_xlfn.IFS(smart_dataset[[#This Row],[Waiting_Time]]&lt;=20,"Low",smart_dataset[[#This Row],[Waiting_Time]]&lt;=40,"Medium",TRUE,"High")</f>
        <v>High</v>
      </c>
      <c r="V625" t="str" cm="1">
        <f t="array" ref="V625">_xlfn.IFS(smart_dataset[[#This Row],[Temperature]]&lt;=20,"Cold",smart_dataset[[#This Row],[Temperature]]&lt;=28,"Normal",TRUE,"Hot")</f>
        <v>Hot</v>
      </c>
      <c r="W625" t="str" cm="1">
        <f t="array" ref="W625">_xlfn.IFS(smart_dataset[[#This Row],[Asset_Utilization]]&lt;=75,"Low",smart_dataset[[#This Row],[Asset_Utilization]]&lt;=90,"Medium",TRUE,"High")</f>
        <v>Medium</v>
      </c>
    </row>
    <row r="626" spans="1:23" hidden="1" x14ac:dyDescent="0.25">
      <c r="A626" s="1">
        <v>45498.749745370369</v>
      </c>
      <c r="B626" s="1">
        <f>INT(smart_dataset[[#This Row],[Timestamp]])</f>
        <v>45498</v>
      </c>
      <c r="C626" s="1">
        <f>MOD(smart_dataset[[#This Row],[Timestamp]],1)</f>
        <v>0.74974537036905531</v>
      </c>
      <c r="D626" s="1">
        <f>YEAR(smart_dataset[[#This Row],[Date]])</f>
        <v>2024</v>
      </c>
      <c r="E626" s="1">
        <f>MONTH(smart_dataset[[#This Row],[Timestamp]])</f>
        <v>7</v>
      </c>
      <c r="F626" t="s">
        <v>32</v>
      </c>
      <c r="G626">
        <v>44.363900000000001</v>
      </c>
      <c r="H626">
        <v>134.39670000000001</v>
      </c>
      <c r="I626">
        <v>471</v>
      </c>
      <c r="J626" t="s">
        <v>17</v>
      </c>
      <c r="K626">
        <v>19.8</v>
      </c>
      <c r="L626">
        <v>55.2</v>
      </c>
      <c r="M626" t="s">
        <v>28</v>
      </c>
      <c r="N626">
        <v>36</v>
      </c>
      <c r="O626">
        <v>369</v>
      </c>
      <c r="P626">
        <v>6</v>
      </c>
      <c r="Q626" t="s">
        <v>31</v>
      </c>
      <c r="R626">
        <v>94.7</v>
      </c>
      <c r="S626">
        <v>183</v>
      </c>
      <c r="T626">
        <v>1</v>
      </c>
      <c r="U626" t="str" cm="1">
        <f t="array" ref="U626">_xlfn.IFS(smart_dataset[[#This Row],[Waiting_Time]]&lt;=20,"Low",smart_dataset[[#This Row],[Waiting_Time]]&lt;=40,"Medium",TRUE,"High")</f>
        <v>Medium</v>
      </c>
      <c r="V626" t="str" cm="1">
        <f t="array" ref="V626">_xlfn.IFS(smart_dataset[[#This Row],[Temperature]]&lt;=20,"Cold",smart_dataset[[#This Row],[Temperature]]&lt;=28,"Normal",TRUE,"Hot")</f>
        <v>Cold</v>
      </c>
      <c r="W626" t="str" cm="1">
        <f t="array" ref="W626">_xlfn.IFS(smart_dataset[[#This Row],[Asset_Utilization]]&lt;=75,"Low",smart_dataset[[#This Row],[Asset_Utilization]]&lt;=90,"Medium",TRUE,"High")</f>
        <v>High</v>
      </c>
    </row>
    <row r="627" spans="1:23" hidden="1" x14ac:dyDescent="0.25">
      <c r="A627" s="1">
        <v>45343.917071759257</v>
      </c>
      <c r="B627" s="1">
        <f>INT(smart_dataset[[#This Row],[Timestamp]])</f>
        <v>45343</v>
      </c>
      <c r="C627" s="1">
        <f>MOD(smart_dataset[[#This Row],[Timestamp]],1)</f>
        <v>0.91707175925694173</v>
      </c>
      <c r="D627" s="1">
        <f>YEAR(smart_dataset[[#This Row],[Date]])</f>
        <v>2024</v>
      </c>
      <c r="E627" s="1">
        <f>MONTH(smart_dataset[[#This Row],[Timestamp]])</f>
        <v>2</v>
      </c>
      <c r="F627" t="s">
        <v>32</v>
      </c>
      <c r="G627">
        <v>-33.162799999999997</v>
      </c>
      <c r="H627">
        <v>143.55699999999999</v>
      </c>
      <c r="I627">
        <v>410</v>
      </c>
      <c r="J627" t="s">
        <v>26</v>
      </c>
      <c r="K627">
        <v>27.5</v>
      </c>
      <c r="L627">
        <v>58.5</v>
      </c>
      <c r="M627" t="s">
        <v>18</v>
      </c>
      <c r="N627">
        <v>21</v>
      </c>
      <c r="O627">
        <v>439</v>
      </c>
      <c r="P627">
        <v>9</v>
      </c>
      <c r="Q627" t="s">
        <v>31</v>
      </c>
      <c r="R627">
        <v>72.400000000000006</v>
      </c>
      <c r="S627">
        <v>182</v>
      </c>
      <c r="T627">
        <v>0</v>
      </c>
      <c r="U627" t="str" cm="1">
        <f t="array" ref="U627">_xlfn.IFS(smart_dataset[[#This Row],[Waiting_Time]]&lt;=20,"Low",smart_dataset[[#This Row],[Waiting_Time]]&lt;=40,"Medium",TRUE,"High")</f>
        <v>Medium</v>
      </c>
      <c r="V627" t="str" cm="1">
        <f t="array" ref="V627">_xlfn.IFS(smart_dataset[[#This Row],[Temperature]]&lt;=20,"Cold",smart_dataset[[#This Row],[Temperature]]&lt;=28,"Normal",TRUE,"Hot")</f>
        <v>Normal</v>
      </c>
      <c r="W627" t="str" cm="1">
        <f t="array" ref="W627">_xlfn.IFS(smart_dataset[[#This Row],[Asset_Utilization]]&lt;=75,"Low",smart_dataset[[#This Row],[Asset_Utilization]]&lt;=90,"Medium",TRUE,"High")</f>
        <v>Low</v>
      </c>
    </row>
    <row r="628" spans="1:23" hidden="1" x14ac:dyDescent="0.25">
      <c r="A628" s="1">
        <v>45465.291516203702</v>
      </c>
      <c r="B628" s="1">
        <f>INT(smart_dataset[[#This Row],[Timestamp]])</f>
        <v>45465</v>
      </c>
      <c r="C628" s="1">
        <f>MOD(smart_dataset[[#This Row],[Timestamp]],1)</f>
        <v>0.29151620370248565</v>
      </c>
      <c r="D628" s="1">
        <f>YEAR(smart_dataset[[#This Row],[Date]])</f>
        <v>2024</v>
      </c>
      <c r="E628" s="1">
        <f>MONTH(smart_dataset[[#This Row],[Timestamp]])</f>
        <v>6</v>
      </c>
      <c r="F628" t="s">
        <v>32</v>
      </c>
      <c r="G628">
        <v>-61.151800000000001</v>
      </c>
      <c r="H628">
        <v>140.8152</v>
      </c>
      <c r="I628">
        <v>407</v>
      </c>
      <c r="J628" t="s">
        <v>21</v>
      </c>
      <c r="K628">
        <v>19.899999999999999</v>
      </c>
      <c r="L628">
        <v>50.7</v>
      </c>
      <c r="M628" t="s">
        <v>22</v>
      </c>
      <c r="N628">
        <v>55</v>
      </c>
      <c r="O628">
        <v>421</v>
      </c>
      <c r="P628">
        <v>1</v>
      </c>
      <c r="Q628" t="s">
        <v>31</v>
      </c>
      <c r="R628">
        <v>87.2</v>
      </c>
      <c r="S628">
        <v>237</v>
      </c>
      <c r="T628">
        <v>1</v>
      </c>
      <c r="U628" t="str" cm="1">
        <f t="array" ref="U628">_xlfn.IFS(smart_dataset[[#This Row],[Waiting_Time]]&lt;=20,"Low",smart_dataset[[#This Row],[Waiting_Time]]&lt;=40,"Medium",TRUE,"High")</f>
        <v>High</v>
      </c>
      <c r="V628" t="str" cm="1">
        <f t="array" ref="V628">_xlfn.IFS(smart_dataset[[#This Row],[Temperature]]&lt;=20,"Cold",smart_dataset[[#This Row],[Temperature]]&lt;=28,"Normal",TRUE,"Hot")</f>
        <v>Cold</v>
      </c>
      <c r="W628" t="str" cm="1">
        <f t="array" ref="W628">_xlfn.IFS(smart_dataset[[#This Row],[Asset_Utilization]]&lt;=75,"Low",smart_dataset[[#This Row],[Asset_Utilization]]&lt;=90,"Medium",TRUE,"High")</f>
        <v>Medium</v>
      </c>
    </row>
    <row r="629" spans="1:23" hidden="1" x14ac:dyDescent="0.25">
      <c r="A629" s="1">
        <v>45331.875648148147</v>
      </c>
      <c r="B629" s="1">
        <f>INT(smart_dataset[[#This Row],[Timestamp]])</f>
        <v>45331</v>
      </c>
      <c r="C629" s="1">
        <f>MOD(smart_dataset[[#This Row],[Timestamp]],1)</f>
        <v>0.87564814814686542</v>
      </c>
      <c r="D629" s="1">
        <f>YEAR(smart_dataset[[#This Row],[Date]])</f>
        <v>2024</v>
      </c>
      <c r="E629" s="1">
        <f>MONTH(smart_dataset[[#This Row],[Timestamp]])</f>
        <v>2</v>
      </c>
      <c r="F629" t="s">
        <v>24</v>
      </c>
      <c r="G629">
        <v>-87.811499999999995</v>
      </c>
      <c r="H629">
        <v>97.049199999999999</v>
      </c>
      <c r="I629">
        <v>134</v>
      </c>
      <c r="J629" t="s">
        <v>26</v>
      </c>
      <c r="K629">
        <v>19.5</v>
      </c>
      <c r="L629">
        <v>75.3</v>
      </c>
      <c r="M629" t="s">
        <v>28</v>
      </c>
      <c r="N629">
        <v>45</v>
      </c>
      <c r="O629">
        <v>424</v>
      </c>
      <c r="P629">
        <v>6</v>
      </c>
      <c r="Q629" t="s">
        <v>23</v>
      </c>
      <c r="R629">
        <v>80.900000000000006</v>
      </c>
      <c r="S629">
        <v>175</v>
      </c>
      <c r="T629">
        <v>0</v>
      </c>
      <c r="U629" t="str" cm="1">
        <f t="array" ref="U629">_xlfn.IFS(smart_dataset[[#This Row],[Waiting_Time]]&lt;=20,"Low",smart_dataset[[#This Row],[Waiting_Time]]&lt;=40,"Medium",TRUE,"High")</f>
        <v>High</v>
      </c>
      <c r="V629" t="str" cm="1">
        <f t="array" ref="V629">_xlfn.IFS(smart_dataset[[#This Row],[Temperature]]&lt;=20,"Cold",smart_dataset[[#This Row],[Temperature]]&lt;=28,"Normal",TRUE,"Hot")</f>
        <v>Cold</v>
      </c>
      <c r="W629" t="str" cm="1">
        <f t="array" ref="W629">_xlfn.IFS(smart_dataset[[#This Row],[Asset_Utilization]]&lt;=75,"Low",smart_dataset[[#This Row],[Asset_Utilization]]&lt;=90,"Medium",TRUE,"High")</f>
        <v>Medium</v>
      </c>
    </row>
    <row r="630" spans="1:23" x14ac:dyDescent="0.25">
      <c r="A630" s="1">
        <v>45642.021435185183</v>
      </c>
      <c r="B630" s="1">
        <f>INT(smart_dataset[[#This Row],[Timestamp]])</f>
        <v>45642</v>
      </c>
      <c r="C630" s="7">
        <f>MOD(smart_dataset[[#This Row],[Timestamp]],1)</f>
        <v>2.1435185182781424E-2</v>
      </c>
      <c r="D630">
        <f>YEAR(smart_dataset[[#This Row],[Date]])</f>
        <v>2024</v>
      </c>
      <c r="E630">
        <f>MONTH(smart_dataset[[#This Row],[Timestamp]])</f>
        <v>12</v>
      </c>
      <c r="F630" t="s">
        <v>24</v>
      </c>
      <c r="G630">
        <v>-48.357500000000002</v>
      </c>
      <c r="H630">
        <v>115.8351</v>
      </c>
      <c r="I630">
        <v>394</v>
      </c>
      <c r="J630" t="s">
        <v>17</v>
      </c>
      <c r="K630">
        <v>26.9</v>
      </c>
      <c r="L630">
        <v>62.1</v>
      </c>
      <c r="M630" t="s">
        <v>18</v>
      </c>
      <c r="N630">
        <v>29</v>
      </c>
      <c r="O630">
        <v>419</v>
      </c>
      <c r="P630">
        <v>10</v>
      </c>
      <c r="Q630" t="s">
        <v>19</v>
      </c>
      <c r="R630">
        <v>90.7</v>
      </c>
      <c r="S630">
        <v>139</v>
      </c>
      <c r="T630">
        <v>1</v>
      </c>
      <c r="U630" t="str" cm="1">
        <f t="array" ref="U630">_xlfn.IFS(smart_dataset[[#This Row],[Waiting_Time]]&lt;=20,"Low",smart_dataset[[#This Row],[Waiting_Time]]&lt;=40,"Medium",TRUE,"High")</f>
        <v>Medium</v>
      </c>
      <c r="V630" t="str" cm="1">
        <f t="array" ref="V630">_xlfn.IFS(smart_dataset[[#This Row],[Temperature]]&lt;=20,"Cold",smart_dataset[[#This Row],[Temperature]]&lt;=28,"Normal",TRUE,"Hot")</f>
        <v>Normal</v>
      </c>
      <c r="W630" t="str" cm="1">
        <f t="array" ref="W630">_xlfn.IFS(smart_dataset[[#This Row],[Asset_Utilization]]&lt;=75,"Low",smart_dataset[[#This Row],[Asset_Utilization]]&lt;=90,"Medium",TRUE,"High")</f>
        <v>High</v>
      </c>
    </row>
    <row r="631" spans="1:23" x14ac:dyDescent="0.25">
      <c r="A631" s="1">
        <v>45373.995497685188</v>
      </c>
      <c r="B631" s="1">
        <f>INT(smart_dataset[[#This Row],[Timestamp]])</f>
        <v>45373</v>
      </c>
      <c r="C631" s="7">
        <f>MOD(smart_dataset[[#This Row],[Timestamp]],1)</f>
        <v>0.99549768518772908</v>
      </c>
      <c r="D631">
        <f>YEAR(smart_dataset[[#This Row],[Date]])</f>
        <v>2024</v>
      </c>
      <c r="E631">
        <f>MONTH(smart_dataset[[#This Row],[Timestamp]])</f>
        <v>3</v>
      </c>
      <c r="F631" t="s">
        <v>24</v>
      </c>
      <c r="G631">
        <v>-59.567399999999999</v>
      </c>
      <c r="H631">
        <v>11.3653</v>
      </c>
      <c r="I631">
        <v>480</v>
      </c>
      <c r="J631" t="s">
        <v>17</v>
      </c>
      <c r="K631">
        <v>23.9</v>
      </c>
      <c r="L631">
        <v>57.9</v>
      </c>
      <c r="M631" t="s">
        <v>22</v>
      </c>
      <c r="N631">
        <v>57</v>
      </c>
      <c r="O631">
        <v>204</v>
      </c>
      <c r="P631">
        <v>6</v>
      </c>
      <c r="Q631" t="s">
        <v>19</v>
      </c>
      <c r="R631">
        <v>62.3</v>
      </c>
      <c r="S631">
        <v>146</v>
      </c>
      <c r="T631">
        <v>1</v>
      </c>
      <c r="U631" t="str" cm="1">
        <f t="array" ref="U631">_xlfn.IFS(smart_dataset[[#This Row],[Waiting_Time]]&lt;=20,"Low",smart_dataset[[#This Row],[Waiting_Time]]&lt;=40,"Medium",TRUE,"High")</f>
        <v>High</v>
      </c>
      <c r="V631" t="str" cm="1">
        <f t="array" ref="V631">_xlfn.IFS(smart_dataset[[#This Row],[Temperature]]&lt;=20,"Cold",smart_dataset[[#This Row],[Temperature]]&lt;=28,"Normal",TRUE,"Hot")</f>
        <v>Normal</v>
      </c>
      <c r="W631" t="str" cm="1">
        <f t="array" ref="W631">_xlfn.IFS(smart_dataset[[#This Row],[Asset_Utilization]]&lt;=75,"Low",smart_dataset[[#This Row],[Asset_Utilization]]&lt;=90,"Medium",TRUE,"High")</f>
        <v>Low</v>
      </c>
    </row>
    <row r="632" spans="1:23" hidden="1" x14ac:dyDescent="0.25">
      <c r="A632" s="1">
        <v>45499.334953703707</v>
      </c>
      <c r="B632" s="1">
        <f>INT(smart_dataset[[#This Row],[Timestamp]])</f>
        <v>45499</v>
      </c>
      <c r="C632" s="1">
        <f>MOD(smart_dataset[[#This Row],[Timestamp]],1)</f>
        <v>0.33495370370656019</v>
      </c>
      <c r="D632" s="1">
        <f>YEAR(smart_dataset[[#This Row],[Date]])</f>
        <v>2024</v>
      </c>
      <c r="E632" s="1">
        <f>MONTH(smart_dataset[[#This Row],[Timestamp]])</f>
        <v>7</v>
      </c>
      <c r="F632" t="s">
        <v>16</v>
      </c>
      <c r="G632">
        <v>-37.205500000000001</v>
      </c>
      <c r="H632">
        <v>79.448499999999996</v>
      </c>
      <c r="I632">
        <v>159</v>
      </c>
      <c r="J632" t="s">
        <v>21</v>
      </c>
      <c r="K632">
        <v>25.6</v>
      </c>
      <c r="L632">
        <v>76.599999999999994</v>
      </c>
      <c r="M632" t="s">
        <v>28</v>
      </c>
      <c r="N632">
        <v>25</v>
      </c>
      <c r="O632">
        <v>213</v>
      </c>
      <c r="P632">
        <v>5</v>
      </c>
      <c r="Q632" t="s">
        <v>23</v>
      </c>
      <c r="R632">
        <v>82.2</v>
      </c>
      <c r="S632">
        <v>144</v>
      </c>
      <c r="T632">
        <v>0</v>
      </c>
      <c r="U632" t="str" cm="1">
        <f t="array" ref="U632">_xlfn.IFS(smart_dataset[[#This Row],[Waiting_Time]]&lt;=20,"Low",smart_dataset[[#This Row],[Waiting_Time]]&lt;=40,"Medium",TRUE,"High")</f>
        <v>Medium</v>
      </c>
      <c r="V632" t="str" cm="1">
        <f t="array" ref="V632">_xlfn.IFS(smart_dataset[[#This Row],[Temperature]]&lt;=20,"Cold",smart_dataset[[#This Row],[Temperature]]&lt;=28,"Normal",TRUE,"Hot")</f>
        <v>Normal</v>
      </c>
      <c r="W632" t="str" cm="1">
        <f t="array" ref="W632">_xlfn.IFS(smart_dataset[[#This Row],[Asset_Utilization]]&lt;=75,"Low",smart_dataset[[#This Row],[Asset_Utilization]]&lt;=90,"Medium",TRUE,"High")</f>
        <v>Medium</v>
      </c>
    </row>
    <row r="633" spans="1:23" hidden="1" x14ac:dyDescent="0.25">
      <c r="A633" s="1">
        <v>45393.201527777775</v>
      </c>
      <c r="B633" s="1">
        <f>INT(smart_dataset[[#This Row],[Timestamp]])</f>
        <v>45393</v>
      </c>
      <c r="C633" s="1">
        <f>MOD(smart_dataset[[#This Row],[Timestamp]],1)</f>
        <v>0.20152777777548181</v>
      </c>
      <c r="D633" s="1">
        <f>YEAR(smart_dataset[[#This Row],[Date]])</f>
        <v>2024</v>
      </c>
      <c r="E633" s="1">
        <f>MONTH(smart_dataset[[#This Row],[Timestamp]])</f>
        <v>4</v>
      </c>
      <c r="F633" t="s">
        <v>32</v>
      </c>
      <c r="G633">
        <v>38.109499999999997</v>
      </c>
      <c r="H633">
        <v>164.7654</v>
      </c>
      <c r="I633">
        <v>131</v>
      </c>
      <c r="J633" t="s">
        <v>17</v>
      </c>
      <c r="K633">
        <v>19.100000000000001</v>
      </c>
      <c r="L633">
        <v>73.3</v>
      </c>
      <c r="M633" t="s">
        <v>22</v>
      </c>
      <c r="N633">
        <v>10</v>
      </c>
      <c r="O633">
        <v>353</v>
      </c>
      <c r="P633">
        <v>3</v>
      </c>
      <c r="Q633" t="s">
        <v>23</v>
      </c>
      <c r="R633">
        <v>89.4</v>
      </c>
      <c r="S633">
        <v>149</v>
      </c>
      <c r="T633">
        <v>1</v>
      </c>
      <c r="U633" t="str" cm="1">
        <f t="array" ref="U633">_xlfn.IFS(smart_dataset[[#This Row],[Waiting_Time]]&lt;=20,"Low",smart_dataset[[#This Row],[Waiting_Time]]&lt;=40,"Medium",TRUE,"High")</f>
        <v>Low</v>
      </c>
      <c r="V633" t="str" cm="1">
        <f t="array" ref="V633">_xlfn.IFS(smart_dataset[[#This Row],[Temperature]]&lt;=20,"Cold",smart_dataset[[#This Row],[Temperature]]&lt;=28,"Normal",TRUE,"Hot")</f>
        <v>Cold</v>
      </c>
      <c r="W633" t="str" cm="1">
        <f t="array" ref="W633">_xlfn.IFS(smart_dataset[[#This Row],[Asset_Utilization]]&lt;=75,"Low",smart_dataset[[#This Row],[Asset_Utilization]]&lt;=90,"Medium",TRUE,"High")</f>
        <v>Medium</v>
      </c>
    </row>
    <row r="634" spans="1:23" hidden="1" x14ac:dyDescent="0.25">
      <c r="A634" s="1">
        <v>45443.630046296297</v>
      </c>
      <c r="B634" s="1">
        <f>INT(smart_dataset[[#This Row],[Timestamp]])</f>
        <v>45443</v>
      </c>
      <c r="C634" s="1">
        <f>MOD(smart_dataset[[#This Row],[Timestamp]],1)</f>
        <v>0.63004629629722331</v>
      </c>
      <c r="D634" s="1">
        <f>YEAR(smart_dataset[[#This Row],[Date]])</f>
        <v>2024</v>
      </c>
      <c r="E634" s="1">
        <f>MONTH(smart_dataset[[#This Row],[Timestamp]])</f>
        <v>5</v>
      </c>
      <c r="F634" t="s">
        <v>35</v>
      </c>
      <c r="G634">
        <v>-20.0991</v>
      </c>
      <c r="H634">
        <v>20.182500000000001</v>
      </c>
      <c r="I634">
        <v>224</v>
      </c>
      <c r="J634" t="s">
        <v>17</v>
      </c>
      <c r="K634">
        <v>20.2</v>
      </c>
      <c r="L634">
        <v>58.9</v>
      </c>
      <c r="M634" t="s">
        <v>22</v>
      </c>
      <c r="N634">
        <v>34</v>
      </c>
      <c r="O634">
        <v>166</v>
      </c>
      <c r="P634">
        <v>6</v>
      </c>
      <c r="Q634" t="s">
        <v>31</v>
      </c>
      <c r="R634">
        <v>84.6</v>
      </c>
      <c r="S634">
        <v>105</v>
      </c>
      <c r="T634">
        <v>1</v>
      </c>
      <c r="U634" t="str" cm="1">
        <f t="array" ref="U634">_xlfn.IFS(smart_dataset[[#This Row],[Waiting_Time]]&lt;=20,"Low",smart_dataset[[#This Row],[Waiting_Time]]&lt;=40,"Medium",TRUE,"High")</f>
        <v>Medium</v>
      </c>
      <c r="V634" t="str" cm="1">
        <f t="array" ref="V634">_xlfn.IFS(smart_dataset[[#This Row],[Temperature]]&lt;=20,"Cold",smart_dataset[[#This Row],[Temperature]]&lt;=28,"Normal",TRUE,"Hot")</f>
        <v>Normal</v>
      </c>
      <c r="W634" t="str" cm="1">
        <f t="array" ref="W634">_xlfn.IFS(smart_dataset[[#This Row],[Asset_Utilization]]&lt;=75,"Low",smart_dataset[[#This Row],[Asset_Utilization]]&lt;=90,"Medium",TRUE,"High")</f>
        <v>Medium</v>
      </c>
    </row>
    <row r="635" spans="1:23" hidden="1" x14ac:dyDescent="0.25">
      <c r="A635" s="1">
        <v>45394.656099537038</v>
      </c>
      <c r="B635" s="1">
        <f>INT(smart_dataset[[#This Row],[Timestamp]])</f>
        <v>45394</v>
      </c>
      <c r="C635" s="1">
        <f>MOD(smart_dataset[[#This Row],[Timestamp]],1)</f>
        <v>0.65609953703824431</v>
      </c>
      <c r="D635" s="1">
        <f>YEAR(smart_dataset[[#This Row],[Date]])</f>
        <v>2024</v>
      </c>
      <c r="E635" s="1">
        <f>MONTH(smart_dataset[[#This Row],[Timestamp]])</f>
        <v>4</v>
      </c>
      <c r="F635" t="s">
        <v>24</v>
      </c>
      <c r="G635">
        <v>89.389799999999994</v>
      </c>
      <c r="H635">
        <v>-93.103399999999993</v>
      </c>
      <c r="I635">
        <v>120</v>
      </c>
      <c r="J635" t="s">
        <v>26</v>
      </c>
      <c r="K635">
        <v>22.6</v>
      </c>
      <c r="L635">
        <v>56.4</v>
      </c>
      <c r="M635" t="s">
        <v>28</v>
      </c>
      <c r="N635">
        <v>60</v>
      </c>
      <c r="O635">
        <v>151</v>
      </c>
      <c r="P635">
        <v>9</v>
      </c>
      <c r="Q635" t="s">
        <v>23</v>
      </c>
      <c r="R635">
        <v>69.900000000000006</v>
      </c>
      <c r="S635">
        <v>194</v>
      </c>
      <c r="T635">
        <v>0</v>
      </c>
      <c r="U635" t="str" cm="1">
        <f t="array" ref="U635">_xlfn.IFS(smart_dataset[[#This Row],[Waiting_Time]]&lt;=20,"Low",smart_dataset[[#This Row],[Waiting_Time]]&lt;=40,"Medium",TRUE,"High")</f>
        <v>High</v>
      </c>
      <c r="V635" t="str" cm="1">
        <f t="array" ref="V635">_xlfn.IFS(smart_dataset[[#This Row],[Temperature]]&lt;=20,"Cold",smart_dataset[[#This Row],[Temperature]]&lt;=28,"Normal",TRUE,"Hot")</f>
        <v>Normal</v>
      </c>
      <c r="W635" t="str" cm="1">
        <f t="array" ref="W635">_xlfn.IFS(smart_dataset[[#This Row],[Asset_Utilization]]&lt;=75,"Low",smart_dataset[[#This Row],[Asset_Utilization]]&lt;=90,"Medium",TRUE,"High")</f>
        <v>Low</v>
      </c>
    </row>
    <row r="636" spans="1:23" x14ac:dyDescent="0.25">
      <c r="A636" s="1">
        <v>45365.753784722219</v>
      </c>
      <c r="B636" s="1">
        <f>INT(smart_dataset[[#This Row],[Timestamp]])</f>
        <v>45365</v>
      </c>
      <c r="C636" s="7">
        <f>MOD(smart_dataset[[#This Row],[Timestamp]],1)</f>
        <v>0.7537847222192795</v>
      </c>
      <c r="D636">
        <f>YEAR(smart_dataset[[#This Row],[Date]])</f>
        <v>2024</v>
      </c>
      <c r="E636">
        <f>MONTH(smart_dataset[[#This Row],[Timestamp]])</f>
        <v>3</v>
      </c>
      <c r="F636" t="s">
        <v>29</v>
      </c>
      <c r="G636">
        <v>85.839299999999994</v>
      </c>
      <c r="H636">
        <v>74.4208</v>
      </c>
      <c r="I636">
        <v>321</v>
      </c>
      <c r="J636" t="s">
        <v>17</v>
      </c>
      <c r="K636">
        <v>30</v>
      </c>
      <c r="L636">
        <v>75.400000000000006</v>
      </c>
      <c r="M636" t="s">
        <v>22</v>
      </c>
      <c r="N636">
        <v>14</v>
      </c>
      <c r="O636">
        <v>391</v>
      </c>
      <c r="P636">
        <v>1</v>
      </c>
      <c r="Q636" t="s">
        <v>19</v>
      </c>
      <c r="R636">
        <v>67.3</v>
      </c>
      <c r="S636">
        <v>138</v>
      </c>
      <c r="T636">
        <v>1</v>
      </c>
      <c r="U636" t="str" cm="1">
        <f t="array" ref="U636">_xlfn.IFS(smart_dataset[[#This Row],[Waiting_Time]]&lt;=20,"Low",smart_dataset[[#This Row],[Waiting_Time]]&lt;=40,"Medium",TRUE,"High")</f>
        <v>Low</v>
      </c>
      <c r="V636" t="str" cm="1">
        <f t="array" ref="V636">_xlfn.IFS(smart_dataset[[#This Row],[Temperature]]&lt;=20,"Cold",smart_dataset[[#This Row],[Temperature]]&lt;=28,"Normal",TRUE,"Hot")</f>
        <v>Hot</v>
      </c>
      <c r="W636" t="str" cm="1">
        <f t="array" ref="W636">_xlfn.IFS(smart_dataset[[#This Row],[Asset_Utilization]]&lt;=75,"Low",smart_dataset[[#This Row],[Asset_Utilization]]&lt;=90,"Medium",TRUE,"High")</f>
        <v>Low</v>
      </c>
    </row>
    <row r="637" spans="1:23" hidden="1" x14ac:dyDescent="0.25">
      <c r="A637" s="1">
        <v>45513.882118055553</v>
      </c>
      <c r="B637" s="1">
        <f>INT(smart_dataset[[#This Row],[Timestamp]])</f>
        <v>45513</v>
      </c>
      <c r="C637" s="1">
        <f>MOD(smart_dataset[[#This Row],[Timestamp]],1)</f>
        <v>0.88211805555329192</v>
      </c>
      <c r="D637" s="1">
        <f>YEAR(smart_dataset[[#This Row],[Date]])</f>
        <v>2024</v>
      </c>
      <c r="E637" s="1">
        <f>MONTH(smart_dataset[[#This Row],[Timestamp]])</f>
        <v>8</v>
      </c>
      <c r="F637" t="s">
        <v>35</v>
      </c>
      <c r="G637">
        <v>29.563700000000001</v>
      </c>
      <c r="H637">
        <v>-162.339</v>
      </c>
      <c r="I637">
        <v>238</v>
      </c>
      <c r="J637" t="s">
        <v>26</v>
      </c>
      <c r="K637">
        <v>26.6</v>
      </c>
      <c r="L637">
        <v>50.9</v>
      </c>
      <c r="M637" t="s">
        <v>22</v>
      </c>
      <c r="N637">
        <v>59</v>
      </c>
      <c r="O637">
        <v>160</v>
      </c>
      <c r="P637">
        <v>1</v>
      </c>
      <c r="Q637" t="s">
        <v>31</v>
      </c>
      <c r="R637">
        <v>76.8</v>
      </c>
      <c r="S637">
        <v>233</v>
      </c>
      <c r="T637">
        <v>1</v>
      </c>
      <c r="U637" t="str" cm="1">
        <f t="array" ref="U637">_xlfn.IFS(smart_dataset[[#This Row],[Waiting_Time]]&lt;=20,"Low",smart_dataset[[#This Row],[Waiting_Time]]&lt;=40,"Medium",TRUE,"High")</f>
        <v>High</v>
      </c>
      <c r="V637" t="str" cm="1">
        <f t="array" ref="V637">_xlfn.IFS(smart_dataset[[#This Row],[Temperature]]&lt;=20,"Cold",smart_dataset[[#This Row],[Temperature]]&lt;=28,"Normal",TRUE,"Hot")</f>
        <v>Normal</v>
      </c>
      <c r="W637" t="str" cm="1">
        <f t="array" ref="W637">_xlfn.IFS(smart_dataset[[#This Row],[Asset_Utilization]]&lt;=75,"Low",smart_dataset[[#This Row],[Asset_Utilization]]&lt;=90,"Medium",TRUE,"High")</f>
        <v>Medium</v>
      </c>
    </row>
    <row r="638" spans="1:23" x14ac:dyDescent="0.25">
      <c r="A638" s="1">
        <v>45553.458136574074</v>
      </c>
      <c r="B638" s="1">
        <f>INT(smart_dataset[[#This Row],[Timestamp]])</f>
        <v>45553</v>
      </c>
      <c r="C638" s="7">
        <f>MOD(smart_dataset[[#This Row],[Timestamp]],1)</f>
        <v>0.45813657407416031</v>
      </c>
      <c r="D638">
        <f>YEAR(smart_dataset[[#This Row],[Date]])</f>
        <v>2024</v>
      </c>
      <c r="E638">
        <f>MONTH(smart_dataset[[#This Row],[Timestamp]])</f>
        <v>9</v>
      </c>
      <c r="F638" t="s">
        <v>35</v>
      </c>
      <c r="G638">
        <v>13.5274</v>
      </c>
      <c r="H638">
        <v>-108.9153</v>
      </c>
      <c r="I638">
        <v>297</v>
      </c>
      <c r="J638" t="s">
        <v>21</v>
      </c>
      <c r="K638">
        <v>18.100000000000001</v>
      </c>
      <c r="L638">
        <v>77.3</v>
      </c>
      <c r="M638" t="s">
        <v>28</v>
      </c>
      <c r="N638">
        <v>22</v>
      </c>
      <c r="O638">
        <v>376</v>
      </c>
      <c r="P638">
        <v>10</v>
      </c>
      <c r="Q638" t="s">
        <v>19</v>
      </c>
      <c r="R638">
        <v>80.2</v>
      </c>
      <c r="S638">
        <v>168</v>
      </c>
      <c r="T638">
        <v>0</v>
      </c>
      <c r="U638" t="str" cm="1">
        <f t="array" ref="U638">_xlfn.IFS(smart_dataset[[#This Row],[Waiting_Time]]&lt;=20,"Low",smart_dataset[[#This Row],[Waiting_Time]]&lt;=40,"Medium",TRUE,"High")</f>
        <v>Medium</v>
      </c>
      <c r="V638" t="str" cm="1">
        <f t="array" ref="V638">_xlfn.IFS(smart_dataset[[#This Row],[Temperature]]&lt;=20,"Cold",smart_dataset[[#This Row],[Temperature]]&lt;=28,"Normal",TRUE,"Hot")</f>
        <v>Cold</v>
      </c>
      <c r="W638" t="str" cm="1">
        <f t="array" ref="W638">_xlfn.IFS(smart_dataset[[#This Row],[Asset_Utilization]]&lt;=75,"Low",smart_dataset[[#This Row],[Asset_Utilization]]&lt;=90,"Medium",TRUE,"High")</f>
        <v>Medium</v>
      </c>
    </row>
    <row r="639" spans="1:23" x14ac:dyDescent="0.25">
      <c r="A639" s="1">
        <v>45364.905185185184</v>
      </c>
      <c r="B639" s="1">
        <f>INT(smart_dataset[[#This Row],[Timestamp]])</f>
        <v>45364</v>
      </c>
      <c r="C639" s="7">
        <f>MOD(smart_dataset[[#This Row],[Timestamp]],1)</f>
        <v>0.90518518518365454</v>
      </c>
      <c r="D639">
        <f>YEAR(smart_dataset[[#This Row],[Date]])</f>
        <v>2024</v>
      </c>
      <c r="E639">
        <f>MONTH(smart_dataset[[#This Row],[Timestamp]])</f>
        <v>3</v>
      </c>
      <c r="F639" t="s">
        <v>30</v>
      </c>
      <c r="G639">
        <v>49.889600000000002</v>
      </c>
      <c r="H639">
        <v>46.776499999999999</v>
      </c>
      <c r="I639">
        <v>219</v>
      </c>
      <c r="J639" t="s">
        <v>26</v>
      </c>
      <c r="K639">
        <v>22.3</v>
      </c>
      <c r="L639">
        <v>56.9</v>
      </c>
      <c r="M639" t="s">
        <v>22</v>
      </c>
      <c r="N639">
        <v>44</v>
      </c>
      <c r="O639">
        <v>144</v>
      </c>
      <c r="P639">
        <v>8</v>
      </c>
      <c r="Q639" t="s">
        <v>19</v>
      </c>
      <c r="R639">
        <v>62.2</v>
      </c>
      <c r="S639">
        <v>188</v>
      </c>
      <c r="T639">
        <v>1</v>
      </c>
      <c r="U639" t="str" cm="1">
        <f t="array" ref="U639">_xlfn.IFS(smart_dataset[[#This Row],[Waiting_Time]]&lt;=20,"Low",smart_dataset[[#This Row],[Waiting_Time]]&lt;=40,"Medium",TRUE,"High")</f>
        <v>High</v>
      </c>
      <c r="V639" t="str" cm="1">
        <f t="array" ref="V639">_xlfn.IFS(smart_dataset[[#This Row],[Temperature]]&lt;=20,"Cold",smart_dataset[[#This Row],[Temperature]]&lt;=28,"Normal",TRUE,"Hot")</f>
        <v>Normal</v>
      </c>
      <c r="W639" t="str" cm="1">
        <f t="array" ref="W639">_xlfn.IFS(smart_dataset[[#This Row],[Asset_Utilization]]&lt;=75,"Low",smart_dataset[[#This Row],[Asset_Utilization]]&lt;=90,"Medium",TRUE,"High")</f>
        <v>Low</v>
      </c>
    </row>
    <row r="640" spans="1:23" hidden="1" x14ac:dyDescent="0.25">
      <c r="A640" s="1">
        <v>45521.193958333337</v>
      </c>
      <c r="B640" s="1">
        <f>INT(smart_dataset[[#This Row],[Timestamp]])</f>
        <v>45521</v>
      </c>
      <c r="C640" s="1">
        <f>MOD(smart_dataset[[#This Row],[Timestamp]],1)</f>
        <v>0.19395833333692281</v>
      </c>
      <c r="D640" s="1">
        <f>YEAR(smart_dataset[[#This Row],[Date]])</f>
        <v>2024</v>
      </c>
      <c r="E640" s="1">
        <f>MONTH(smart_dataset[[#This Row],[Timestamp]])</f>
        <v>8</v>
      </c>
      <c r="F640" t="s">
        <v>33</v>
      </c>
      <c r="G640">
        <v>61.995100000000001</v>
      </c>
      <c r="H640">
        <v>28.0639</v>
      </c>
      <c r="I640">
        <v>204</v>
      </c>
      <c r="J640" t="s">
        <v>21</v>
      </c>
      <c r="K640">
        <v>29.8</v>
      </c>
      <c r="L640">
        <v>58.9</v>
      </c>
      <c r="M640" t="s">
        <v>22</v>
      </c>
      <c r="N640">
        <v>10</v>
      </c>
      <c r="O640">
        <v>484</v>
      </c>
      <c r="P640">
        <v>3</v>
      </c>
      <c r="Q640" t="s">
        <v>23</v>
      </c>
      <c r="R640">
        <v>93</v>
      </c>
      <c r="S640">
        <v>238</v>
      </c>
      <c r="T640">
        <v>1</v>
      </c>
      <c r="U640" t="str" cm="1">
        <f t="array" ref="U640">_xlfn.IFS(smart_dataset[[#This Row],[Waiting_Time]]&lt;=20,"Low",smart_dataset[[#This Row],[Waiting_Time]]&lt;=40,"Medium",TRUE,"High")</f>
        <v>Low</v>
      </c>
      <c r="V640" t="str" cm="1">
        <f t="array" ref="V640">_xlfn.IFS(smart_dataset[[#This Row],[Temperature]]&lt;=20,"Cold",smart_dataset[[#This Row],[Temperature]]&lt;=28,"Normal",TRUE,"Hot")</f>
        <v>Hot</v>
      </c>
      <c r="W640" t="str" cm="1">
        <f t="array" ref="W640">_xlfn.IFS(smart_dataset[[#This Row],[Asset_Utilization]]&lt;=75,"Low",smart_dataset[[#This Row],[Asset_Utilization]]&lt;=90,"Medium",TRUE,"High")</f>
        <v>High</v>
      </c>
    </row>
    <row r="641" spans="1:23" hidden="1" x14ac:dyDescent="0.25">
      <c r="A641" s="1">
        <v>45322.001099537039</v>
      </c>
      <c r="B641" s="1">
        <f>INT(smart_dataset[[#This Row],[Timestamp]])</f>
        <v>45322</v>
      </c>
      <c r="C641" s="1">
        <f>MOD(smart_dataset[[#This Row],[Timestamp]],1)</f>
        <v>1.0995370394084603E-3</v>
      </c>
      <c r="D641" s="1">
        <f>YEAR(smart_dataset[[#This Row],[Date]])</f>
        <v>2024</v>
      </c>
      <c r="E641" s="1">
        <f>MONTH(smart_dataset[[#This Row],[Timestamp]])</f>
        <v>1</v>
      </c>
      <c r="F641" t="s">
        <v>35</v>
      </c>
      <c r="G641">
        <v>88.354500000000002</v>
      </c>
      <c r="H641">
        <v>123.8561</v>
      </c>
      <c r="I641">
        <v>469</v>
      </c>
      <c r="J641" t="s">
        <v>21</v>
      </c>
      <c r="K641">
        <v>21.5</v>
      </c>
      <c r="L641">
        <v>52.2</v>
      </c>
      <c r="M641" t="s">
        <v>22</v>
      </c>
      <c r="N641">
        <v>56</v>
      </c>
      <c r="O641">
        <v>405</v>
      </c>
      <c r="P641">
        <v>10</v>
      </c>
      <c r="Q641" t="s">
        <v>23</v>
      </c>
      <c r="R641">
        <v>95.5</v>
      </c>
      <c r="S641">
        <v>135</v>
      </c>
      <c r="T641">
        <v>1</v>
      </c>
      <c r="U641" t="str" cm="1">
        <f t="array" ref="U641">_xlfn.IFS(smart_dataset[[#This Row],[Waiting_Time]]&lt;=20,"Low",smart_dataset[[#This Row],[Waiting_Time]]&lt;=40,"Medium",TRUE,"High")</f>
        <v>High</v>
      </c>
      <c r="V641" t="str" cm="1">
        <f t="array" ref="V641">_xlfn.IFS(smart_dataset[[#This Row],[Temperature]]&lt;=20,"Cold",smart_dataset[[#This Row],[Temperature]]&lt;=28,"Normal",TRUE,"Hot")</f>
        <v>Normal</v>
      </c>
      <c r="W641" t="str" cm="1">
        <f t="array" ref="W641">_xlfn.IFS(smart_dataset[[#This Row],[Asset_Utilization]]&lt;=75,"Low",smart_dataset[[#This Row],[Asset_Utilization]]&lt;=90,"Medium",TRUE,"High")</f>
        <v>High</v>
      </c>
    </row>
    <row r="642" spans="1:23" hidden="1" x14ac:dyDescent="0.25">
      <c r="A642" s="1">
        <v>45349.729594907411</v>
      </c>
      <c r="B642" s="1">
        <f>INT(smart_dataset[[#This Row],[Timestamp]])</f>
        <v>45349</v>
      </c>
      <c r="C642" s="1">
        <f>MOD(smart_dataset[[#This Row],[Timestamp]],1)</f>
        <v>0.72959490741050104</v>
      </c>
      <c r="D642" s="1">
        <f>YEAR(smart_dataset[[#This Row],[Date]])</f>
        <v>2024</v>
      </c>
      <c r="E642" s="1">
        <f>MONTH(smart_dataset[[#This Row],[Timestamp]])</f>
        <v>2</v>
      </c>
      <c r="F642" t="s">
        <v>25</v>
      </c>
      <c r="G642">
        <v>-1.4258</v>
      </c>
      <c r="H642">
        <v>112.81740000000001</v>
      </c>
      <c r="I642">
        <v>146</v>
      </c>
      <c r="J642" t="s">
        <v>17</v>
      </c>
      <c r="K642">
        <v>24.2</v>
      </c>
      <c r="L642">
        <v>72.400000000000006</v>
      </c>
      <c r="M642" t="s">
        <v>28</v>
      </c>
      <c r="N642">
        <v>22</v>
      </c>
      <c r="O642">
        <v>321</v>
      </c>
      <c r="P642">
        <v>9</v>
      </c>
      <c r="Q642" t="s">
        <v>31</v>
      </c>
      <c r="R642">
        <v>88.2</v>
      </c>
      <c r="S642">
        <v>190</v>
      </c>
      <c r="T642">
        <v>1</v>
      </c>
      <c r="U642" t="str" cm="1">
        <f t="array" ref="U642">_xlfn.IFS(smart_dataset[[#This Row],[Waiting_Time]]&lt;=20,"Low",smart_dataset[[#This Row],[Waiting_Time]]&lt;=40,"Medium",TRUE,"High")</f>
        <v>Medium</v>
      </c>
      <c r="V642" t="str" cm="1">
        <f t="array" ref="V642">_xlfn.IFS(smart_dataset[[#This Row],[Temperature]]&lt;=20,"Cold",smart_dataset[[#This Row],[Temperature]]&lt;=28,"Normal",TRUE,"Hot")</f>
        <v>Normal</v>
      </c>
      <c r="W642" t="str" cm="1">
        <f t="array" ref="W642">_xlfn.IFS(smart_dataset[[#This Row],[Asset_Utilization]]&lt;=75,"Low",smart_dataset[[#This Row],[Asset_Utilization]]&lt;=90,"Medium",TRUE,"High")</f>
        <v>Medium</v>
      </c>
    </row>
    <row r="643" spans="1:23" hidden="1" x14ac:dyDescent="0.25">
      <c r="A643" s="1">
        <v>45557.023657407408</v>
      </c>
      <c r="B643" s="1">
        <f>INT(smart_dataset[[#This Row],[Timestamp]])</f>
        <v>45557</v>
      </c>
      <c r="C643" s="1">
        <f>MOD(smart_dataset[[#This Row],[Timestamp]],1)</f>
        <v>2.3657407407881692E-2</v>
      </c>
      <c r="D643" s="1">
        <f>YEAR(smart_dataset[[#This Row],[Date]])</f>
        <v>2024</v>
      </c>
      <c r="E643" s="1">
        <f>MONTH(smart_dataset[[#This Row],[Timestamp]])</f>
        <v>9</v>
      </c>
      <c r="F643" t="s">
        <v>33</v>
      </c>
      <c r="G643">
        <v>-18.380099999999999</v>
      </c>
      <c r="H643">
        <v>-175.0496</v>
      </c>
      <c r="I643">
        <v>215</v>
      </c>
      <c r="J643" t="s">
        <v>26</v>
      </c>
      <c r="K643">
        <v>18.899999999999999</v>
      </c>
      <c r="L643">
        <v>63.4</v>
      </c>
      <c r="M643" t="s">
        <v>22</v>
      </c>
      <c r="N643">
        <v>57</v>
      </c>
      <c r="O643">
        <v>382</v>
      </c>
      <c r="P643">
        <v>4</v>
      </c>
      <c r="Q643" t="s">
        <v>23</v>
      </c>
      <c r="R643">
        <v>71.2</v>
      </c>
      <c r="S643">
        <v>274</v>
      </c>
      <c r="T643">
        <v>1</v>
      </c>
      <c r="U643" t="str" cm="1">
        <f t="array" ref="U643">_xlfn.IFS(smart_dataset[[#This Row],[Waiting_Time]]&lt;=20,"Low",smart_dataset[[#This Row],[Waiting_Time]]&lt;=40,"Medium",TRUE,"High")</f>
        <v>High</v>
      </c>
      <c r="V643" t="str" cm="1">
        <f t="array" ref="V643">_xlfn.IFS(smart_dataset[[#This Row],[Temperature]]&lt;=20,"Cold",smart_dataset[[#This Row],[Temperature]]&lt;=28,"Normal",TRUE,"Hot")</f>
        <v>Cold</v>
      </c>
      <c r="W643" t="str" cm="1">
        <f t="array" ref="W643">_xlfn.IFS(smart_dataset[[#This Row],[Asset_Utilization]]&lt;=75,"Low",smart_dataset[[#This Row],[Asset_Utilization]]&lt;=90,"Medium",TRUE,"High")</f>
        <v>Low</v>
      </c>
    </row>
    <row r="644" spans="1:23" hidden="1" x14ac:dyDescent="0.25">
      <c r="A644" s="1">
        <v>45568.332465277781</v>
      </c>
      <c r="B644" s="1">
        <f>INT(smart_dataset[[#This Row],[Timestamp]])</f>
        <v>45568</v>
      </c>
      <c r="C644" s="1">
        <f>MOD(smart_dataset[[#This Row],[Timestamp]],1)</f>
        <v>0.33246527778101154</v>
      </c>
      <c r="D644" s="1">
        <f>YEAR(smart_dataset[[#This Row],[Date]])</f>
        <v>2024</v>
      </c>
      <c r="E644" s="1">
        <f>MONTH(smart_dataset[[#This Row],[Timestamp]])</f>
        <v>10</v>
      </c>
      <c r="F644" t="s">
        <v>33</v>
      </c>
      <c r="G644">
        <v>72.620599999999996</v>
      </c>
      <c r="H644">
        <v>46.139299999999999</v>
      </c>
      <c r="I644">
        <v>454</v>
      </c>
      <c r="J644" t="s">
        <v>21</v>
      </c>
      <c r="K644">
        <v>22.8</v>
      </c>
      <c r="L644">
        <v>73.3</v>
      </c>
      <c r="M644" t="s">
        <v>22</v>
      </c>
      <c r="N644">
        <v>45</v>
      </c>
      <c r="O644">
        <v>276</v>
      </c>
      <c r="P644">
        <v>5</v>
      </c>
      <c r="Q644" t="s">
        <v>23</v>
      </c>
      <c r="R644">
        <v>87.4</v>
      </c>
      <c r="S644">
        <v>261</v>
      </c>
      <c r="T644">
        <v>1</v>
      </c>
      <c r="U644" t="str" cm="1">
        <f t="array" ref="U644">_xlfn.IFS(smart_dataset[[#This Row],[Waiting_Time]]&lt;=20,"Low",smart_dataset[[#This Row],[Waiting_Time]]&lt;=40,"Medium",TRUE,"High")</f>
        <v>High</v>
      </c>
      <c r="V644" t="str" cm="1">
        <f t="array" ref="V644">_xlfn.IFS(smart_dataset[[#This Row],[Temperature]]&lt;=20,"Cold",smart_dataset[[#This Row],[Temperature]]&lt;=28,"Normal",TRUE,"Hot")</f>
        <v>Normal</v>
      </c>
      <c r="W644" t="str" cm="1">
        <f t="array" ref="W644">_xlfn.IFS(smart_dataset[[#This Row],[Asset_Utilization]]&lt;=75,"Low",smart_dataset[[#This Row],[Asset_Utilization]]&lt;=90,"Medium",TRUE,"High")</f>
        <v>Medium</v>
      </c>
    </row>
    <row r="645" spans="1:23" hidden="1" x14ac:dyDescent="0.25">
      <c r="A645" s="1">
        <v>45518.809733796297</v>
      </c>
      <c r="B645" s="1">
        <f>INT(smart_dataset[[#This Row],[Timestamp]])</f>
        <v>45518</v>
      </c>
      <c r="C645" s="1">
        <f>MOD(smart_dataset[[#This Row],[Timestamp]],1)</f>
        <v>0.80973379629722331</v>
      </c>
      <c r="D645" s="1">
        <f>YEAR(smart_dataset[[#This Row],[Date]])</f>
        <v>2024</v>
      </c>
      <c r="E645" s="1">
        <f>MONTH(smart_dataset[[#This Row],[Timestamp]])</f>
        <v>8</v>
      </c>
      <c r="F645" t="s">
        <v>29</v>
      </c>
      <c r="G645">
        <v>-10.0844</v>
      </c>
      <c r="H645">
        <v>-0.60419999999999996</v>
      </c>
      <c r="I645">
        <v>145</v>
      </c>
      <c r="J645" t="s">
        <v>26</v>
      </c>
      <c r="K645">
        <v>29.2</v>
      </c>
      <c r="L645">
        <v>67.3</v>
      </c>
      <c r="M645" t="s">
        <v>28</v>
      </c>
      <c r="N645">
        <v>36</v>
      </c>
      <c r="O645">
        <v>230</v>
      </c>
      <c r="P645">
        <v>4</v>
      </c>
      <c r="Q645" t="s">
        <v>27</v>
      </c>
      <c r="R645">
        <v>85.3</v>
      </c>
      <c r="S645">
        <v>269</v>
      </c>
      <c r="T645">
        <v>0</v>
      </c>
      <c r="U645" t="str" cm="1">
        <f t="array" ref="U645">_xlfn.IFS(smart_dataset[[#This Row],[Waiting_Time]]&lt;=20,"Low",smart_dataset[[#This Row],[Waiting_Time]]&lt;=40,"Medium",TRUE,"High")</f>
        <v>Medium</v>
      </c>
      <c r="V645" t="str" cm="1">
        <f t="array" ref="V645">_xlfn.IFS(smart_dataset[[#This Row],[Temperature]]&lt;=20,"Cold",smart_dataset[[#This Row],[Temperature]]&lt;=28,"Normal",TRUE,"Hot")</f>
        <v>Hot</v>
      </c>
      <c r="W645" t="str" cm="1">
        <f t="array" ref="W645">_xlfn.IFS(smart_dataset[[#This Row],[Asset_Utilization]]&lt;=75,"Low",smart_dataset[[#This Row],[Asset_Utilization]]&lt;=90,"Medium",TRUE,"High")</f>
        <v>Medium</v>
      </c>
    </row>
    <row r="646" spans="1:23" hidden="1" x14ac:dyDescent="0.25">
      <c r="A646" s="1">
        <v>45650.895868055559</v>
      </c>
      <c r="B646" s="1">
        <f>INT(smart_dataset[[#This Row],[Timestamp]])</f>
        <v>45650</v>
      </c>
      <c r="C646" s="1">
        <f>MOD(smart_dataset[[#This Row],[Timestamp]],1)</f>
        <v>0.89586805555882165</v>
      </c>
      <c r="D646" s="1">
        <f>YEAR(smart_dataset[[#This Row],[Date]])</f>
        <v>2024</v>
      </c>
      <c r="E646" s="1">
        <f>MONTH(smart_dataset[[#This Row],[Timestamp]])</f>
        <v>12</v>
      </c>
      <c r="F646" t="s">
        <v>24</v>
      </c>
      <c r="G646">
        <v>73.622500000000002</v>
      </c>
      <c r="H646">
        <v>125.9589</v>
      </c>
      <c r="I646">
        <v>410</v>
      </c>
      <c r="J646" t="s">
        <v>26</v>
      </c>
      <c r="K646">
        <v>18.8</v>
      </c>
      <c r="L646">
        <v>78</v>
      </c>
      <c r="M646" t="s">
        <v>22</v>
      </c>
      <c r="N646">
        <v>35</v>
      </c>
      <c r="O646">
        <v>228</v>
      </c>
      <c r="P646">
        <v>2</v>
      </c>
      <c r="Q646" t="s">
        <v>31</v>
      </c>
      <c r="R646">
        <v>92.1</v>
      </c>
      <c r="S646">
        <v>111</v>
      </c>
      <c r="T646">
        <v>1</v>
      </c>
      <c r="U646" t="str" cm="1">
        <f t="array" ref="U646">_xlfn.IFS(smart_dataset[[#This Row],[Waiting_Time]]&lt;=20,"Low",smart_dataset[[#This Row],[Waiting_Time]]&lt;=40,"Medium",TRUE,"High")</f>
        <v>Medium</v>
      </c>
      <c r="V646" t="str" cm="1">
        <f t="array" ref="V646">_xlfn.IFS(smart_dataset[[#This Row],[Temperature]]&lt;=20,"Cold",smart_dataset[[#This Row],[Temperature]]&lt;=28,"Normal",TRUE,"Hot")</f>
        <v>Cold</v>
      </c>
      <c r="W646" t="str" cm="1">
        <f t="array" ref="W646">_xlfn.IFS(smart_dataset[[#This Row],[Asset_Utilization]]&lt;=75,"Low",smart_dataset[[#This Row],[Asset_Utilization]]&lt;=90,"Medium",TRUE,"High")</f>
        <v>High</v>
      </c>
    </row>
    <row r="647" spans="1:23" hidden="1" x14ac:dyDescent="0.25">
      <c r="A647" s="1">
        <v>45489.884745370371</v>
      </c>
      <c r="B647" s="1">
        <f>INT(smart_dataset[[#This Row],[Timestamp]])</f>
        <v>45489</v>
      </c>
      <c r="C647" s="1">
        <f>MOD(smart_dataset[[#This Row],[Timestamp]],1)</f>
        <v>0.88474537037109258</v>
      </c>
      <c r="D647" s="1">
        <f>YEAR(smart_dataset[[#This Row],[Date]])</f>
        <v>2024</v>
      </c>
      <c r="E647" s="1">
        <f>MONTH(smart_dataset[[#This Row],[Timestamp]])</f>
        <v>7</v>
      </c>
      <c r="F647" t="s">
        <v>29</v>
      </c>
      <c r="G647">
        <v>-67.510900000000007</v>
      </c>
      <c r="H647">
        <v>-162.05369999999999</v>
      </c>
      <c r="I647">
        <v>350</v>
      </c>
      <c r="J647" t="s">
        <v>17</v>
      </c>
      <c r="K647">
        <v>21.8</v>
      </c>
      <c r="L647">
        <v>60.4</v>
      </c>
      <c r="M647" t="s">
        <v>28</v>
      </c>
      <c r="N647">
        <v>15</v>
      </c>
      <c r="O647">
        <v>238</v>
      </c>
      <c r="P647">
        <v>3</v>
      </c>
      <c r="Q647" t="s">
        <v>23</v>
      </c>
      <c r="R647">
        <v>81.099999999999994</v>
      </c>
      <c r="S647">
        <v>300</v>
      </c>
      <c r="T647">
        <v>1</v>
      </c>
      <c r="U647" t="str" cm="1">
        <f t="array" ref="U647">_xlfn.IFS(smart_dataset[[#This Row],[Waiting_Time]]&lt;=20,"Low",smart_dataset[[#This Row],[Waiting_Time]]&lt;=40,"Medium",TRUE,"High")</f>
        <v>Low</v>
      </c>
      <c r="V647" t="str" cm="1">
        <f t="array" ref="V647">_xlfn.IFS(smart_dataset[[#This Row],[Temperature]]&lt;=20,"Cold",smart_dataset[[#This Row],[Temperature]]&lt;=28,"Normal",TRUE,"Hot")</f>
        <v>Normal</v>
      </c>
      <c r="W647" t="str" cm="1">
        <f t="array" ref="W647">_xlfn.IFS(smart_dataset[[#This Row],[Asset_Utilization]]&lt;=75,"Low",smart_dataset[[#This Row],[Asset_Utilization]]&lt;=90,"Medium",TRUE,"High")</f>
        <v>Medium</v>
      </c>
    </row>
    <row r="648" spans="1:23" x14ac:dyDescent="0.25">
      <c r="A648" s="1">
        <v>45627.735347222224</v>
      </c>
      <c r="B648" s="1">
        <f>INT(smart_dataset[[#This Row],[Timestamp]])</f>
        <v>45627</v>
      </c>
      <c r="C648" s="7">
        <f>MOD(smart_dataset[[#This Row],[Timestamp]],1)</f>
        <v>0.73534722222393611</v>
      </c>
      <c r="D648">
        <f>YEAR(smart_dataset[[#This Row],[Date]])</f>
        <v>2024</v>
      </c>
      <c r="E648">
        <f>MONTH(smart_dataset[[#This Row],[Timestamp]])</f>
        <v>12</v>
      </c>
      <c r="F648" t="s">
        <v>35</v>
      </c>
      <c r="G648">
        <v>-4.42</v>
      </c>
      <c r="H648">
        <v>-44.161900000000003</v>
      </c>
      <c r="I648">
        <v>474</v>
      </c>
      <c r="J648" t="s">
        <v>17</v>
      </c>
      <c r="K648">
        <v>29.5</v>
      </c>
      <c r="L648">
        <v>51.1</v>
      </c>
      <c r="M648" t="s">
        <v>18</v>
      </c>
      <c r="N648">
        <v>34</v>
      </c>
      <c r="O648">
        <v>136</v>
      </c>
      <c r="P648">
        <v>8</v>
      </c>
      <c r="Q648" t="s">
        <v>19</v>
      </c>
      <c r="R648">
        <v>67.8</v>
      </c>
      <c r="S648">
        <v>268</v>
      </c>
      <c r="T648">
        <v>1</v>
      </c>
      <c r="U648" t="str" cm="1">
        <f t="array" ref="U648">_xlfn.IFS(smart_dataset[[#This Row],[Waiting_Time]]&lt;=20,"Low",smart_dataset[[#This Row],[Waiting_Time]]&lt;=40,"Medium",TRUE,"High")</f>
        <v>Medium</v>
      </c>
      <c r="V648" t="str" cm="1">
        <f t="array" ref="V648">_xlfn.IFS(smart_dataset[[#This Row],[Temperature]]&lt;=20,"Cold",smart_dataset[[#This Row],[Temperature]]&lt;=28,"Normal",TRUE,"Hot")</f>
        <v>Hot</v>
      </c>
      <c r="W648" t="str" cm="1">
        <f t="array" ref="W648">_xlfn.IFS(smart_dataset[[#This Row],[Asset_Utilization]]&lt;=75,"Low",smart_dataset[[#This Row],[Asset_Utilization]]&lt;=90,"Medium",TRUE,"High")</f>
        <v>Low</v>
      </c>
    </row>
    <row r="649" spans="1:23" hidden="1" x14ac:dyDescent="0.25">
      <c r="A649" s="1">
        <v>45573.525023148148</v>
      </c>
      <c r="B649" s="1">
        <f>INT(smart_dataset[[#This Row],[Timestamp]])</f>
        <v>45573</v>
      </c>
      <c r="C649" s="1">
        <f>MOD(smart_dataset[[#This Row],[Timestamp]],1)</f>
        <v>0.52502314814773854</v>
      </c>
      <c r="D649" s="1">
        <f>YEAR(smart_dataset[[#This Row],[Date]])</f>
        <v>2024</v>
      </c>
      <c r="E649" s="1">
        <f>MONTH(smart_dataset[[#This Row],[Timestamp]])</f>
        <v>10</v>
      </c>
      <c r="F649" t="s">
        <v>35</v>
      </c>
      <c r="G649">
        <v>-31.9299</v>
      </c>
      <c r="H649">
        <v>48.953600000000002</v>
      </c>
      <c r="I649">
        <v>357</v>
      </c>
      <c r="J649" t="s">
        <v>26</v>
      </c>
      <c r="K649">
        <v>20.9</v>
      </c>
      <c r="L649">
        <v>50.9</v>
      </c>
      <c r="M649" t="s">
        <v>18</v>
      </c>
      <c r="N649">
        <v>30</v>
      </c>
      <c r="O649">
        <v>495</v>
      </c>
      <c r="P649">
        <v>1</v>
      </c>
      <c r="Q649" t="s">
        <v>23</v>
      </c>
      <c r="R649">
        <v>65.599999999999994</v>
      </c>
      <c r="S649">
        <v>288</v>
      </c>
      <c r="T649">
        <v>0</v>
      </c>
      <c r="U649" t="str" cm="1">
        <f t="array" ref="U649">_xlfn.IFS(smart_dataset[[#This Row],[Waiting_Time]]&lt;=20,"Low",smart_dataset[[#This Row],[Waiting_Time]]&lt;=40,"Medium",TRUE,"High")</f>
        <v>Medium</v>
      </c>
      <c r="V649" t="str" cm="1">
        <f t="array" ref="V649">_xlfn.IFS(smart_dataset[[#This Row],[Temperature]]&lt;=20,"Cold",smart_dataset[[#This Row],[Temperature]]&lt;=28,"Normal",TRUE,"Hot")</f>
        <v>Normal</v>
      </c>
      <c r="W649" t="str" cm="1">
        <f t="array" ref="W649">_xlfn.IFS(smart_dataset[[#This Row],[Asset_Utilization]]&lt;=75,"Low",smart_dataset[[#This Row],[Asset_Utilization]]&lt;=90,"Medium",TRUE,"High")</f>
        <v>Low</v>
      </c>
    </row>
    <row r="650" spans="1:23" x14ac:dyDescent="0.25">
      <c r="A650" s="1">
        <v>45439.806550925925</v>
      </c>
      <c r="B650" s="1">
        <f>INT(smart_dataset[[#This Row],[Timestamp]])</f>
        <v>45439</v>
      </c>
      <c r="C650" s="7">
        <f>MOD(smart_dataset[[#This Row],[Timestamp]],1)</f>
        <v>0.80655092592496658</v>
      </c>
      <c r="D650">
        <f>YEAR(smart_dataset[[#This Row],[Date]])</f>
        <v>2024</v>
      </c>
      <c r="E650">
        <f>MONTH(smart_dataset[[#This Row],[Timestamp]])</f>
        <v>5</v>
      </c>
      <c r="F650" t="s">
        <v>35</v>
      </c>
      <c r="G650">
        <v>-84.586100000000002</v>
      </c>
      <c r="H650">
        <v>-56.904400000000003</v>
      </c>
      <c r="I650">
        <v>171</v>
      </c>
      <c r="J650" t="s">
        <v>21</v>
      </c>
      <c r="K650">
        <v>28.8</v>
      </c>
      <c r="L650">
        <v>59.3</v>
      </c>
      <c r="M650" t="s">
        <v>28</v>
      </c>
      <c r="N650">
        <v>56</v>
      </c>
      <c r="O650">
        <v>437</v>
      </c>
      <c r="P650">
        <v>10</v>
      </c>
      <c r="Q650" t="s">
        <v>19</v>
      </c>
      <c r="R650">
        <v>99.6</v>
      </c>
      <c r="S650">
        <v>235</v>
      </c>
      <c r="T650">
        <v>0</v>
      </c>
      <c r="U650" t="str" cm="1">
        <f t="array" ref="U650">_xlfn.IFS(smart_dataset[[#This Row],[Waiting_Time]]&lt;=20,"Low",smart_dataset[[#This Row],[Waiting_Time]]&lt;=40,"Medium",TRUE,"High")</f>
        <v>High</v>
      </c>
      <c r="V650" t="str" cm="1">
        <f t="array" ref="V650">_xlfn.IFS(smart_dataset[[#This Row],[Temperature]]&lt;=20,"Cold",smart_dataset[[#This Row],[Temperature]]&lt;=28,"Normal",TRUE,"Hot")</f>
        <v>Hot</v>
      </c>
      <c r="W650" t="str" cm="1">
        <f t="array" ref="W650">_xlfn.IFS(smart_dataset[[#This Row],[Asset_Utilization]]&lt;=75,"Low",smart_dataset[[#This Row],[Asset_Utilization]]&lt;=90,"Medium",TRUE,"High")</f>
        <v>High</v>
      </c>
    </row>
    <row r="651" spans="1:23" hidden="1" x14ac:dyDescent="0.25">
      <c r="A651" s="1">
        <v>45372.932453703703</v>
      </c>
      <c r="B651" s="1">
        <f>INT(smart_dataset[[#This Row],[Timestamp]])</f>
        <v>45372</v>
      </c>
      <c r="C651" s="1">
        <f>MOD(smart_dataset[[#This Row],[Timestamp]],1)</f>
        <v>0.93245370370277669</v>
      </c>
      <c r="D651" s="1">
        <f>YEAR(smart_dataset[[#This Row],[Date]])</f>
        <v>2024</v>
      </c>
      <c r="E651" s="1">
        <f>MONTH(smart_dataset[[#This Row],[Timestamp]])</f>
        <v>3</v>
      </c>
      <c r="F651" t="s">
        <v>33</v>
      </c>
      <c r="G651">
        <v>-20.657699999999998</v>
      </c>
      <c r="H651">
        <v>-86.801299999999998</v>
      </c>
      <c r="I651">
        <v>137</v>
      </c>
      <c r="J651" t="s">
        <v>26</v>
      </c>
      <c r="K651">
        <v>24</v>
      </c>
      <c r="L651">
        <v>78</v>
      </c>
      <c r="M651" t="s">
        <v>22</v>
      </c>
      <c r="N651">
        <v>29</v>
      </c>
      <c r="O651">
        <v>425</v>
      </c>
      <c r="P651">
        <v>7</v>
      </c>
      <c r="Q651" t="s">
        <v>23</v>
      </c>
      <c r="R651">
        <v>69.400000000000006</v>
      </c>
      <c r="S651">
        <v>270</v>
      </c>
      <c r="T651">
        <v>1</v>
      </c>
      <c r="U651" t="str" cm="1">
        <f t="array" ref="U651">_xlfn.IFS(smart_dataset[[#This Row],[Waiting_Time]]&lt;=20,"Low",smart_dataset[[#This Row],[Waiting_Time]]&lt;=40,"Medium",TRUE,"High")</f>
        <v>Medium</v>
      </c>
      <c r="V651" t="str" cm="1">
        <f t="array" ref="V651">_xlfn.IFS(smart_dataset[[#This Row],[Temperature]]&lt;=20,"Cold",smart_dataset[[#This Row],[Temperature]]&lt;=28,"Normal",TRUE,"Hot")</f>
        <v>Normal</v>
      </c>
      <c r="W651" t="str" cm="1">
        <f t="array" ref="W651">_xlfn.IFS(smart_dataset[[#This Row],[Asset_Utilization]]&lt;=75,"Low",smart_dataset[[#This Row],[Asset_Utilization]]&lt;=90,"Medium",TRUE,"High")</f>
        <v>Low</v>
      </c>
    </row>
    <row r="652" spans="1:23" hidden="1" x14ac:dyDescent="0.25">
      <c r="A652" s="1">
        <v>45416.452893518515</v>
      </c>
      <c r="B652" s="1">
        <f>INT(smart_dataset[[#This Row],[Timestamp]])</f>
        <v>45416</v>
      </c>
      <c r="C652" s="1">
        <f>MOD(smart_dataset[[#This Row],[Timestamp]],1)</f>
        <v>0.45289351851533866</v>
      </c>
      <c r="D652" s="1">
        <f>YEAR(smart_dataset[[#This Row],[Date]])</f>
        <v>2024</v>
      </c>
      <c r="E652" s="1">
        <f>MONTH(smart_dataset[[#This Row],[Timestamp]])</f>
        <v>5</v>
      </c>
      <c r="F652" t="s">
        <v>33</v>
      </c>
      <c r="G652">
        <v>-56.5959</v>
      </c>
      <c r="H652">
        <v>153.5316</v>
      </c>
      <c r="I652">
        <v>147</v>
      </c>
      <c r="J652" t="s">
        <v>26</v>
      </c>
      <c r="K652">
        <v>24.9</v>
      </c>
      <c r="L652">
        <v>67.599999999999994</v>
      </c>
      <c r="M652" t="s">
        <v>22</v>
      </c>
      <c r="N652">
        <v>57</v>
      </c>
      <c r="O652">
        <v>157</v>
      </c>
      <c r="P652">
        <v>4</v>
      </c>
      <c r="Q652" t="s">
        <v>27</v>
      </c>
      <c r="R652">
        <v>62.1</v>
      </c>
      <c r="S652">
        <v>261</v>
      </c>
      <c r="T652">
        <v>1</v>
      </c>
      <c r="U652" t="str" cm="1">
        <f t="array" ref="U652">_xlfn.IFS(smart_dataset[[#This Row],[Waiting_Time]]&lt;=20,"Low",smart_dataset[[#This Row],[Waiting_Time]]&lt;=40,"Medium",TRUE,"High")</f>
        <v>High</v>
      </c>
      <c r="V652" t="str" cm="1">
        <f t="array" ref="V652">_xlfn.IFS(smart_dataset[[#This Row],[Temperature]]&lt;=20,"Cold",smart_dataset[[#This Row],[Temperature]]&lt;=28,"Normal",TRUE,"Hot")</f>
        <v>Normal</v>
      </c>
      <c r="W652" t="str" cm="1">
        <f t="array" ref="W652">_xlfn.IFS(smart_dataset[[#This Row],[Asset_Utilization]]&lt;=75,"Low",smart_dataset[[#This Row],[Asset_Utilization]]&lt;=90,"Medium",TRUE,"High")</f>
        <v>Low</v>
      </c>
    </row>
    <row r="653" spans="1:23" hidden="1" x14ac:dyDescent="0.25">
      <c r="A653" s="1">
        <v>45423.509340277778</v>
      </c>
      <c r="B653" s="1">
        <f>INT(smart_dataset[[#This Row],[Timestamp]])</f>
        <v>45423</v>
      </c>
      <c r="C653" s="1">
        <f>MOD(smart_dataset[[#This Row],[Timestamp]],1)</f>
        <v>0.50934027777839219</v>
      </c>
      <c r="D653" s="1">
        <f>YEAR(smart_dataset[[#This Row],[Date]])</f>
        <v>2024</v>
      </c>
      <c r="E653" s="1">
        <f>MONTH(smart_dataset[[#This Row],[Timestamp]])</f>
        <v>5</v>
      </c>
      <c r="F653" t="s">
        <v>34</v>
      </c>
      <c r="G653">
        <v>20.654599999999999</v>
      </c>
      <c r="H653">
        <v>79.9499</v>
      </c>
      <c r="I653">
        <v>194</v>
      </c>
      <c r="J653" t="s">
        <v>21</v>
      </c>
      <c r="K653">
        <v>22.9</v>
      </c>
      <c r="L653">
        <v>69.7</v>
      </c>
      <c r="M653" t="s">
        <v>28</v>
      </c>
      <c r="N653">
        <v>11</v>
      </c>
      <c r="O653">
        <v>140</v>
      </c>
      <c r="P653">
        <v>4</v>
      </c>
      <c r="Q653" t="s">
        <v>23</v>
      </c>
      <c r="R653">
        <v>84.7</v>
      </c>
      <c r="S653">
        <v>293</v>
      </c>
      <c r="T653">
        <v>0</v>
      </c>
      <c r="U653" t="str" cm="1">
        <f t="array" ref="U653">_xlfn.IFS(smart_dataset[[#This Row],[Waiting_Time]]&lt;=20,"Low",smart_dataset[[#This Row],[Waiting_Time]]&lt;=40,"Medium",TRUE,"High")</f>
        <v>Low</v>
      </c>
      <c r="V653" t="str" cm="1">
        <f t="array" ref="V653">_xlfn.IFS(smart_dataset[[#This Row],[Temperature]]&lt;=20,"Cold",smart_dataset[[#This Row],[Temperature]]&lt;=28,"Normal",TRUE,"Hot")</f>
        <v>Normal</v>
      </c>
      <c r="W653" t="str" cm="1">
        <f t="array" ref="W653">_xlfn.IFS(smart_dataset[[#This Row],[Asset_Utilization]]&lt;=75,"Low",smart_dataset[[#This Row],[Asset_Utilization]]&lt;=90,"Medium",TRUE,"High")</f>
        <v>Medium</v>
      </c>
    </row>
    <row r="654" spans="1:23" x14ac:dyDescent="0.25">
      <c r="A654" s="1">
        <v>45654.850914351853</v>
      </c>
      <c r="B654" s="1">
        <f>INT(smart_dataset[[#This Row],[Timestamp]])</f>
        <v>45654</v>
      </c>
      <c r="C654" s="7">
        <f>MOD(smart_dataset[[#This Row],[Timestamp]],1)</f>
        <v>0.85091435185313458</v>
      </c>
      <c r="D654">
        <f>YEAR(smart_dataset[[#This Row],[Date]])</f>
        <v>2024</v>
      </c>
      <c r="E654">
        <f>MONTH(smart_dataset[[#This Row],[Timestamp]])</f>
        <v>12</v>
      </c>
      <c r="F654" t="s">
        <v>34</v>
      </c>
      <c r="G654">
        <v>-19.755299999999998</v>
      </c>
      <c r="H654">
        <v>54.2697</v>
      </c>
      <c r="I654">
        <v>291</v>
      </c>
      <c r="J654" t="s">
        <v>17</v>
      </c>
      <c r="K654">
        <v>24.1</v>
      </c>
      <c r="L654">
        <v>70.8</v>
      </c>
      <c r="M654" t="s">
        <v>22</v>
      </c>
      <c r="N654">
        <v>25</v>
      </c>
      <c r="O654">
        <v>414</v>
      </c>
      <c r="P654">
        <v>8</v>
      </c>
      <c r="Q654" t="s">
        <v>19</v>
      </c>
      <c r="R654">
        <v>99.4</v>
      </c>
      <c r="S654">
        <v>225</v>
      </c>
      <c r="T654">
        <v>1</v>
      </c>
      <c r="U654" t="str" cm="1">
        <f t="array" ref="U654">_xlfn.IFS(smart_dataset[[#This Row],[Waiting_Time]]&lt;=20,"Low",smart_dataset[[#This Row],[Waiting_Time]]&lt;=40,"Medium",TRUE,"High")</f>
        <v>Medium</v>
      </c>
      <c r="V654" t="str" cm="1">
        <f t="array" ref="V654">_xlfn.IFS(smart_dataset[[#This Row],[Temperature]]&lt;=20,"Cold",smart_dataset[[#This Row],[Temperature]]&lt;=28,"Normal",TRUE,"Hot")</f>
        <v>Normal</v>
      </c>
      <c r="W654" t="str" cm="1">
        <f t="array" ref="W654">_xlfn.IFS(smart_dataset[[#This Row],[Asset_Utilization]]&lt;=75,"Low",smart_dataset[[#This Row],[Asset_Utilization]]&lt;=90,"Medium",TRUE,"High")</f>
        <v>High</v>
      </c>
    </row>
    <row r="655" spans="1:23" hidden="1" x14ac:dyDescent="0.25">
      <c r="A655" s="1">
        <v>45388.075416666667</v>
      </c>
      <c r="B655" s="1">
        <f>INT(smart_dataset[[#This Row],[Timestamp]])</f>
        <v>45388</v>
      </c>
      <c r="C655" s="1">
        <f>MOD(smart_dataset[[#This Row],[Timestamp]],1)</f>
        <v>7.5416666666569654E-2</v>
      </c>
      <c r="D655" s="1">
        <f>YEAR(smart_dataset[[#This Row],[Date]])</f>
        <v>2024</v>
      </c>
      <c r="E655" s="1">
        <f>MONTH(smart_dataset[[#This Row],[Timestamp]])</f>
        <v>4</v>
      </c>
      <c r="F655" t="s">
        <v>33</v>
      </c>
      <c r="G655">
        <v>68.0702</v>
      </c>
      <c r="H655">
        <v>98.599500000000006</v>
      </c>
      <c r="I655">
        <v>176</v>
      </c>
      <c r="J655" t="s">
        <v>26</v>
      </c>
      <c r="K655">
        <v>29.5</v>
      </c>
      <c r="L655">
        <v>61.9</v>
      </c>
      <c r="M655" t="s">
        <v>28</v>
      </c>
      <c r="N655">
        <v>31</v>
      </c>
      <c r="O655">
        <v>306</v>
      </c>
      <c r="P655">
        <v>6</v>
      </c>
      <c r="Q655" t="s">
        <v>23</v>
      </c>
      <c r="R655">
        <v>73.5</v>
      </c>
      <c r="S655">
        <v>217</v>
      </c>
      <c r="T655">
        <v>0</v>
      </c>
      <c r="U655" t="str" cm="1">
        <f t="array" ref="U655">_xlfn.IFS(smart_dataset[[#This Row],[Waiting_Time]]&lt;=20,"Low",smart_dataset[[#This Row],[Waiting_Time]]&lt;=40,"Medium",TRUE,"High")</f>
        <v>Medium</v>
      </c>
      <c r="V655" t="str" cm="1">
        <f t="array" ref="V655">_xlfn.IFS(smart_dataset[[#This Row],[Temperature]]&lt;=20,"Cold",smart_dataset[[#This Row],[Temperature]]&lt;=28,"Normal",TRUE,"Hot")</f>
        <v>Hot</v>
      </c>
      <c r="W655" t="str" cm="1">
        <f t="array" ref="W655">_xlfn.IFS(smart_dataset[[#This Row],[Asset_Utilization]]&lt;=75,"Low",smart_dataset[[#This Row],[Asset_Utilization]]&lt;=90,"Medium",TRUE,"High")</f>
        <v>Low</v>
      </c>
    </row>
    <row r="656" spans="1:23" hidden="1" x14ac:dyDescent="0.25">
      <c r="A656" s="1">
        <v>45516.424791666665</v>
      </c>
      <c r="B656" s="1">
        <f>INT(smart_dataset[[#This Row],[Timestamp]])</f>
        <v>45516</v>
      </c>
      <c r="C656" s="1">
        <f>MOD(smart_dataset[[#This Row],[Timestamp]],1)</f>
        <v>0.42479166666453239</v>
      </c>
      <c r="D656" s="1">
        <f>YEAR(smart_dataset[[#This Row],[Date]])</f>
        <v>2024</v>
      </c>
      <c r="E656" s="1">
        <f>MONTH(smart_dataset[[#This Row],[Timestamp]])</f>
        <v>8</v>
      </c>
      <c r="F656" t="s">
        <v>29</v>
      </c>
      <c r="G656">
        <v>25.963999999999999</v>
      </c>
      <c r="H656">
        <v>-133.3578</v>
      </c>
      <c r="I656">
        <v>240</v>
      </c>
      <c r="J656" t="s">
        <v>21</v>
      </c>
      <c r="K656">
        <v>27.4</v>
      </c>
      <c r="L656">
        <v>72.900000000000006</v>
      </c>
      <c r="M656" t="s">
        <v>18</v>
      </c>
      <c r="N656">
        <v>29</v>
      </c>
      <c r="O656">
        <v>272</v>
      </c>
      <c r="P656">
        <v>8</v>
      </c>
      <c r="Q656" t="s">
        <v>31</v>
      </c>
      <c r="R656">
        <v>72.3</v>
      </c>
      <c r="S656">
        <v>106</v>
      </c>
      <c r="T656">
        <v>0</v>
      </c>
      <c r="U656" t="str" cm="1">
        <f t="array" ref="U656">_xlfn.IFS(smart_dataset[[#This Row],[Waiting_Time]]&lt;=20,"Low",smart_dataset[[#This Row],[Waiting_Time]]&lt;=40,"Medium",TRUE,"High")</f>
        <v>Medium</v>
      </c>
      <c r="V656" t="str" cm="1">
        <f t="array" ref="V656">_xlfn.IFS(smart_dataset[[#This Row],[Temperature]]&lt;=20,"Cold",smart_dataset[[#This Row],[Temperature]]&lt;=28,"Normal",TRUE,"Hot")</f>
        <v>Normal</v>
      </c>
      <c r="W656" t="str" cm="1">
        <f t="array" ref="W656">_xlfn.IFS(smart_dataset[[#This Row],[Asset_Utilization]]&lt;=75,"Low",smart_dataset[[#This Row],[Asset_Utilization]]&lt;=90,"Medium",TRUE,"High")</f>
        <v>Low</v>
      </c>
    </row>
    <row r="657" spans="1:23" hidden="1" x14ac:dyDescent="0.25">
      <c r="A657" s="1">
        <v>45330.425150462965</v>
      </c>
      <c r="B657" s="1">
        <f>INT(smart_dataset[[#This Row],[Timestamp]])</f>
        <v>45330</v>
      </c>
      <c r="C657" s="1">
        <f>MOD(smart_dataset[[#This Row],[Timestamp]],1)</f>
        <v>0.42515046296466608</v>
      </c>
      <c r="D657" s="1">
        <f>YEAR(smart_dataset[[#This Row],[Date]])</f>
        <v>2024</v>
      </c>
      <c r="E657" s="1">
        <f>MONTH(smart_dataset[[#This Row],[Timestamp]])</f>
        <v>2</v>
      </c>
      <c r="F657" t="s">
        <v>35</v>
      </c>
      <c r="G657">
        <v>-86.700999999999993</v>
      </c>
      <c r="H657">
        <v>-140.03389999999999</v>
      </c>
      <c r="I657">
        <v>412</v>
      </c>
      <c r="J657" t="s">
        <v>17</v>
      </c>
      <c r="K657">
        <v>23.8</v>
      </c>
      <c r="L657">
        <v>71.599999999999994</v>
      </c>
      <c r="M657" t="s">
        <v>22</v>
      </c>
      <c r="N657">
        <v>54</v>
      </c>
      <c r="O657">
        <v>301</v>
      </c>
      <c r="P657">
        <v>6</v>
      </c>
      <c r="Q657" t="s">
        <v>23</v>
      </c>
      <c r="R657">
        <v>76.8</v>
      </c>
      <c r="S657">
        <v>183</v>
      </c>
      <c r="T657">
        <v>1</v>
      </c>
      <c r="U657" t="str" cm="1">
        <f t="array" ref="U657">_xlfn.IFS(smart_dataset[[#This Row],[Waiting_Time]]&lt;=20,"Low",smart_dataset[[#This Row],[Waiting_Time]]&lt;=40,"Medium",TRUE,"High")</f>
        <v>High</v>
      </c>
      <c r="V657" t="str" cm="1">
        <f t="array" ref="V657">_xlfn.IFS(smart_dataset[[#This Row],[Temperature]]&lt;=20,"Cold",smart_dataset[[#This Row],[Temperature]]&lt;=28,"Normal",TRUE,"Hot")</f>
        <v>Normal</v>
      </c>
      <c r="W657" t="str" cm="1">
        <f t="array" ref="W657">_xlfn.IFS(smart_dataset[[#This Row],[Asset_Utilization]]&lt;=75,"Low",smart_dataset[[#This Row],[Asset_Utilization]]&lt;=90,"Medium",TRUE,"High")</f>
        <v>Medium</v>
      </c>
    </row>
    <row r="658" spans="1:23" hidden="1" x14ac:dyDescent="0.25">
      <c r="A658" s="1">
        <v>45567.771747685183</v>
      </c>
      <c r="B658" s="1">
        <f>INT(smart_dataset[[#This Row],[Timestamp]])</f>
        <v>45567</v>
      </c>
      <c r="C658" s="1">
        <f>MOD(smart_dataset[[#This Row],[Timestamp]],1)</f>
        <v>0.77174768518307246</v>
      </c>
      <c r="D658" s="1">
        <f>YEAR(smart_dataset[[#This Row],[Date]])</f>
        <v>2024</v>
      </c>
      <c r="E658" s="1">
        <f>MONTH(smart_dataset[[#This Row],[Timestamp]])</f>
        <v>10</v>
      </c>
      <c r="F658" t="s">
        <v>30</v>
      </c>
      <c r="G658">
        <v>-35.944099999999999</v>
      </c>
      <c r="H658">
        <v>-133.41829999999999</v>
      </c>
      <c r="I658">
        <v>359</v>
      </c>
      <c r="J658" t="s">
        <v>26</v>
      </c>
      <c r="K658">
        <v>22.6</v>
      </c>
      <c r="L658">
        <v>72.900000000000006</v>
      </c>
      <c r="M658" t="s">
        <v>28</v>
      </c>
      <c r="N658">
        <v>60</v>
      </c>
      <c r="O658">
        <v>142</v>
      </c>
      <c r="P658">
        <v>4</v>
      </c>
      <c r="Q658" t="s">
        <v>27</v>
      </c>
      <c r="R658">
        <v>78.5</v>
      </c>
      <c r="S658">
        <v>255</v>
      </c>
      <c r="T658">
        <v>0</v>
      </c>
      <c r="U658" t="str" cm="1">
        <f t="array" ref="U658">_xlfn.IFS(smart_dataset[[#This Row],[Waiting_Time]]&lt;=20,"Low",smart_dataset[[#This Row],[Waiting_Time]]&lt;=40,"Medium",TRUE,"High")</f>
        <v>High</v>
      </c>
      <c r="V658" t="str" cm="1">
        <f t="array" ref="V658">_xlfn.IFS(smart_dataset[[#This Row],[Temperature]]&lt;=20,"Cold",smart_dataset[[#This Row],[Temperature]]&lt;=28,"Normal",TRUE,"Hot")</f>
        <v>Normal</v>
      </c>
      <c r="W658" t="str" cm="1">
        <f t="array" ref="W658">_xlfn.IFS(smart_dataset[[#This Row],[Asset_Utilization]]&lt;=75,"Low",smart_dataset[[#This Row],[Asset_Utilization]]&lt;=90,"Medium",TRUE,"High")</f>
        <v>Medium</v>
      </c>
    </row>
    <row r="659" spans="1:23" hidden="1" x14ac:dyDescent="0.25">
      <c r="A659" s="1">
        <v>45621.782013888886</v>
      </c>
      <c r="B659" s="1">
        <f>INT(smart_dataset[[#This Row],[Timestamp]])</f>
        <v>45621</v>
      </c>
      <c r="C659" s="1">
        <f>MOD(smart_dataset[[#This Row],[Timestamp]],1)</f>
        <v>0.78201388888555812</v>
      </c>
      <c r="D659" s="1">
        <f>YEAR(smart_dataset[[#This Row],[Date]])</f>
        <v>2024</v>
      </c>
      <c r="E659" s="1">
        <f>MONTH(smart_dataset[[#This Row],[Timestamp]])</f>
        <v>11</v>
      </c>
      <c r="F659" t="s">
        <v>32</v>
      </c>
      <c r="G659">
        <v>62.9176</v>
      </c>
      <c r="H659">
        <v>116.017</v>
      </c>
      <c r="I659">
        <v>491</v>
      </c>
      <c r="J659" t="s">
        <v>21</v>
      </c>
      <c r="K659">
        <v>20.6</v>
      </c>
      <c r="L659">
        <v>74.7</v>
      </c>
      <c r="M659" t="s">
        <v>18</v>
      </c>
      <c r="N659">
        <v>16</v>
      </c>
      <c r="O659">
        <v>183</v>
      </c>
      <c r="P659">
        <v>7</v>
      </c>
      <c r="Q659" t="s">
        <v>23</v>
      </c>
      <c r="R659">
        <v>60.3</v>
      </c>
      <c r="S659">
        <v>273</v>
      </c>
      <c r="T659">
        <v>0</v>
      </c>
      <c r="U659" t="str" cm="1">
        <f t="array" ref="U659">_xlfn.IFS(smart_dataset[[#This Row],[Waiting_Time]]&lt;=20,"Low",smart_dataset[[#This Row],[Waiting_Time]]&lt;=40,"Medium",TRUE,"High")</f>
        <v>Low</v>
      </c>
      <c r="V659" t="str" cm="1">
        <f t="array" ref="V659">_xlfn.IFS(smart_dataset[[#This Row],[Temperature]]&lt;=20,"Cold",smart_dataset[[#This Row],[Temperature]]&lt;=28,"Normal",TRUE,"Hot")</f>
        <v>Normal</v>
      </c>
      <c r="W659" t="str" cm="1">
        <f t="array" ref="W659">_xlfn.IFS(smart_dataset[[#This Row],[Asset_Utilization]]&lt;=75,"Low",smart_dataset[[#This Row],[Asset_Utilization]]&lt;=90,"Medium",TRUE,"High")</f>
        <v>Low</v>
      </c>
    </row>
    <row r="660" spans="1:23" hidden="1" x14ac:dyDescent="0.25">
      <c r="A660" s="1">
        <v>45379.60670138889</v>
      </c>
      <c r="B660" s="1">
        <f>INT(smart_dataset[[#This Row],[Timestamp]])</f>
        <v>45379</v>
      </c>
      <c r="C660" s="1">
        <f>MOD(smart_dataset[[#This Row],[Timestamp]],1)</f>
        <v>0.60670138888963265</v>
      </c>
      <c r="D660" s="1">
        <f>YEAR(smart_dataset[[#This Row],[Date]])</f>
        <v>2024</v>
      </c>
      <c r="E660" s="1">
        <f>MONTH(smart_dataset[[#This Row],[Timestamp]])</f>
        <v>3</v>
      </c>
      <c r="F660" t="s">
        <v>33</v>
      </c>
      <c r="G660">
        <v>69.754900000000006</v>
      </c>
      <c r="H660">
        <v>-126.81229999999999</v>
      </c>
      <c r="I660">
        <v>130</v>
      </c>
      <c r="J660" t="s">
        <v>17</v>
      </c>
      <c r="K660">
        <v>29.9</v>
      </c>
      <c r="L660">
        <v>65</v>
      </c>
      <c r="M660" t="s">
        <v>18</v>
      </c>
      <c r="N660">
        <v>50</v>
      </c>
      <c r="O660">
        <v>385</v>
      </c>
      <c r="P660">
        <v>10</v>
      </c>
      <c r="Q660" t="s">
        <v>27</v>
      </c>
      <c r="R660">
        <v>72.599999999999994</v>
      </c>
      <c r="S660">
        <v>106</v>
      </c>
      <c r="T660">
        <v>1</v>
      </c>
      <c r="U660" t="str" cm="1">
        <f t="array" ref="U660">_xlfn.IFS(smart_dataset[[#This Row],[Waiting_Time]]&lt;=20,"Low",smart_dataset[[#This Row],[Waiting_Time]]&lt;=40,"Medium",TRUE,"High")</f>
        <v>High</v>
      </c>
      <c r="V660" t="str" cm="1">
        <f t="array" ref="V660">_xlfn.IFS(smart_dataset[[#This Row],[Temperature]]&lt;=20,"Cold",smart_dataset[[#This Row],[Temperature]]&lt;=28,"Normal",TRUE,"Hot")</f>
        <v>Hot</v>
      </c>
      <c r="W660" t="str" cm="1">
        <f t="array" ref="W660">_xlfn.IFS(smart_dataset[[#This Row],[Asset_Utilization]]&lt;=75,"Low",smart_dataset[[#This Row],[Asset_Utilization]]&lt;=90,"Medium",TRUE,"High")</f>
        <v>Low</v>
      </c>
    </row>
    <row r="661" spans="1:23" hidden="1" x14ac:dyDescent="0.25">
      <c r="A661" s="1">
        <v>45640.529374999998</v>
      </c>
      <c r="B661" s="1">
        <f>INT(smart_dataset[[#This Row],[Timestamp]])</f>
        <v>45640</v>
      </c>
      <c r="C661" s="1">
        <f>MOD(smart_dataset[[#This Row],[Timestamp]],1)</f>
        <v>0.52937499999825377</v>
      </c>
      <c r="D661" s="1">
        <f>YEAR(smart_dataset[[#This Row],[Date]])</f>
        <v>2024</v>
      </c>
      <c r="E661" s="1">
        <f>MONTH(smart_dataset[[#This Row],[Timestamp]])</f>
        <v>12</v>
      </c>
      <c r="F661" t="s">
        <v>32</v>
      </c>
      <c r="G661">
        <v>-0.53549999999999998</v>
      </c>
      <c r="H661">
        <v>120.97929999999999</v>
      </c>
      <c r="I661">
        <v>336</v>
      </c>
      <c r="J661" t="s">
        <v>21</v>
      </c>
      <c r="K661">
        <v>22.1</v>
      </c>
      <c r="L661">
        <v>75.2</v>
      </c>
      <c r="M661" t="s">
        <v>18</v>
      </c>
      <c r="N661">
        <v>33</v>
      </c>
      <c r="O661">
        <v>443</v>
      </c>
      <c r="P661">
        <v>5</v>
      </c>
      <c r="Q661" t="s">
        <v>31</v>
      </c>
      <c r="R661">
        <v>73.2</v>
      </c>
      <c r="S661">
        <v>186</v>
      </c>
      <c r="T661">
        <v>0</v>
      </c>
      <c r="U661" t="str" cm="1">
        <f t="array" ref="U661">_xlfn.IFS(smart_dataset[[#This Row],[Waiting_Time]]&lt;=20,"Low",smart_dataset[[#This Row],[Waiting_Time]]&lt;=40,"Medium",TRUE,"High")</f>
        <v>Medium</v>
      </c>
      <c r="V661" t="str" cm="1">
        <f t="array" ref="V661">_xlfn.IFS(smart_dataset[[#This Row],[Temperature]]&lt;=20,"Cold",smart_dataset[[#This Row],[Temperature]]&lt;=28,"Normal",TRUE,"Hot")</f>
        <v>Normal</v>
      </c>
      <c r="W661" t="str" cm="1">
        <f t="array" ref="W661">_xlfn.IFS(smart_dataset[[#This Row],[Asset_Utilization]]&lt;=75,"Low",smart_dataset[[#This Row],[Asset_Utilization]]&lt;=90,"Medium",TRUE,"High")</f>
        <v>Low</v>
      </c>
    </row>
    <row r="662" spans="1:23" hidden="1" x14ac:dyDescent="0.25">
      <c r="A662" s="1">
        <v>45364.782754629632</v>
      </c>
      <c r="B662" s="1">
        <f>INT(smart_dataset[[#This Row],[Timestamp]])</f>
        <v>45364</v>
      </c>
      <c r="C662" s="1">
        <f>MOD(smart_dataset[[#This Row],[Timestamp]],1)</f>
        <v>0.78275462963210884</v>
      </c>
      <c r="D662" s="1">
        <f>YEAR(smart_dataset[[#This Row],[Date]])</f>
        <v>2024</v>
      </c>
      <c r="E662" s="1">
        <f>MONTH(smart_dataset[[#This Row],[Timestamp]])</f>
        <v>3</v>
      </c>
      <c r="F662" t="s">
        <v>25</v>
      </c>
      <c r="G662">
        <v>57.927700000000002</v>
      </c>
      <c r="H662">
        <v>-106.3278</v>
      </c>
      <c r="I662">
        <v>330</v>
      </c>
      <c r="J662" t="s">
        <v>21</v>
      </c>
      <c r="K662">
        <v>29.5</v>
      </c>
      <c r="L662">
        <v>68.5</v>
      </c>
      <c r="M662" t="s">
        <v>28</v>
      </c>
      <c r="N662">
        <v>14</v>
      </c>
      <c r="O662">
        <v>358</v>
      </c>
      <c r="P662">
        <v>1</v>
      </c>
      <c r="Q662" t="s">
        <v>31</v>
      </c>
      <c r="R662">
        <v>70</v>
      </c>
      <c r="S662">
        <v>283</v>
      </c>
      <c r="T662">
        <v>0</v>
      </c>
      <c r="U662" t="str" cm="1">
        <f t="array" ref="U662">_xlfn.IFS(smart_dataset[[#This Row],[Waiting_Time]]&lt;=20,"Low",smart_dataset[[#This Row],[Waiting_Time]]&lt;=40,"Medium",TRUE,"High")</f>
        <v>Low</v>
      </c>
      <c r="V662" t="str" cm="1">
        <f t="array" ref="V662">_xlfn.IFS(smart_dataset[[#This Row],[Temperature]]&lt;=20,"Cold",smart_dataset[[#This Row],[Temperature]]&lt;=28,"Normal",TRUE,"Hot")</f>
        <v>Hot</v>
      </c>
      <c r="W662" t="str" cm="1">
        <f t="array" ref="W662">_xlfn.IFS(smart_dataset[[#This Row],[Asset_Utilization]]&lt;=75,"Low",smart_dataset[[#This Row],[Asset_Utilization]]&lt;=90,"Medium",TRUE,"High")</f>
        <v>Low</v>
      </c>
    </row>
    <row r="663" spans="1:23" x14ac:dyDescent="0.25">
      <c r="A663" s="1">
        <v>45350.037210648145</v>
      </c>
      <c r="B663" s="1">
        <f>INT(smart_dataset[[#This Row],[Timestamp]])</f>
        <v>45350</v>
      </c>
      <c r="C663" s="7">
        <f>MOD(smart_dataset[[#This Row],[Timestamp]],1)</f>
        <v>3.7210648144537117E-2</v>
      </c>
      <c r="D663">
        <f>YEAR(smart_dataset[[#This Row],[Date]])</f>
        <v>2024</v>
      </c>
      <c r="E663">
        <f>MONTH(smart_dataset[[#This Row],[Timestamp]])</f>
        <v>2</v>
      </c>
      <c r="F663" t="s">
        <v>20</v>
      </c>
      <c r="G663">
        <v>-86.177000000000007</v>
      </c>
      <c r="H663">
        <v>112.10680000000001</v>
      </c>
      <c r="I663">
        <v>118</v>
      </c>
      <c r="J663" t="s">
        <v>21</v>
      </c>
      <c r="K663">
        <v>25.1</v>
      </c>
      <c r="L663">
        <v>59.5</v>
      </c>
      <c r="M663" t="s">
        <v>28</v>
      </c>
      <c r="N663">
        <v>36</v>
      </c>
      <c r="O663">
        <v>200</v>
      </c>
      <c r="P663">
        <v>1</v>
      </c>
      <c r="Q663" t="s">
        <v>19</v>
      </c>
      <c r="R663">
        <v>80.599999999999994</v>
      </c>
      <c r="S663">
        <v>239</v>
      </c>
      <c r="T663">
        <v>0</v>
      </c>
      <c r="U663" t="str" cm="1">
        <f t="array" ref="U663">_xlfn.IFS(smart_dataset[[#This Row],[Waiting_Time]]&lt;=20,"Low",smart_dataset[[#This Row],[Waiting_Time]]&lt;=40,"Medium",TRUE,"High")</f>
        <v>Medium</v>
      </c>
      <c r="V663" t="str" cm="1">
        <f t="array" ref="V663">_xlfn.IFS(smart_dataset[[#This Row],[Temperature]]&lt;=20,"Cold",smart_dataset[[#This Row],[Temperature]]&lt;=28,"Normal",TRUE,"Hot")</f>
        <v>Normal</v>
      </c>
      <c r="W663" t="str" cm="1">
        <f t="array" ref="W663">_xlfn.IFS(smart_dataset[[#This Row],[Asset_Utilization]]&lt;=75,"Low",smart_dataset[[#This Row],[Asset_Utilization]]&lt;=90,"Medium",TRUE,"High")</f>
        <v>Medium</v>
      </c>
    </row>
    <row r="664" spans="1:23" hidden="1" x14ac:dyDescent="0.25">
      <c r="A664" s="1">
        <v>45583.893368055556</v>
      </c>
      <c r="B664" s="1">
        <f>INT(smart_dataset[[#This Row],[Timestamp]])</f>
        <v>45583</v>
      </c>
      <c r="C664" s="1">
        <f>MOD(smart_dataset[[#This Row],[Timestamp]],1)</f>
        <v>0.89336805555649335</v>
      </c>
      <c r="D664" s="1">
        <f>YEAR(smart_dataset[[#This Row],[Date]])</f>
        <v>2024</v>
      </c>
      <c r="E664" s="1">
        <f>MONTH(smart_dataset[[#This Row],[Timestamp]])</f>
        <v>10</v>
      </c>
      <c r="F664" t="s">
        <v>30</v>
      </c>
      <c r="G664">
        <v>-9.2728000000000002</v>
      </c>
      <c r="H664">
        <v>-173.06989999999999</v>
      </c>
      <c r="I664">
        <v>147</v>
      </c>
      <c r="J664" t="s">
        <v>21</v>
      </c>
      <c r="K664">
        <v>21.6</v>
      </c>
      <c r="L664">
        <v>52</v>
      </c>
      <c r="M664" t="s">
        <v>28</v>
      </c>
      <c r="N664">
        <v>24</v>
      </c>
      <c r="O664">
        <v>187</v>
      </c>
      <c r="P664">
        <v>7</v>
      </c>
      <c r="Q664" t="s">
        <v>27</v>
      </c>
      <c r="R664">
        <v>71</v>
      </c>
      <c r="S664">
        <v>173</v>
      </c>
      <c r="T664">
        <v>0</v>
      </c>
      <c r="U664" t="str" cm="1">
        <f t="array" ref="U664">_xlfn.IFS(smart_dataset[[#This Row],[Waiting_Time]]&lt;=20,"Low",smart_dataset[[#This Row],[Waiting_Time]]&lt;=40,"Medium",TRUE,"High")</f>
        <v>Medium</v>
      </c>
      <c r="V664" t="str" cm="1">
        <f t="array" ref="V664">_xlfn.IFS(smart_dataset[[#This Row],[Temperature]]&lt;=20,"Cold",smart_dataset[[#This Row],[Temperature]]&lt;=28,"Normal",TRUE,"Hot")</f>
        <v>Normal</v>
      </c>
      <c r="W664" t="str" cm="1">
        <f t="array" ref="W664">_xlfn.IFS(smart_dataset[[#This Row],[Asset_Utilization]]&lt;=75,"Low",smart_dataset[[#This Row],[Asset_Utilization]]&lt;=90,"Medium",TRUE,"High")</f>
        <v>Low</v>
      </c>
    </row>
    <row r="665" spans="1:23" hidden="1" x14ac:dyDescent="0.25">
      <c r="A665" s="1">
        <v>45302.131655092591</v>
      </c>
      <c r="B665" s="1">
        <f>INT(smart_dataset[[#This Row],[Timestamp]])</f>
        <v>45302</v>
      </c>
      <c r="C665" s="1">
        <f>MOD(smart_dataset[[#This Row],[Timestamp]],1)</f>
        <v>0.13165509259124519</v>
      </c>
      <c r="D665" s="1">
        <f>YEAR(smart_dataset[[#This Row],[Date]])</f>
        <v>2024</v>
      </c>
      <c r="E665" s="1">
        <f>MONTH(smart_dataset[[#This Row],[Timestamp]])</f>
        <v>1</v>
      </c>
      <c r="F665" t="s">
        <v>33</v>
      </c>
      <c r="G665">
        <v>-84.322400000000002</v>
      </c>
      <c r="H665">
        <v>76.116299999999995</v>
      </c>
      <c r="I665">
        <v>258</v>
      </c>
      <c r="J665" t="s">
        <v>26</v>
      </c>
      <c r="K665">
        <v>23.3</v>
      </c>
      <c r="L665">
        <v>71.8</v>
      </c>
      <c r="M665" t="s">
        <v>22</v>
      </c>
      <c r="N665">
        <v>20</v>
      </c>
      <c r="O665">
        <v>466</v>
      </c>
      <c r="P665">
        <v>7</v>
      </c>
      <c r="Q665" t="s">
        <v>27</v>
      </c>
      <c r="R665">
        <v>80.599999999999994</v>
      </c>
      <c r="S665">
        <v>277</v>
      </c>
      <c r="T665">
        <v>1</v>
      </c>
      <c r="U665" t="str" cm="1">
        <f t="array" ref="U665">_xlfn.IFS(smart_dataset[[#This Row],[Waiting_Time]]&lt;=20,"Low",smart_dataset[[#This Row],[Waiting_Time]]&lt;=40,"Medium",TRUE,"High")</f>
        <v>Low</v>
      </c>
      <c r="V665" t="str" cm="1">
        <f t="array" ref="V665">_xlfn.IFS(smart_dataset[[#This Row],[Temperature]]&lt;=20,"Cold",smart_dataset[[#This Row],[Temperature]]&lt;=28,"Normal",TRUE,"Hot")</f>
        <v>Normal</v>
      </c>
      <c r="W665" t="str" cm="1">
        <f t="array" ref="W665">_xlfn.IFS(smart_dataset[[#This Row],[Asset_Utilization]]&lt;=75,"Low",smart_dataset[[#This Row],[Asset_Utilization]]&lt;=90,"Medium",TRUE,"High")</f>
        <v>Medium</v>
      </c>
    </row>
    <row r="666" spans="1:23" hidden="1" x14ac:dyDescent="0.25">
      <c r="A666" s="1">
        <v>45560.406134259261</v>
      </c>
      <c r="B666" s="1">
        <f>INT(smart_dataset[[#This Row],[Timestamp]])</f>
        <v>45560</v>
      </c>
      <c r="C666" s="1">
        <f>MOD(smart_dataset[[#This Row],[Timestamp]],1)</f>
        <v>0.40613425926130731</v>
      </c>
      <c r="D666" s="1">
        <f>YEAR(smart_dataset[[#This Row],[Date]])</f>
        <v>2024</v>
      </c>
      <c r="E666" s="1">
        <f>MONTH(smart_dataset[[#This Row],[Timestamp]])</f>
        <v>9</v>
      </c>
      <c r="F666" t="s">
        <v>16</v>
      </c>
      <c r="G666">
        <v>-27.880600000000001</v>
      </c>
      <c r="H666">
        <v>-32.477800000000002</v>
      </c>
      <c r="I666">
        <v>315</v>
      </c>
      <c r="J666" t="s">
        <v>17</v>
      </c>
      <c r="K666">
        <v>21.7</v>
      </c>
      <c r="L666">
        <v>54.9</v>
      </c>
      <c r="M666" t="s">
        <v>22</v>
      </c>
      <c r="N666">
        <v>51</v>
      </c>
      <c r="O666">
        <v>479</v>
      </c>
      <c r="P666">
        <v>7</v>
      </c>
      <c r="Q666" t="s">
        <v>27</v>
      </c>
      <c r="R666">
        <v>83.7</v>
      </c>
      <c r="S666">
        <v>293</v>
      </c>
      <c r="T666">
        <v>1</v>
      </c>
      <c r="U666" t="str" cm="1">
        <f t="array" ref="U666">_xlfn.IFS(smart_dataset[[#This Row],[Waiting_Time]]&lt;=20,"Low",smart_dataset[[#This Row],[Waiting_Time]]&lt;=40,"Medium",TRUE,"High")</f>
        <v>High</v>
      </c>
      <c r="V666" t="str" cm="1">
        <f t="array" ref="V666">_xlfn.IFS(smart_dataset[[#This Row],[Temperature]]&lt;=20,"Cold",smart_dataset[[#This Row],[Temperature]]&lt;=28,"Normal",TRUE,"Hot")</f>
        <v>Normal</v>
      </c>
      <c r="W666" t="str" cm="1">
        <f t="array" ref="W666">_xlfn.IFS(smart_dataset[[#This Row],[Asset_Utilization]]&lt;=75,"Low",smart_dataset[[#This Row],[Asset_Utilization]]&lt;=90,"Medium",TRUE,"High")</f>
        <v>Medium</v>
      </c>
    </row>
    <row r="667" spans="1:23" hidden="1" x14ac:dyDescent="0.25">
      <c r="A667" s="1">
        <v>45469.866423611114</v>
      </c>
      <c r="B667" s="1">
        <f>INT(smart_dataset[[#This Row],[Timestamp]])</f>
        <v>45469</v>
      </c>
      <c r="C667" s="1">
        <f>MOD(smart_dataset[[#This Row],[Timestamp]],1)</f>
        <v>0.86642361111444188</v>
      </c>
      <c r="D667" s="1">
        <f>YEAR(smart_dataset[[#This Row],[Date]])</f>
        <v>2024</v>
      </c>
      <c r="E667" s="1">
        <f>MONTH(smart_dataset[[#This Row],[Timestamp]])</f>
        <v>6</v>
      </c>
      <c r="F667" t="s">
        <v>32</v>
      </c>
      <c r="G667">
        <v>-48.840899999999998</v>
      </c>
      <c r="H667">
        <v>171.33199999999999</v>
      </c>
      <c r="I667">
        <v>233</v>
      </c>
      <c r="J667" t="s">
        <v>17</v>
      </c>
      <c r="K667">
        <v>25.3</v>
      </c>
      <c r="L667">
        <v>52.8</v>
      </c>
      <c r="M667" t="s">
        <v>18</v>
      </c>
      <c r="N667">
        <v>19</v>
      </c>
      <c r="O667">
        <v>123</v>
      </c>
      <c r="P667">
        <v>7</v>
      </c>
      <c r="Q667" t="s">
        <v>23</v>
      </c>
      <c r="R667">
        <v>92.3</v>
      </c>
      <c r="S667">
        <v>192</v>
      </c>
      <c r="T667">
        <v>1</v>
      </c>
      <c r="U667" t="str" cm="1">
        <f t="array" ref="U667">_xlfn.IFS(smart_dataset[[#This Row],[Waiting_Time]]&lt;=20,"Low",smart_dataset[[#This Row],[Waiting_Time]]&lt;=40,"Medium",TRUE,"High")</f>
        <v>Low</v>
      </c>
      <c r="V667" t="str" cm="1">
        <f t="array" ref="V667">_xlfn.IFS(smart_dataset[[#This Row],[Temperature]]&lt;=20,"Cold",smart_dataset[[#This Row],[Temperature]]&lt;=28,"Normal",TRUE,"Hot")</f>
        <v>Normal</v>
      </c>
      <c r="W667" t="str" cm="1">
        <f t="array" ref="W667">_xlfn.IFS(smart_dataset[[#This Row],[Asset_Utilization]]&lt;=75,"Low",smart_dataset[[#This Row],[Asset_Utilization]]&lt;=90,"Medium",TRUE,"High")</f>
        <v>High</v>
      </c>
    </row>
    <row r="668" spans="1:23" hidden="1" x14ac:dyDescent="0.25">
      <c r="A668" s="1">
        <v>45346.308252314811</v>
      </c>
      <c r="B668" s="1">
        <f>INT(smart_dataset[[#This Row],[Timestamp]])</f>
        <v>45346</v>
      </c>
      <c r="C668" s="1">
        <f>MOD(smart_dataset[[#This Row],[Timestamp]],1)</f>
        <v>0.30825231481139781</v>
      </c>
      <c r="D668" s="1">
        <f>YEAR(smart_dataset[[#This Row],[Date]])</f>
        <v>2024</v>
      </c>
      <c r="E668" s="1">
        <f>MONTH(smart_dataset[[#This Row],[Timestamp]])</f>
        <v>2</v>
      </c>
      <c r="F668" t="s">
        <v>29</v>
      </c>
      <c r="G668">
        <v>28.626999999999999</v>
      </c>
      <c r="H668">
        <v>162.88570000000001</v>
      </c>
      <c r="I668">
        <v>282</v>
      </c>
      <c r="J668" t="s">
        <v>26</v>
      </c>
      <c r="K668">
        <v>18.399999999999999</v>
      </c>
      <c r="L668">
        <v>68.8</v>
      </c>
      <c r="M668" t="s">
        <v>22</v>
      </c>
      <c r="N668">
        <v>16</v>
      </c>
      <c r="O668">
        <v>281</v>
      </c>
      <c r="P668">
        <v>4</v>
      </c>
      <c r="Q668" t="s">
        <v>31</v>
      </c>
      <c r="R668">
        <v>78.8</v>
      </c>
      <c r="S668">
        <v>285</v>
      </c>
      <c r="T668">
        <v>1</v>
      </c>
      <c r="U668" t="str" cm="1">
        <f t="array" ref="U668">_xlfn.IFS(smart_dataset[[#This Row],[Waiting_Time]]&lt;=20,"Low",smart_dataset[[#This Row],[Waiting_Time]]&lt;=40,"Medium",TRUE,"High")</f>
        <v>Low</v>
      </c>
      <c r="V668" t="str" cm="1">
        <f t="array" ref="V668">_xlfn.IFS(smart_dataset[[#This Row],[Temperature]]&lt;=20,"Cold",smart_dataset[[#This Row],[Temperature]]&lt;=28,"Normal",TRUE,"Hot")</f>
        <v>Cold</v>
      </c>
      <c r="W668" t="str" cm="1">
        <f t="array" ref="W668">_xlfn.IFS(smart_dataset[[#This Row],[Asset_Utilization]]&lt;=75,"Low",smart_dataset[[#This Row],[Asset_Utilization]]&lt;=90,"Medium",TRUE,"High")</f>
        <v>Medium</v>
      </c>
    </row>
    <row r="669" spans="1:23" hidden="1" x14ac:dyDescent="0.25">
      <c r="A669" s="1">
        <v>45326.862013888887</v>
      </c>
      <c r="B669" s="1">
        <f>INT(smart_dataset[[#This Row],[Timestamp]])</f>
        <v>45326</v>
      </c>
      <c r="C669" s="1">
        <f>MOD(smart_dataset[[#This Row],[Timestamp]],1)</f>
        <v>0.86201388888730435</v>
      </c>
      <c r="D669" s="1">
        <f>YEAR(smart_dataset[[#This Row],[Date]])</f>
        <v>2024</v>
      </c>
      <c r="E669" s="1">
        <f>MONTH(smart_dataset[[#This Row],[Timestamp]])</f>
        <v>2</v>
      </c>
      <c r="F669" t="s">
        <v>30</v>
      </c>
      <c r="G669">
        <v>-7.2601000000000004</v>
      </c>
      <c r="H669">
        <v>52.512</v>
      </c>
      <c r="I669">
        <v>117</v>
      </c>
      <c r="J669" t="s">
        <v>17</v>
      </c>
      <c r="K669">
        <v>28</v>
      </c>
      <c r="L669">
        <v>73.900000000000006</v>
      </c>
      <c r="M669" t="s">
        <v>22</v>
      </c>
      <c r="N669">
        <v>55</v>
      </c>
      <c r="O669">
        <v>156</v>
      </c>
      <c r="P669">
        <v>10</v>
      </c>
      <c r="Q669" t="s">
        <v>23</v>
      </c>
      <c r="R669">
        <v>63.7</v>
      </c>
      <c r="S669">
        <v>277</v>
      </c>
      <c r="T669">
        <v>1</v>
      </c>
      <c r="U669" t="str" cm="1">
        <f t="array" ref="U669">_xlfn.IFS(smart_dataset[[#This Row],[Waiting_Time]]&lt;=20,"Low",smart_dataset[[#This Row],[Waiting_Time]]&lt;=40,"Medium",TRUE,"High")</f>
        <v>High</v>
      </c>
      <c r="V669" t="str" cm="1">
        <f t="array" ref="V669">_xlfn.IFS(smart_dataset[[#This Row],[Temperature]]&lt;=20,"Cold",smart_dataset[[#This Row],[Temperature]]&lt;=28,"Normal",TRUE,"Hot")</f>
        <v>Normal</v>
      </c>
      <c r="W669" t="str" cm="1">
        <f t="array" ref="W669">_xlfn.IFS(smart_dataset[[#This Row],[Asset_Utilization]]&lt;=75,"Low",smart_dataset[[#This Row],[Asset_Utilization]]&lt;=90,"Medium",TRUE,"High")</f>
        <v>Low</v>
      </c>
    </row>
    <row r="670" spans="1:23" hidden="1" x14ac:dyDescent="0.25">
      <c r="A670" s="1">
        <v>45350.759212962963</v>
      </c>
      <c r="B670" s="1">
        <f>INT(smart_dataset[[#This Row],[Timestamp]])</f>
        <v>45350</v>
      </c>
      <c r="C670" s="1">
        <f>MOD(smart_dataset[[#This Row],[Timestamp]],1)</f>
        <v>0.75921296296291985</v>
      </c>
      <c r="D670" s="1">
        <f>YEAR(smart_dataset[[#This Row],[Date]])</f>
        <v>2024</v>
      </c>
      <c r="E670" s="1">
        <f>MONTH(smart_dataset[[#This Row],[Timestamp]])</f>
        <v>2</v>
      </c>
      <c r="F670" t="s">
        <v>35</v>
      </c>
      <c r="G670">
        <v>-16.857600000000001</v>
      </c>
      <c r="H670">
        <v>-8.0032999999999994</v>
      </c>
      <c r="I670">
        <v>242</v>
      </c>
      <c r="J670" t="s">
        <v>21</v>
      </c>
      <c r="K670">
        <v>23.7</v>
      </c>
      <c r="L670">
        <v>56</v>
      </c>
      <c r="M670" t="s">
        <v>18</v>
      </c>
      <c r="N670">
        <v>41</v>
      </c>
      <c r="O670">
        <v>190</v>
      </c>
      <c r="P670">
        <v>5</v>
      </c>
      <c r="Q670" t="s">
        <v>27</v>
      </c>
      <c r="R670">
        <v>61.8</v>
      </c>
      <c r="S670">
        <v>265</v>
      </c>
      <c r="T670">
        <v>0</v>
      </c>
      <c r="U670" t="str" cm="1">
        <f t="array" ref="U670">_xlfn.IFS(smart_dataset[[#This Row],[Waiting_Time]]&lt;=20,"Low",smart_dataset[[#This Row],[Waiting_Time]]&lt;=40,"Medium",TRUE,"High")</f>
        <v>High</v>
      </c>
      <c r="V670" t="str" cm="1">
        <f t="array" ref="V670">_xlfn.IFS(smart_dataset[[#This Row],[Temperature]]&lt;=20,"Cold",smart_dataset[[#This Row],[Temperature]]&lt;=28,"Normal",TRUE,"Hot")</f>
        <v>Normal</v>
      </c>
      <c r="W670" t="str" cm="1">
        <f t="array" ref="W670">_xlfn.IFS(smart_dataset[[#This Row],[Asset_Utilization]]&lt;=75,"Low",smart_dataset[[#This Row],[Asset_Utilization]]&lt;=90,"Medium",TRUE,"High")</f>
        <v>Low</v>
      </c>
    </row>
    <row r="671" spans="1:23" hidden="1" x14ac:dyDescent="0.25">
      <c r="A671" s="1">
        <v>45409.647962962961</v>
      </c>
      <c r="B671" s="1">
        <f>INT(smart_dataset[[#This Row],[Timestamp]])</f>
        <v>45409</v>
      </c>
      <c r="C671" s="1">
        <f>MOD(smart_dataset[[#This Row],[Timestamp]],1)</f>
        <v>0.64796296296117362</v>
      </c>
      <c r="D671" s="1">
        <f>YEAR(smart_dataset[[#This Row],[Date]])</f>
        <v>2024</v>
      </c>
      <c r="E671" s="1">
        <f>MONTH(smart_dataset[[#This Row],[Timestamp]])</f>
        <v>4</v>
      </c>
      <c r="F671" t="s">
        <v>32</v>
      </c>
      <c r="G671">
        <v>-42.165199999999999</v>
      </c>
      <c r="H671">
        <v>-40.9587</v>
      </c>
      <c r="I671">
        <v>497</v>
      </c>
      <c r="J671" t="s">
        <v>26</v>
      </c>
      <c r="K671">
        <v>24.1</v>
      </c>
      <c r="L671">
        <v>77.5</v>
      </c>
      <c r="M671" t="s">
        <v>28</v>
      </c>
      <c r="N671">
        <v>39</v>
      </c>
      <c r="O671">
        <v>319</v>
      </c>
      <c r="P671">
        <v>10</v>
      </c>
      <c r="Q671" t="s">
        <v>27</v>
      </c>
      <c r="R671">
        <v>60</v>
      </c>
      <c r="S671">
        <v>224</v>
      </c>
      <c r="T671">
        <v>0</v>
      </c>
      <c r="U671" t="str" cm="1">
        <f t="array" ref="U671">_xlfn.IFS(smart_dataset[[#This Row],[Waiting_Time]]&lt;=20,"Low",smart_dataset[[#This Row],[Waiting_Time]]&lt;=40,"Medium",TRUE,"High")</f>
        <v>Medium</v>
      </c>
      <c r="V671" t="str" cm="1">
        <f t="array" ref="V671">_xlfn.IFS(smart_dataset[[#This Row],[Temperature]]&lt;=20,"Cold",smart_dataset[[#This Row],[Temperature]]&lt;=28,"Normal",TRUE,"Hot")</f>
        <v>Normal</v>
      </c>
      <c r="W671" t="str" cm="1">
        <f t="array" ref="W671">_xlfn.IFS(smart_dataset[[#This Row],[Asset_Utilization]]&lt;=75,"Low",smart_dataset[[#This Row],[Asset_Utilization]]&lt;=90,"Medium",TRUE,"High")</f>
        <v>Low</v>
      </c>
    </row>
    <row r="672" spans="1:23" hidden="1" x14ac:dyDescent="0.25">
      <c r="A672" s="1">
        <v>45592.025682870371</v>
      </c>
      <c r="B672" s="1">
        <f>INT(smart_dataset[[#This Row],[Timestamp]])</f>
        <v>45592</v>
      </c>
      <c r="C672" s="1">
        <f>MOD(smart_dataset[[#This Row],[Timestamp]],1)</f>
        <v>2.5682870371383615E-2</v>
      </c>
      <c r="D672" s="1">
        <f>YEAR(smart_dataset[[#This Row],[Date]])</f>
        <v>2024</v>
      </c>
      <c r="E672" s="1">
        <f>MONTH(smart_dataset[[#This Row],[Timestamp]])</f>
        <v>10</v>
      </c>
      <c r="F672" t="s">
        <v>24</v>
      </c>
      <c r="G672">
        <v>4.2073</v>
      </c>
      <c r="H672">
        <v>-152.13200000000001</v>
      </c>
      <c r="I672">
        <v>384</v>
      </c>
      <c r="J672" t="s">
        <v>17</v>
      </c>
      <c r="K672">
        <v>25.6</v>
      </c>
      <c r="L672">
        <v>78.8</v>
      </c>
      <c r="M672" t="s">
        <v>18</v>
      </c>
      <c r="N672">
        <v>52</v>
      </c>
      <c r="O672">
        <v>161</v>
      </c>
      <c r="P672">
        <v>10</v>
      </c>
      <c r="Q672" t="s">
        <v>31</v>
      </c>
      <c r="R672">
        <v>83.6</v>
      </c>
      <c r="S672">
        <v>161</v>
      </c>
      <c r="T672">
        <v>1</v>
      </c>
      <c r="U672" t="str" cm="1">
        <f t="array" ref="U672">_xlfn.IFS(smart_dataset[[#This Row],[Waiting_Time]]&lt;=20,"Low",smart_dataset[[#This Row],[Waiting_Time]]&lt;=40,"Medium",TRUE,"High")</f>
        <v>High</v>
      </c>
      <c r="V672" t="str" cm="1">
        <f t="array" ref="V672">_xlfn.IFS(smart_dataset[[#This Row],[Temperature]]&lt;=20,"Cold",smart_dataset[[#This Row],[Temperature]]&lt;=28,"Normal",TRUE,"Hot")</f>
        <v>Normal</v>
      </c>
      <c r="W672" t="str" cm="1">
        <f t="array" ref="W672">_xlfn.IFS(smart_dataset[[#This Row],[Asset_Utilization]]&lt;=75,"Low",smart_dataset[[#This Row],[Asset_Utilization]]&lt;=90,"Medium",TRUE,"High")</f>
        <v>Medium</v>
      </c>
    </row>
    <row r="673" spans="1:23" hidden="1" x14ac:dyDescent="0.25">
      <c r="A673" s="1">
        <v>45299.391342592593</v>
      </c>
      <c r="B673" s="1">
        <f>INT(smart_dataset[[#This Row],[Timestamp]])</f>
        <v>45299</v>
      </c>
      <c r="C673" s="1">
        <f>MOD(smart_dataset[[#This Row],[Timestamp]],1)</f>
        <v>0.39134259259299142</v>
      </c>
      <c r="D673" s="1">
        <f>YEAR(smart_dataset[[#This Row],[Date]])</f>
        <v>2024</v>
      </c>
      <c r="E673" s="1">
        <f>MONTH(smart_dataset[[#This Row],[Timestamp]])</f>
        <v>1</v>
      </c>
      <c r="F673" t="s">
        <v>25</v>
      </c>
      <c r="G673">
        <v>7.8030999999999997</v>
      </c>
      <c r="H673">
        <v>43.4739</v>
      </c>
      <c r="I673">
        <v>258</v>
      </c>
      <c r="J673" t="s">
        <v>26</v>
      </c>
      <c r="K673">
        <v>26.8</v>
      </c>
      <c r="L673">
        <v>60.5</v>
      </c>
      <c r="M673" t="s">
        <v>28</v>
      </c>
      <c r="N673">
        <v>12</v>
      </c>
      <c r="O673">
        <v>413</v>
      </c>
      <c r="P673">
        <v>8</v>
      </c>
      <c r="Q673" t="s">
        <v>23</v>
      </c>
      <c r="R673">
        <v>86.9</v>
      </c>
      <c r="S673">
        <v>207</v>
      </c>
      <c r="T673">
        <v>0</v>
      </c>
      <c r="U673" t="str" cm="1">
        <f t="array" ref="U673">_xlfn.IFS(smart_dataset[[#This Row],[Waiting_Time]]&lt;=20,"Low",smart_dataset[[#This Row],[Waiting_Time]]&lt;=40,"Medium",TRUE,"High")</f>
        <v>Low</v>
      </c>
      <c r="V673" t="str" cm="1">
        <f t="array" ref="V673">_xlfn.IFS(smart_dataset[[#This Row],[Temperature]]&lt;=20,"Cold",smart_dataset[[#This Row],[Temperature]]&lt;=28,"Normal",TRUE,"Hot")</f>
        <v>Normal</v>
      </c>
      <c r="W673" t="str" cm="1">
        <f t="array" ref="W673">_xlfn.IFS(smart_dataset[[#This Row],[Asset_Utilization]]&lt;=75,"Low",smart_dataset[[#This Row],[Asset_Utilization]]&lt;=90,"Medium",TRUE,"High")</f>
        <v>Medium</v>
      </c>
    </row>
    <row r="674" spans="1:23" hidden="1" x14ac:dyDescent="0.25">
      <c r="A674" s="1">
        <v>45383.774733796294</v>
      </c>
      <c r="B674" s="1">
        <f>INT(smart_dataset[[#This Row],[Timestamp]])</f>
        <v>45383</v>
      </c>
      <c r="C674" s="1">
        <f>MOD(smart_dataset[[#This Row],[Timestamp]],1)</f>
        <v>0.77473379629373085</v>
      </c>
      <c r="D674" s="1">
        <f>YEAR(smart_dataset[[#This Row],[Date]])</f>
        <v>2024</v>
      </c>
      <c r="E674" s="1">
        <f>MONTH(smart_dataset[[#This Row],[Timestamp]])</f>
        <v>4</v>
      </c>
      <c r="F674" t="s">
        <v>29</v>
      </c>
      <c r="G674">
        <v>-6.8792</v>
      </c>
      <c r="H674">
        <v>165.0017</v>
      </c>
      <c r="I674">
        <v>258</v>
      </c>
      <c r="J674" t="s">
        <v>26</v>
      </c>
      <c r="K674">
        <v>29.4</v>
      </c>
      <c r="L674">
        <v>66.099999999999994</v>
      </c>
      <c r="M674" t="s">
        <v>22</v>
      </c>
      <c r="N674">
        <v>54</v>
      </c>
      <c r="O674">
        <v>395</v>
      </c>
      <c r="P674">
        <v>2</v>
      </c>
      <c r="Q674" t="s">
        <v>31</v>
      </c>
      <c r="R674">
        <v>71.400000000000006</v>
      </c>
      <c r="S674">
        <v>256</v>
      </c>
      <c r="T674">
        <v>1</v>
      </c>
      <c r="U674" t="str" cm="1">
        <f t="array" ref="U674">_xlfn.IFS(smart_dataset[[#This Row],[Waiting_Time]]&lt;=20,"Low",smart_dataset[[#This Row],[Waiting_Time]]&lt;=40,"Medium",TRUE,"High")</f>
        <v>High</v>
      </c>
      <c r="V674" t="str" cm="1">
        <f t="array" ref="V674">_xlfn.IFS(smart_dataset[[#This Row],[Temperature]]&lt;=20,"Cold",smart_dataset[[#This Row],[Temperature]]&lt;=28,"Normal",TRUE,"Hot")</f>
        <v>Hot</v>
      </c>
      <c r="W674" t="str" cm="1">
        <f t="array" ref="W674">_xlfn.IFS(smart_dataset[[#This Row],[Asset_Utilization]]&lt;=75,"Low",smart_dataset[[#This Row],[Asset_Utilization]]&lt;=90,"Medium",TRUE,"High")</f>
        <v>Low</v>
      </c>
    </row>
    <row r="675" spans="1:23" hidden="1" x14ac:dyDescent="0.25">
      <c r="A675" s="1">
        <v>45356.524629629632</v>
      </c>
      <c r="B675" s="1">
        <f>INT(smart_dataset[[#This Row],[Timestamp]])</f>
        <v>45356</v>
      </c>
      <c r="C675" s="1">
        <f>MOD(smart_dataset[[#This Row],[Timestamp]],1)</f>
        <v>0.52462962963181781</v>
      </c>
      <c r="D675" s="1">
        <f>YEAR(smart_dataset[[#This Row],[Date]])</f>
        <v>2024</v>
      </c>
      <c r="E675" s="1">
        <f>MONTH(smart_dataset[[#This Row],[Timestamp]])</f>
        <v>3</v>
      </c>
      <c r="F675" t="s">
        <v>16</v>
      </c>
      <c r="G675">
        <v>60.607300000000002</v>
      </c>
      <c r="H675">
        <v>74.362499999999997</v>
      </c>
      <c r="I675">
        <v>291</v>
      </c>
      <c r="J675" t="s">
        <v>21</v>
      </c>
      <c r="K675">
        <v>26.9</v>
      </c>
      <c r="L675">
        <v>52.3</v>
      </c>
      <c r="M675" t="s">
        <v>22</v>
      </c>
      <c r="N675">
        <v>34</v>
      </c>
      <c r="O675">
        <v>253</v>
      </c>
      <c r="P675">
        <v>2</v>
      </c>
      <c r="Q675" t="s">
        <v>27</v>
      </c>
      <c r="R675">
        <v>94.9</v>
      </c>
      <c r="S675">
        <v>228</v>
      </c>
      <c r="T675">
        <v>1</v>
      </c>
      <c r="U675" t="str" cm="1">
        <f t="array" ref="U675">_xlfn.IFS(smart_dataset[[#This Row],[Waiting_Time]]&lt;=20,"Low",smart_dataset[[#This Row],[Waiting_Time]]&lt;=40,"Medium",TRUE,"High")</f>
        <v>Medium</v>
      </c>
      <c r="V675" t="str" cm="1">
        <f t="array" ref="V675">_xlfn.IFS(smart_dataset[[#This Row],[Temperature]]&lt;=20,"Cold",smart_dataset[[#This Row],[Temperature]]&lt;=28,"Normal",TRUE,"Hot")</f>
        <v>Normal</v>
      </c>
      <c r="W675" t="str" cm="1">
        <f t="array" ref="W675">_xlfn.IFS(smart_dataset[[#This Row],[Asset_Utilization]]&lt;=75,"Low",smart_dataset[[#This Row],[Asset_Utilization]]&lt;=90,"Medium",TRUE,"High")</f>
        <v>High</v>
      </c>
    </row>
    <row r="676" spans="1:23" hidden="1" x14ac:dyDescent="0.25">
      <c r="A676" s="1">
        <v>45526.276562500003</v>
      </c>
      <c r="B676" s="1">
        <f>INT(smart_dataset[[#This Row],[Timestamp]])</f>
        <v>45526</v>
      </c>
      <c r="C676" s="1">
        <f>MOD(smart_dataset[[#This Row],[Timestamp]],1)</f>
        <v>0.27656250000291038</v>
      </c>
      <c r="D676" s="1">
        <f>YEAR(smart_dataset[[#This Row],[Date]])</f>
        <v>2024</v>
      </c>
      <c r="E676" s="1">
        <f>MONTH(smart_dataset[[#This Row],[Timestamp]])</f>
        <v>8</v>
      </c>
      <c r="F676" t="s">
        <v>25</v>
      </c>
      <c r="G676">
        <v>-87.231700000000004</v>
      </c>
      <c r="H676">
        <v>143.00059999999999</v>
      </c>
      <c r="I676">
        <v>135</v>
      </c>
      <c r="J676" t="s">
        <v>17</v>
      </c>
      <c r="K676">
        <v>29</v>
      </c>
      <c r="L676">
        <v>62.2</v>
      </c>
      <c r="M676" t="s">
        <v>22</v>
      </c>
      <c r="N676">
        <v>24</v>
      </c>
      <c r="O676">
        <v>155</v>
      </c>
      <c r="P676">
        <v>3</v>
      </c>
      <c r="Q676" t="s">
        <v>31</v>
      </c>
      <c r="R676">
        <v>69.400000000000006</v>
      </c>
      <c r="S676">
        <v>196</v>
      </c>
      <c r="T676">
        <v>1</v>
      </c>
      <c r="U676" t="str" cm="1">
        <f t="array" ref="U676">_xlfn.IFS(smart_dataset[[#This Row],[Waiting_Time]]&lt;=20,"Low",smart_dataset[[#This Row],[Waiting_Time]]&lt;=40,"Medium",TRUE,"High")</f>
        <v>Medium</v>
      </c>
      <c r="V676" t="str" cm="1">
        <f t="array" ref="V676">_xlfn.IFS(smart_dataset[[#This Row],[Temperature]]&lt;=20,"Cold",smart_dataset[[#This Row],[Temperature]]&lt;=28,"Normal",TRUE,"Hot")</f>
        <v>Hot</v>
      </c>
      <c r="W676" t="str" cm="1">
        <f t="array" ref="W676">_xlfn.IFS(smart_dataset[[#This Row],[Asset_Utilization]]&lt;=75,"Low",smart_dataset[[#This Row],[Asset_Utilization]]&lt;=90,"Medium",TRUE,"High")</f>
        <v>Low</v>
      </c>
    </row>
    <row r="677" spans="1:23" hidden="1" x14ac:dyDescent="0.25">
      <c r="A677" s="1">
        <v>45311.610358796293</v>
      </c>
      <c r="B677" s="1">
        <f>INT(smart_dataset[[#This Row],[Timestamp]])</f>
        <v>45311</v>
      </c>
      <c r="C677" s="1">
        <f>MOD(smart_dataset[[#This Row],[Timestamp]],1)</f>
        <v>0.61035879629343981</v>
      </c>
      <c r="D677" s="1">
        <f>YEAR(smart_dataset[[#This Row],[Date]])</f>
        <v>2024</v>
      </c>
      <c r="E677" s="1">
        <f>MONTH(smart_dataset[[#This Row],[Timestamp]])</f>
        <v>1</v>
      </c>
      <c r="F677" t="s">
        <v>24</v>
      </c>
      <c r="G677">
        <v>38.825000000000003</v>
      </c>
      <c r="H677">
        <v>-51.845100000000002</v>
      </c>
      <c r="I677">
        <v>437</v>
      </c>
      <c r="J677" t="s">
        <v>17</v>
      </c>
      <c r="K677">
        <v>23.3</v>
      </c>
      <c r="L677">
        <v>61.6</v>
      </c>
      <c r="M677" t="s">
        <v>22</v>
      </c>
      <c r="N677">
        <v>45</v>
      </c>
      <c r="O677">
        <v>177</v>
      </c>
      <c r="P677">
        <v>5</v>
      </c>
      <c r="Q677" t="s">
        <v>31</v>
      </c>
      <c r="R677">
        <v>93.3</v>
      </c>
      <c r="S677">
        <v>106</v>
      </c>
      <c r="T677">
        <v>1</v>
      </c>
      <c r="U677" t="str" cm="1">
        <f t="array" ref="U677">_xlfn.IFS(smart_dataset[[#This Row],[Waiting_Time]]&lt;=20,"Low",smart_dataset[[#This Row],[Waiting_Time]]&lt;=40,"Medium",TRUE,"High")</f>
        <v>High</v>
      </c>
      <c r="V677" t="str" cm="1">
        <f t="array" ref="V677">_xlfn.IFS(smart_dataset[[#This Row],[Temperature]]&lt;=20,"Cold",smart_dataset[[#This Row],[Temperature]]&lt;=28,"Normal",TRUE,"Hot")</f>
        <v>Normal</v>
      </c>
      <c r="W677" t="str" cm="1">
        <f t="array" ref="W677">_xlfn.IFS(smart_dataset[[#This Row],[Asset_Utilization]]&lt;=75,"Low",smart_dataset[[#This Row],[Asset_Utilization]]&lt;=90,"Medium",TRUE,"High")</f>
        <v>High</v>
      </c>
    </row>
    <row r="678" spans="1:23" hidden="1" x14ac:dyDescent="0.25">
      <c r="A678" s="1">
        <v>45479.753738425927</v>
      </c>
      <c r="B678" s="1">
        <f>INT(smart_dataset[[#This Row],[Timestamp]])</f>
        <v>45479</v>
      </c>
      <c r="C678" s="1">
        <f>MOD(smart_dataset[[#This Row],[Timestamp]],1)</f>
        <v>0.75373842592671281</v>
      </c>
      <c r="D678" s="1">
        <f>YEAR(smart_dataset[[#This Row],[Date]])</f>
        <v>2024</v>
      </c>
      <c r="E678" s="1">
        <f>MONTH(smart_dataset[[#This Row],[Timestamp]])</f>
        <v>7</v>
      </c>
      <c r="F678" t="s">
        <v>25</v>
      </c>
      <c r="G678">
        <v>-53.525500000000001</v>
      </c>
      <c r="H678">
        <v>-1.9486000000000001</v>
      </c>
      <c r="I678">
        <v>441</v>
      </c>
      <c r="J678" t="s">
        <v>17</v>
      </c>
      <c r="K678">
        <v>23.1</v>
      </c>
      <c r="L678">
        <v>57.1</v>
      </c>
      <c r="M678" t="s">
        <v>28</v>
      </c>
      <c r="N678">
        <v>55</v>
      </c>
      <c r="O678">
        <v>490</v>
      </c>
      <c r="P678">
        <v>10</v>
      </c>
      <c r="Q678" t="s">
        <v>23</v>
      </c>
      <c r="R678">
        <v>65.099999999999994</v>
      </c>
      <c r="S678">
        <v>289</v>
      </c>
      <c r="T678">
        <v>1</v>
      </c>
      <c r="U678" t="str" cm="1">
        <f t="array" ref="U678">_xlfn.IFS(smart_dataset[[#This Row],[Waiting_Time]]&lt;=20,"Low",smart_dataset[[#This Row],[Waiting_Time]]&lt;=40,"Medium",TRUE,"High")</f>
        <v>High</v>
      </c>
      <c r="V678" t="str" cm="1">
        <f t="array" ref="V678">_xlfn.IFS(smart_dataset[[#This Row],[Temperature]]&lt;=20,"Cold",smart_dataset[[#This Row],[Temperature]]&lt;=28,"Normal",TRUE,"Hot")</f>
        <v>Normal</v>
      </c>
      <c r="W678" t="str" cm="1">
        <f t="array" ref="W678">_xlfn.IFS(smart_dataset[[#This Row],[Asset_Utilization]]&lt;=75,"Low",smart_dataset[[#This Row],[Asset_Utilization]]&lt;=90,"Medium",TRUE,"High")</f>
        <v>Low</v>
      </c>
    </row>
    <row r="679" spans="1:23" hidden="1" x14ac:dyDescent="0.25">
      <c r="A679" s="1">
        <v>45424.858483796299</v>
      </c>
      <c r="B679" s="1">
        <f>INT(smart_dataset[[#This Row],[Timestamp]])</f>
        <v>45424</v>
      </c>
      <c r="C679" s="1">
        <f>MOD(smart_dataset[[#This Row],[Timestamp]],1)</f>
        <v>0.85848379629896954</v>
      </c>
      <c r="D679" s="1">
        <f>YEAR(smart_dataset[[#This Row],[Date]])</f>
        <v>2024</v>
      </c>
      <c r="E679" s="1">
        <f>MONTH(smart_dataset[[#This Row],[Timestamp]])</f>
        <v>5</v>
      </c>
      <c r="F679" t="s">
        <v>20</v>
      </c>
      <c r="G679">
        <v>71.118200000000002</v>
      </c>
      <c r="H679">
        <v>-120.1134</v>
      </c>
      <c r="I679">
        <v>268</v>
      </c>
      <c r="J679" t="s">
        <v>17</v>
      </c>
      <c r="K679">
        <v>20.3</v>
      </c>
      <c r="L679">
        <v>78.099999999999994</v>
      </c>
      <c r="M679" t="s">
        <v>18</v>
      </c>
      <c r="N679">
        <v>30</v>
      </c>
      <c r="O679">
        <v>102</v>
      </c>
      <c r="P679">
        <v>6</v>
      </c>
      <c r="Q679" t="s">
        <v>23</v>
      </c>
      <c r="R679">
        <v>91.7</v>
      </c>
      <c r="S679">
        <v>132</v>
      </c>
      <c r="T679">
        <v>1</v>
      </c>
      <c r="U679" t="str" cm="1">
        <f t="array" ref="U679">_xlfn.IFS(smart_dataset[[#This Row],[Waiting_Time]]&lt;=20,"Low",smart_dataset[[#This Row],[Waiting_Time]]&lt;=40,"Medium",TRUE,"High")</f>
        <v>Medium</v>
      </c>
      <c r="V679" t="str" cm="1">
        <f t="array" ref="V679">_xlfn.IFS(smart_dataset[[#This Row],[Temperature]]&lt;=20,"Cold",smart_dataset[[#This Row],[Temperature]]&lt;=28,"Normal",TRUE,"Hot")</f>
        <v>Normal</v>
      </c>
      <c r="W679" t="str" cm="1">
        <f t="array" ref="W679">_xlfn.IFS(smart_dataset[[#This Row],[Asset_Utilization]]&lt;=75,"Low",smart_dataset[[#This Row],[Asset_Utilization]]&lt;=90,"Medium",TRUE,"High")</f>
        <v>High</v>
      </c>
    </row>
    <row r="680" spans="1:23" x14ac:dyDescent="0.25">
      <c r="A680" s="1">
        <v>45616.644131944442</v>
      </c>
      <c r="B680" s="1">
        <f>INT(smart_dataset[[#This Row],[Timestamp]])</f>
        <v>45616</v>
      </c>
      <c r="C680" s="7">
        <f>MOD(smart_dataset[[#This Row],[Timestamp]],1)</f>
        <v>0.64413194444205146</v>
      </c>
      <c r="D680">
        <f>YEAR(smart_dataset[[#This Row],[Date]])</f>
        <v>2024</v>
      </c>
      <c r="E680">
        <f>MONTH(smart_dataset[[#This Row],[Timestamp]])</f>
        <v>11</v>
      </c>
      <c r="F680" t="s">
        <v>30</v>
      </c>
      <c r="G680">
        <v>-78.490200000000002</v>
      </c>
      <c r="H680">
        <v>-101.32550000000001</v>
      </c>
      <c r="I680">
        <v>142</v>
      </c>
      <c r="J680" t="s">
        <v>17</v>
      </c>
      <c r="K680">
        <v>24</v>
      </c>
      <c r="L680">
        <v>51.6</v>
      </c>
      <c r="M680" t="s">
        <v>28</v>
      </c>
      <c r="N680">
        <v>40</v>
      </c>
      <c r="O680">
        <v>160</v>
      </c>
      <c r="P680">
        <v>7</v>
      </c>
      <c r="Q680" t="s">
        <v>19</v>
      </c>
      <c r="R680">
        <v>70</v>
      </c>
      <c r="S680">
        <v>276</v>
      </c>
      <c r="T680">
        <v>1</v>
      </c>
      <c r="U680" t="str" cm="1">
        <f t="array" ref="U680">_xlfn.IFS(smart_dataset[[#This Row],[Waiting_Time]]&lt;=20,"Low",smart_dataset[[#This Row],[Waiting_Time]]&lt;=40,"Medium",TRUE,"High")</f>
        <v>Medium</v>
      </c>
      <c r="V680" t="str" cm="1">
        <f t="array" ref="V680">_xlfn.IFS(smart_dataset[[#This Row],[Temperature]]&lt;=20,"Cold",smart_dataset[[#This Row],[Temperature]]&lt;=28,"Normal",TRUE,"Hot")</f>
        <v>Normal</v>
      </c>
      <c r="W680" t="str" cm="1">
        <f t="array" ref="W680">_xlfn.IFS(smart_dataset[[#This Row],[Asset_Utilization]]&lt;=75,"Low",smart_dataset[[#This Row],[Asset_Utilization]]&lt;=90,"Medium",TRUE,"High")</f>
        <v>Low</v>
      </c>
    </row>
    <row r="681" spans="1:23" hidden="1" x14ac:dyDescent="0.25">
      <c r="A681" s="1">
        <v>45518.789421296293</v>
      </c>
      <c r="B681" s="1">
        <f>INT(smart_dataset[[#This Row],[Timestamp]])</f>
        <v>45518</v>
      </c>
      <c r="C681" s="1">
        <f>MOD(smart_dataset[[#This Row],[Timestamp]],1)</f>
        <v>0.78942129629285773</v>
      </c>
      <c r="D681" s="1">
        <f>YEAR(smart_dataset[[#This Row],[Date]])</f>
        <v>2024</v>
      </c>
      <c r="E681" s="1">
        <f>MONTH(smart_dataset[[#This Row],[Timestamp]])</f>
        <v>8</v>
      </c>
      <c r="F681" t="s">
        <v>25</v>
      </c>
      <c r="G681">
        <v>35.093299999999999</v>
      </c>
      <c r="H681">
        <v>-170.9221</v>
      </c>
      <c r="I681">
        <v>264</v>
      </c>
      <c r="J681" t="s">
        <v>21</v>
      </c>
      <c r="K681">
        <v>25.3</v>
      </c>
      <c r="L681">
        <v>55.2</v>
      </c>
      <c r="M681" t="s">
        <v>28</v>
      </c>
      <c r="N681">
        <v>51</v>
      </c>
      <c r="O681">
        <v>213</v>
      </c>
      <c r="P681">
        <v>10</v>
      </c>
      <c r="Q681" t="s">
        <v>31</v>
      </c>
      <c r="R681">
        <v>85.5</v>
      </c>
      <c r="S681">
        <v>173</v>
      </c>
      <c r="T681">
        <v>0</v>
      </c>
      <c r="U681" t="str" cm="1">
        <f t="array" ref="U681">_xlfn.IFS(smart_dataset[[#This Row],[Waiting_Time]]&lt;=20,"Low",smart_dataset[[#This Row],[Waiting_Time]]&lt;=40,"Medium",TRUE,"High")</f>
        <v>High</v>
      </c>
      <c r="V681" t="str" cm="1">
        <f t="array" ref="V681">_xlfn.IFS(smart_dataset[[#This Row],[Temperature]]&lt;=20,"Cold",smart_dataset[[#This Row],[Temperature]]&lt;=28,"Normal",TRUE,"Hot")</f>
        <v>Normal</v>
      </c>
      <c r="W681" t="str" cm="1">
        <f t="array" ref="W681">_xlfn.IFS(smart_dataset[[#This Row],[Asset_Utilization]]&lt;=75,"Low",smart_dataset[[#This Row],[Asset_Utilization]]&lt;=90,"Medium",TRUE,"High")</f>
        <v>Medium</v>
      </c>
    </row>
    <row r="682" spans="1:23" hidden="1" x14ac:dyDescent="0.25">
      <c r="A682" s="1">
        <v>45567.425347222219</v>
      </c>
      <c r="B682" s="1">
        <f>INT(smart_dataset[[#This Row],[Timestamp]])</f>
        <v>45567</v>
      </c>
      <c r="C682" s="1">
        <f>MOD(smart_dataset[[#This Row],[Timestamp]],1)</f>
        <v>0.42534722221898846</v>
      </c>
      <c r="D682" s="1">
        <f>YEAR(smart_dataset[[#This Row],[Date]])</f>
        <v>2024</v>
      </c>
      <c r="E682" s="1">
        <f>MONTH(smart_dataset[[#This Row],[Timestamp]])</f>
        <v>10</v>
      </c>
      <c r="F682" t="s">
        <v>33</v>
      </c>
      <c r="G682">
        <v>67.029600000000002</v>
      </c>
      <c r="H682">
        <v>-18.707799999999999</v>
      </c>
      <c r="I682">
        <v>426</v>
      </c>
      <c r="J682" t="s">
        <v>17</v>
      </c>
      <c r="K682">
        <v>25.3</v>
      </c>
      <c r="L682">
        <v>56.8</v>
      </c>
      <c r="M682" t="s">
        <v>28</v>
      </c>
      <c r="N682">
        <v>15</v>
      </c>
      <c r="O682">
        <v>241</v>
      </c>
      <c r="P682">
        <v>5</v>
      </c>
      <c r="Q682" t="s">
        <v>27</v>
      </c>
      <c r="R682">
        <v>83.5</v>
      </c>
      <c r="S682">
        <v>224</v>
      </c>
      <c r="T682">
        <v>1</v>
      </c>
      <c r="U682" t="str" cm="1">
        <f t="array" ref="U682">_xlfn.IFS(smart_dataset[[#This Row],[Waiting_Time]]&lt;=20,"Low",smart_dataset[[#This Row],[Waiting_Time]]&lt;=40,"Medium",TRUE,"High")</f>
        <v>Low</v>
      </c>
      <c r="V682" t="str" cm="1">
        <f t="array" ref="V682">_xlfn.IFS(smart_dataset[[#This Row],[Temperature]]&lt;=20,"Cold",smart_dataset[[#This Row],[Temperature]]&lt;=28,"Normal",TRUE,"Hot")</f>
        <v>Normal</v>
      </c>
      <c r="W682" t="str" cm="1">
        <f t="array" ref="W682">_xlfn.IFS(smart_dataset[[#This Row],[Asset_Utilization]]&lt;=75,"Low",smart_dataset[[#This Row],[Asset_Utilization]]&lt;=90,"Medium",TRUE,"High")</f>
        <v>Medium</v>
      </c>
    </row>
    <row r="683" spans="1:23" hidden="1" x14ac:dyDescent="0.25">
      <c r="A683" s="1">
        <v>45386.730613425927</v>
      </c>
      <c r="B683" s="1">
        <f>INT(smart_dataset[[#This Row],[Timestamp]])</f>
        <v>45386</v>
      </c>
      <c r="C683" s="1">
        <f>MOD(smart_dataset[[#This Row],[Timestamp]],1)</f>
        <v>0.73061342592700385</v>
      </c>
      <c r="D683" s="1">
        <f>YEAR(smart_dataset[[#This Row],[Date]])</f>
        <v>2024</v>
      </c>
      <c r="E683" s="1">
        <f>MONTH(smart_dataset[[#This Row],[Timestamp]])</f>
        <v>4</v>
      </c>
      <c r="F683" t="s">
        <v>32</v>
      </c>
      <c r="G683">
        <v>-29.657299999999999</v>
      </c>
      <c r="H683">
        <v>-37.602899999999998</v>
      </c>
      <c r="I683">
        <v>214</v>
      </c>
      <c r="J683" t="s">
        <v>17</v>
      </c>
      <c r="K683">
        <v>24.3</v>
      </c>
      <c r="L683">
        <v>56.9</v>
      </c>
      <c r="M683" t="s">
        <v>28</v>
      </c>
      <c r="N683">
        <v>35</v>
      </c>
      <c r="O683">
        <v>497</v>
      </c>
      <c r="P683">
        <v>6</v>
      </c>
      <c r="Q683" t="s">
        <v>23</v>
      </c>
      <c r="R683">
        <v>70.2</v>
      </c>
      <c r="S683">
        <v>111</v>
      </c>
      <c r="T683">
        <v>1</v>
      </c>
      <c r="U683" t="str" cm="1">
        <f t="array" ref="U683">_xlfn.IFS(smart_dataset[[#This Row],[Waiting_Time]]&lt;=20,"Low",smart_dataset[[#This Row],[Waiting_Time]]&lt;=40,"Medium",TRUE,"High")</f>
        <v>Medium</v>
      </c>
      <c r="V683" t="str" cm="1">
        <f t="array" ref="V683">_xlfn.IFS(smart_dataset[[#This Row],[Temperature]]&lt;=20,"Cold",smart_dataset[[#This Row],[Temperature]]&lt;=28,"Normal",TRUE,"Hot")</f>
        <v>Normal</v>
      </c>
      <c r="W683" t="str" cm="1">
        <f t="array" ref="W683">_xlfn.IFS(smart_dataset[[#This Row],[Asset_Utilization]]&lt;=75,"Low",smart_dataset[[#This Row],[Asset_Utilization]]&lt;=90,"Medium",TRUE,"High")</f>
        <v>Low</v>
      </c>
    </row>
    <row r="684" spans="1:23" x14ac:dyDescent="0.25">
      <c r="A684" s="1">
        <v>45299.886631944442</v>
      </c>
      <c r="B684" s="1">
        <f>INT(smart_dataset[[#This Row],[Timestamp]])</f>
        <v>45299</v>
      </c>
      <c r="C684" s="7">
        <f>MOD(smart_dataset[[#This Row],[Timestamp]],1)</f>
        <v>0.8866319444423425</v>
      </c>
      <c r="D684">
        <f>YEAR(smart_dataset[[#This Row],[Date]])</f>
        <v>2024</v>
      </c>
      <c r="E684">
        <f>MONTH(smart_dataset[[#This Row],[Timestamp]])</f>
        <v>1</v>
      </c>
      <c r="F684" t="s">
        <v>34</v>
      </c>
      <c r="G684">
        <v>-9.1109000000000009</v>
      </c>
      <c r="H684">
        <v>76.762</v>
      </c>
      <c r="I684">
        <v>123</v>
      </c>
      <c r="J684" t="s">
        <v>26</v>
      </c>
      <c r="K684">
        <v>19.3</v>
      </c>
      <c r="L684">
        <v>63.4</v>
      </c>
      <c r="M684" t="s">
        <v>18</v>
      </c>
      <c r="N684">
        <v>35</v>
      </c>
      <c r="O684">
        <v>303</v>
      </c>
      <c r="P684">
        <v>3</v>
      </c>
      <c r="Q684" t="s">
        <v>19</v>
      </c>
      <c r="R684">
        <v>64.900000000000006</v>
      </c>
      <c r="S684">
        <v>240</v>
      </c>
      <c r="T684">
        <v>0</v>
      </c>
      <c r="U684" t="str" cm="1">
        <f t="array" ref="U684">_xlfn.IFS(smart_dataset[[#This Row],[Waiting_Time]]&lt;=20,"Low",smart_dataset[[#This Row],[Waiting_Time]]&lt;=40,"Medium",TRUE,"High")</f>
        <v>Medium</v>
      </c>
      <c r="V684" t="str" cm="1">
        <f t="array" ref="V684">_xlfn.IFS(smart_dataset[[#This Row],[Temperature]]&lt;=20,"Cold",smart_dataset[[#This Row],[Temperature]]&lt;=28,"Normal",TRUE,"Hot")</f>
        <v>Cold</v>
      </c>
      <c r="W684" t="str" cm="1">
        <f t="array" ref="W684">_xlfn.IFS(smart_dataset[[#This Row],[Asset_Utilization]]&lt;=75,"Low",smart_dataset[[#This Row],[Asset_Utilization]]&lt;=90,"Medium",TRUE,"High")</f>
        <v>Low</v>
      </c>
    </row>
    <row r="685" spans="1:23" hidden="1" x14ac:dyDescent="0.25">
      <c r="A685" s="1">
        <v>45384.947534722225</v>
      </c>
      <c r="B685" s="1">
        <f>INT(smart_dataset[[#This Row],[Timestamp]])</f>
        <v>45384</v>
      </c>
      <c r="C685" s="1">
        <f>MOD(smart_dataset[[#This Row],[Timestamp]],1)</f>
        <v>0.94753472222510027</v>
      </c>
      <c r="D685" s="1">
        <f>YEAR(smart_dataset[[#This Row],[Date]])</f>
        <v>2024</v>
      </c>
      <c r="E685" s="1">
        <f>MONTH(smart_dataset[[#This Row],[Timestamp]])</f>
        <v>4</v>
      </c>
      <c r="F685" t="s">
        <v>16</v>
      </c>
      <c r="G685">
        <v>50.707599999999999</v>
      </c>
      <c r="H685">
        <v>-21.7653</v>
      </c>
      <c r="I685">
        <v>295</v>
      </c>
      <c r="J685" t="s">
        <v>21</v>
      </c>
      <c r="K685">
        <v>22.2</v>
      </c>
      <c r="L685">
        <v>64.900000000000006</v>
      </c>
      <c r="M685" t="s">
        <v>22</v>
      </c>
      <c r="N685">
        <v>19</v>
      </c>
      <c r="O685">
        <v>385</v>
      </c>
      <c r="P685">
        <v>9</v>
      </c>
      <c r="Q685" t="s">
        <v>23</v>
      </c>
      <c r="R685">
        <v>77.099999999999994</v>
      </c>
      <c r="S685">
        <v>235</v>
      </c>
      <c r="T685">
        <v>1</v>
      </c>
      <c r="U685" t="str" cm="1">
        <f t="array" ref="U685">_xlfn.IFS(smart_dataset[[#This Row],[Waiting_Time]]&lt;=20,"Low",smart_dataset[[#This Row],[Waiting_Time]]&lt;=40,"Medium",TRUE,"High")</f>
        <v>Low</v>
      </c>
      <c r="V685" t="str" cm="1">
        <f t="array" ref="V685">_xlfn.IFS(smart_dataset[[#This Row],[Temperature]]&lt;=20,"Cold",smart_dataset[[#This Row],[Temperature]]&lt;=28,"Normal",TRUE,"Hot")</f>
        <v>Normal</v>
      </c>
      <c r="W685" t="str" cm="1">
        <f t="array" ref="W685">_xlfn.IFS(smart_dataset[[#This Row],[Asset_Utilization]]&lt;=75,"Low",smart_dataset[[#This Row],[Asset_Utilization]]&lt;=90,"Medium",TRUE,"High")</f>
        <v>Medium</v>
      </c>
    </row>
    <row r="686" spans="1:23" hidden="1" x14ac:dyDescent="0.25">
      <c r="A686" s="1">
        <v>45391.925162037034</v>
      </c>
      <c r="B686" s="1">
        <f>INT(smart_dataset[[#This Row],[Timestamp]])</f>
        <v>45391</v>
      </c>
      <c r="C686" s="1">
        <f>MOD(smart_dataset[[#This Row],[Timestamp]],1)</f>
        <v>0.92516203703416977</v>
      </c>
      <c r="D686" s="1">
        <f>YEAR(smart_dataset[[#This Row],[Date]])</f>
        <v>2024</v>
      </c>
      <c r="E686" s="1">
        <f>MONTH(smart_dataset[[#This Row],[Timestamp]])</f>
        <v>4</v>
      </c>
      <c r="F686" t="s">
        <v>34</v>
      </c>
      <c r="G686">
        <v>48.351999999999997</v>
      </c>
      <c r="H686">
        <v>-54.56</v>
      </c>
      <c r="I686">
        <v>378</v>
      </c>
      <c r="J686" t="s">
        <v>21</v>
      </c>
      <c r="K686">
        <v>23.3</v>
      </c>
      <c r="L686">
        <v>78.7</v>
      </c>
      <c r="M686" t="s">
        <v>28</v>
      </c>
      <c r="N686">
        <v>17</v>
      </c>
      <c r="O686">
        <v>364</v>
      </c>
      <c r="P686">
        <v>8</v>
      </c>
      <c r="Q686" t="s">
        <v>31</v>
      </c>
      <c r="R686">
        <v>96.1</v>
      </c>
      <c r="S686">
        <v>230</v>
      </c>
      <c r="T686">
        <v>0</v>
      </c>
      <c r="U686" t="str" cm="1">
        <f t="array" ref="U686">_xlfn.IFS(smart_dataset[[#This Row],[Waiting_Time]]&lt;=20,"Low",smart_dataset[[#This Row],[Waiting_Time]]&lt;=40,"Medium",TRUE,"High")</f>
        <v>Low</v>
      </c>
      <c r="V686" t="str" cm="1">
        <f t="array" ref="V686">_xlfn.IFS(smart_dataset[[#This Row],[Temperature]]&lt;=20,"Cold",smart_dataset[[#This Row],[Temperature]]&lt;=28,"Normal",TRUE,"Hot")</f>
        <v>Normal</v>
      </c>
      <c r="W686" t="str" cm="1">
        <f t="array" ref="W686">_xlfn.IFS(smart_dataset[[#This Row],[Asset_Utilization]]&lt;=75,"Low",smart_dataset[[#This Row],[Asset_Utilization]]&lt;=90,"Medium",TRUE,"High")</f>
        <v>High</v>
      </c>
    </row>
    <row r="687" spans="1:23" hidden="1" x14ac:dyDescent="0.25">
      <c r="A687" s="1">
        <v>45481.459293981483</v>
      </c>
      <c r="B687" s="1">
        <f>INT(smart_dataset[[#This Row],[Timestamp]])</f>
        <v>45481</v>
      </c>
      <c r="C687" s="1">
        <f>MOD(smart_dataset[[#This Row],[Timestamp]],1)</f>
        <v>0.45929398148291511</v>
      </c>
      <c r="D687" s="1">
        <f>YEAR(smart_dataset[[#This Row],[Date]])</f>
        <v>2024</v>
      </c>
      <c r="E687" s="1">
        <f>MONTH(smart_dataset[[#This Row],[Timestamp]])</f>
        <v>7</v>
      </c>
      <c r="F687" t="s">
        <v>29</v>
      </c>
      <c r="G687">
        <v>-39.786700000000003</v>
      </c>
      <c r="H687">
        <v>81.563599999999994</v>
      </c>
      <c r="I687">
        <v>209</v>
      </c>
      <c r="J687" t="s">
        <v>17</v>
      </c>
      <c r="K687">
        <v>19.3</v>
      </c>
      <c r="L687">
        <v>51</v>
      </c>
      <c r="M687" t="s">
        <v>18</v>
      </c>
      <c r="N687">
        <v>18</v>
      </c>
      <c r="O687">
        <v>443</v>
      </c>
      <c r="P687">
        <v>2</v>
      </c>
      <c r="Q687" t="s">
        <v>31</v>
      </c>
      <c r="R687">
        <v>91.5</v>
      </c>
      <c r="S687">
        <v>213</v>
      </c>
      <c r="T687">
        <v>1</v>
      </c>
      <c r="U687" t="str" cm="1">
        <f t="array" ref="U687">_xlfn.IFS(smart_dataset[[#This Row],[Waiting_Time]]&lt;=20,"Low",smart_dataset[[#This Row],[Waiting_Time]]&lt;=40,"Medium",TRUE,"High")</f>
        <v>Low</v>
      </c>
      <c r="V687" t="str" cm="1">
        <f t="array" ref="V687">_xlfn.IFS(smart_dataset[[#This Row],[Temperature]]&lt;=20,"Cold",smart_dataset[[#This Row],[Temperature]]&lt;=28,"Normal",TRUE,"Hot")</f>
        <v>Cold</v>
      </c>
      <c r="W687" t="str" cm="1">
        <f t="array" ref="W687">_xlfn.IFS(smart_dataset[[#This Row],[Asset_Utilization]]&lt;=75,"Low",smart_dataset[[#This Row],[Asset_Utilization]]&lt;=90,"Medium",TRUE,"High")</f>
        <v>High</v>
      </c>
    </row>
    <row r="688" spans="1:23" hidden="1" x14ac:dyDescent="0.25">
      <c r="A688" s="1">
        <v>45372.451863425929</v>
      </c>
      <c r="B688" s="1">
        <f>INT(smart_dataset[[#This Row],[Timestamp]])</f>
        <v>45372</v>
      </c>
      <c r="C688" s="1">
        <f>MOD(smart_dataset[[#This Row],[Timestamp]],1)</f>
        <v>0.45186342592933215</v>
      </c>
      <c r="D688" s="1">
        <f>YEAR(smart_dataset[[#This Row],[Date]])</f>
        <v>2024</v>
      </c>
      <c r="E688" s="1">
        <f>MONTH(smart_dataset[[#This Row],[Timestamp]])</f>
        <v>3</v>
      </c>
      <c r="F688" t="s">
        <v>20</v>
      </c>
      <c r="G688">
        <v>36.543599999999998</v>
      </c>
      <c r="H688">
        <v>71.759699999999995</v>
      </c>
      <c r="I688">
        <v>325</v>
      </c>
      <c r="J688" t="s">
        <v>17</v>
      </c>
      <c r="K688">
        <v>28.8</v>
      </c>
      <c r="L688">
        <v>55</v>
      </c>
      <c r="M688" t="s">
        <v>28</v>
      </c>
      <c r="N688">
        <v>56</v>
      </c>
      <c r="O688">
        <v>316</v>
      </c>
      <c r="P688">
        <v>4</v>
      </c>
      <c r="Q688" t="s">
        <v>23</v>
      </c>
      <c r="R688">
        <v>77.8</v>
      </c>
      <c r="S688">
        <v>300</v>
      </c>
      <c r="T688">
        <v>1</v>
      </c>
      <c r="U688" t="str" cm="1">
        <f t="array" ref="U688">_xlfn.IFS(smart_dataset[[#This Row],[Waiting_Time]]&lt;=20,"Low",smart_dataset[[#This Row],[Waiting_Time]]&lt;=40,"Medium",TRUE,"High")</f>
        <v>High</v>
      </c>
      <c r="V688" t="str" cm="1">
        <f t="array" ref="V688">_xlfn.IFS(smart_dataset[[#This Row],[Temperature]]&lt;=20,"Cold",smart_dataset[[#This Row],[Temperature]]&lt;=28,"Normal",TRUE,"Hot")</f>
        <v>Hot</v>
      </c>
      <c r="W688" t="str" cm="1">
        <f t="array" ref="W688">_xlfn.IFS(smart_dataset[[#This Row],[Asset_Utilization]]&lt;=75,"Low",smart_dataset[[#This Row],[Asset_Utilization]]&lt;=90,"Medium",TRUE,"High")</f>
        <v>Medium</v>
      </c>
    </row>
    <row r="689" spans="1:23" x14ac:dyDescent="0.25">
      <c r="A689" s="1">
        <v>45618.9296412037</v>
      </c>
      <c r="B689" s="1">
        <f>INT(smart_dataset[[#This Row],[Timestamp]])</f>
        <v>45618</v>
      </c>
      <c r="C689" s="7">
        <f>MOD(smart_dataset[[#This Row],[Timestamp]],1)</f>
        <v>0.92964120370015735</v>
      </c>
      <c r="D689">
        <f>YEAR(smart_dataset[[#This Row],[Date]])</f>
        <v>2024</v>
      </c>
      <c r="E689">
        <f>MONTH(smart_dataset[[#This Row],[Timestamp]])</f>
        <v>11</v>
      </c>
      <c r="F689" t="s">
        <v>20</v>
      </c>
      <c r="G689">
        <v>32.866300000000003</v>
      </c>
      <c r="H689">
        <v>-79.992000000000004</v>
      </c>
      <c r="I689">
        <v>362</v>
      </c>
      <c r="J689" t="s">
        <v>17</v>
      </c>
      <c r="K689">
        <v>21.7</v>
      </c>
      <c r="L689">
        <v>54.6</v>
      </c>
      <c r="M689" t="s">
        <v>22</v>
      </c>
      <c r="N689">
        <v>22</v>
      </c>
      <c r="O689">
        <v>441</v>
      </c>
      <c r="P689">
        <v>3</v>
      </c>
      <c r="Q689" t="s">
        <v>19</v>
      </c>
      <c r="R689">
        <v>74.599999999999994</v>
      </c>
      <c r="S689">
        <v>194</v>
      </c>
      <c r="T689">
        <v>1</v>
      </c>
      <c r="U689" t="str" cm="1">
        <f t="array" ref="U689">_xlfn.IFS(smart_dataset[[#This Row],[Waiting_Time]]&lt;=20,"Low",smart_dataset[[#This Row],[Waiting_Time]]&lt;=40,"Medium",TRUE,"High")</f>
        <v>Medium</v>
      </c>
      <c r="V689" t="str" cm="1">
        <f t="array" ref="V689">_xlfn.IFS(smart_dataset[[#This Row],[Temperature]]&lt;=20,"Cold",smart_dataset[[#This Row],[Temperature]]&lt;=28,"Normal",TRUE,"Hot")</f>
        <v>Normal</v>
      </c>
      <c r="W689" t="str" cm="1">
        <f t="array" ref="W689">_xlfn.IFS(smart_dataset[[#This Row],[Asset_Utilization]]&lt;=75,"Low",smart_dataset[[#This Row],[Asset_Utilization]]&lt;=90,"Medium",TRUE,"High")</f>
        <v>Low</v>
      </c>
    </row>
    <row r="690" spans="1:23" hidden="1" x14ac:dyDescent="0.25">
      <c r="A690" s="1">
        <v>45406.00613425926</v>
      </c>
      <c r="B690" s="1">
        <f>INT(smart_dataset[[#This Row],[Timestamp]])</f>
        <v>45406</v>
      </c>
      <c r="C690" s="1">
        <f>MOD(smart_dataset[[#This Row],[Timestamp]],1)</f>
        <v>6.1342592598521151E-3</v>
      </c>
      <c r="D690" s="1">
        <f>YEAR(smart_dataset[[#This Row],[Date]])</f>
        <v>2024</v>
      </c>
      <c r="E690" s="1">
        <f>MONTH(smart_dataset[[#This Row],[Timestamp]])</f>
        <v>4</v>
      </c>
      <c r="F690" t="s">
        <v>29</v>
      </c>
      <c r="G690">
        <v>-0.1019</v>
      </c>
      <c r="H690">
        <v>99.806899999999999</v>
      </c>
      <c r="I690">
        <v>451</v>
      </c>
      <c r="J690" t="s">
        <v>26</v>
      </c>
      <c r="K690">
        <v>27.5</v>
      </c>
      <c r="L690">
        <v>56.7</v>
      </c>
      <c r="M690" t="s">
        <v>28</v>
      </c>
      <c r="N690">
        <v>23</v>
      </c>
      <c r="O690">
        <v>446</v>
      </c>
      <c r="P690">
        <v>6</v>
      </c>
      <c r="Q690" t="s">
        <v>27</v>
      </c>
      <c r="R690">
        <v>62.1</v>
      </c>
      <c r="S690">
        <v>203</v>
      </c>
      <c r="T690">
        <v>0</v>
      </c>
      <c r="U690" t="str" cm="1">
        <f t="array" ref="U690">_xlfn.IFS(smart_dataset[[#This Row],[Waiting_Time]]&lt;=20,"Low",smart_dataset[[#This Row],[Waiting_Time]]&lt;=40,"Medium",TRUE,"High")</f>
        <v>Medium</v>
      </c>
      <c r="V690" t="str" cm="1">
        <f t="array" ref="V690">_xlfn.IFS(smart_dataset[[#This Row],[Temperature]]&lt;=20,"Cold",smart_dataset[[#This Row],[Temperature]]&lt;=28,"Normal",TRUE,"Hot")</f>
        <v>Normal</v>
      </c>
      <c r="W690" t="str" cm="1">
        <f t="array" ref="W690">_xlfn.IFS(smart_dataset[[#This Row],[Asset_Utilization]]&lt;=75,"Low",smart_dataset[[#This Row],[Asset_Utilization]]&lt;=90,"Medium",TRUE,"High")</f>
        <v>Low</v>
      </c>
    </row>
    <row r="691" spans="1:23" x14ac:dyDescent="0.25">
      <c r="A691" s="1">
        <v>45448.368784722225</v>
      </c>
      <c r="B691" s="1">
        <f>INT(smart_dataset[[#This Row],[Timestamp]])</f>
        <v>45448</v>
      </c>
      <c r="C691" s="7">
        <f>MOD(smart_dataset[[#This Row],[Timestamp]],1)</f>
        <v>0.36878472222451819</v>
      </c>
      <c r="D691">
        <f>YEAR(smart_dataset[[#This Row],[Date]])</f>
        <v>2024</v>
      </c>
      <c r="E691">
        <f>MONTH(smart_dataset[[#This Row],[Timestamp]])</f>
        <v>6</v>
      </c>
      <c r="F691" t="s">
        <v>25</v>
      </c>
      <c r="G691">
        <v>-56.823099999999997</v>
      </c>
      <c r="H691">
        <v>71.584100000000007</v>
      </c>
      <c r="I691">
        <v>201</v>
      </c>
      <c r="J691" t="s">
        <v>21</v>
      </c>
      <c r="K691">
        <v>27.5</v>
      </c>
      <c r="L691">
        <v>53.1</v>
      </c>
      <c r="M691" t="s">
        <v>28</v>
      </c>
      <c r="N691">
        <v>10</v>
      </c>
      <c r="O691">
        <v>169</v>
      </c>
      <c r="P691">
        <v>3</v>
      </c>
      <c r="Q691" t="s">
        <v>19</v>
      </c>
      <c r="R691">
        <v>65.099999999999994</v>
      </c>
      <c r="S691">
        <v>242</v>
      </c>
      <c r="T691">
        <v>0</v>
      </c>
      <c r="U691" t="str" cm="1">
        <f t="array" ref="U691">_xlfn.IFS(smart_dataset[[#This Row],[Waiting_Time]]&lt;=20,"Low",smart_dataset[[#This Row],[Waiting_Time]]&lt;=40,"Medium",TRUE,"High")</f>
        <v>Low</v>
      </c>
      <c r="V691" t="str" cm="1">
        <f t="array" ref="V691">_xlfn.IFS(smart_dataset[[#This Row],[Temperature]]&lt;=20,"Cold",smart_dataset[[#This Row],[Temperature]]&lt;=28,"Normal",TRUE,"Hot")</f>
        <v>Normal</v>
      </c>
      <c r="W691" t="str" cm="1">
        <f t="array" ref="W691">_xlfn.IFS(smart_dataset[[#This Row],[Asset_Utilization]]&lt;=75,"Low",smart_dataset[[#This Row],[Asset_Utilization]]&lt;=90,"Medium",TRUE,"High")</f>
        <v>Low</v>
      </c>
    </row>
    <row r="692" spans="1:23" hidden="1" x14ac:dyDescent="0.25">
      <c r="A692" s="1">
        <v>45352.423796296294</v>
      </c>
      <c r="B692" s="1">
        <f>INT(smart_dataset[[#This Row],[Timestamp]])</f>
        <v>45352</v>
      </c>
      <c r="C692" s="1">
        <f>MOD(smart_dataset[[#This Row],[Timestamp]],1)</f>
        <v>0.42379629629431292</v>
      </c>
      <c r="D692" s="1">
        <f>YEAR(smart_dataset[[#This Row],[Date]])</f>
        <v>2024</v>
      </c>
      <c r="E692" s="1">
        <f>MONTH(smart_dataset[[#This Row],[Timestamp]])</f>
        <v>3</v>
      </c>
      <c r="F692" t="s">
        <v>33</v>
      </c>
      <c r="G692">
        <v>-61.966799999999999</v>
      </c>
      <c r="H692">
        <v>113.8899</v>
      </c>
      <c r="I692">
        <v>442</v>
      </c>
      <c r="J692" t="s">
        <v>17</v>
      </c>
      <c r="K692">
        <v>23.6</v>
      </c>
      <c r="L692">
        <v>58.1</v>
      </c>
      <c r="M692" t="s">
        <v>28</v>
      </c>
      <c r="N692">
        <v>47</v>
      </c>
      <c r="O692">
        <v>165</v>
      </c>
      <c r="P692">
        <v>1</v>
      </c>
      <c r="Q692" t="s">
        <v>27</v>
      </c>
      <c r="R692">
        <v>93.3</v>
      </c>
      <c r="S692">
        <v>191</v>
      </c>
      <c r="T692">
        <v>1</v>
      </c>
      <c r="U692" t="str" cm="1">
        <f t="array" ref="U692">_xlfn.IFS(smart_dataset[[#This Row],[Waiting_Time]]&lt;=20,"Low",smart_dataset[[#This Row],[Waiting_Time]]&lt;=40,"Medium",TRUE,"High")</f>
        <v>High</v>
      </c>
      <c r="V692" t="str" cm="1">
        <f t="array" ref="V692">_xlfn.IFS(smart_dataset[[#This Row],[Temperature]]&lt;=20,"Cold",smart_dataset[[#This Row],[Temperature]]&lt;=28,"Normal",TRUE,"Hot")</f>
        <v>Normal</v>
      </c>
      <c r="W692" t="str" cm="1">
        <f t="array" ref="W692">_xlfn.IFS(smart_dataset[[#This Row],[Asset_Utilization]]&lt;=75,"Low",smart_dataset[[#This Row],[Asset_Utilization]]&lt;=90,"Medium",TRUE,"High")</f>
        <v>High</v>
      </c>
    </row>
    <row r="693" spans="1:23" hidden="1" x14ac:dyDescent="0.25">
      <c r="A693" s="1">
        <v>45479.881562499999</v>
      </c>
      <c r="B693" s="1">
        <f>INT(smart_dataset[[#This Row],[Timestamp]])</f>
        <v>45479</v>
      </c>
      <c r="C693" s="1">
        <f>MOD(smart_dataset[[#This Row],[Timestamp]],1)</f>
        <v>0.88156249999883585</v>
      </c>
      <c r="D693" s="1">
        <f>YEAR(smart_dataset[[#This Row],[Date]])</f>
        <v>2024</v>
      </c>
      <c r="E693" s="1">
        <f>MONTH(smart_dataset[[#This Row],[Timestamp]])</f>
        <v>7</v>
      </c>
      <c r="F693" t="s">
        <v>35</v>
      </c>
      <c r="G693">
        <v>-63.8035</v>
      </c>
      <c r="H693">
        <v>61.457099999999997</v>
      </c>
      <c r="I693">
        <v>274</v>
      </c>
      <c r="J693" t="s">
        <v>21</v>
      </c>
      <c r="K693">
        <v>19.3</v>
      </c>
      <c r="L693">
        <v>70.3</v>
      </c>
      <c r="M693" t="s">
        <v>18</v>
      </c>
      <c r="N693">
        <v>26</v>
      </c>
      <c r="O693">
        <v>404</v>
      </c>
      <c r="P693">
        <v>7</v>
      </c>
      <c r="Q693" t="s">
        <v>23</v>
      </c>
      <c r="R693">
        <v>81</v>
      </c>
      <c r="S693">
        <v>141</v>
      </c>
      <c r="T693">
        <v>0</v>
      </c>
      <c r="U693" t="str" cm="1">
        <f t="array" ref="U693">_xlfn.IFS(smart_dataset[[#This Row],[Waiting_Time]]&lt;=20,"Low",smart_dataset[[#This Row],[Waiting_Time]]&lt;=40,"Medium",TRUE,"High")</f>
        <v>Medium</v>
      </c>
      <c r="V693" t="str" cm="1">
        <f t="array" ref="V693">_xlfn.IFS(smart_dataset[[#This Row],[Temperature]]&lt;=20,"Cold",smart_dataset[[#This Row],[Temperature]]&lt;=28,"Normal",TRUE,"Hot")</f>
        <v>Cold</v>
      </c>
      <c r="W693" t="str" cm="1">
        <f t="array" ref="W693">_xlfn.IFS(smart_dataset[[#This Row],[Asset_Utilization]]&lt;=75,"Low",smart_dataset[[#This Row],[Asset_Utilization]]&lt;=90,"Medium",TRUE,"High")</f>
        <v>Medium</v>
      </c>
    </row>
    <row r="694" spans="1:23" hidden="1" x14ac:dyDescent="0.25">
      <c r="A694" s="1">
        <v>45624.67082175926</v>
      </c>
      <c r="B694" s="1">
        <f>INT(smart_dataset[[#This Row],[Timestamp]])</f>
        <v>45624</v>
      </c>
      <c r="C694" s="1">
        <f>MOD(smart_dataset[[#This Row],[Timestamp]],1)</f>
        <v>0.67082175926043419</v>
      </c>
      <c r="D694" s="1">
        <f>YEAR(smart_dataset[[#This Row],[Date]])</f>
        <v>2024</v>
      </c>
      <c r="E694" s="1">
        <f>MONTH(smart_dataset[[#This Row],[Timestamp]])</f>
        <v>11</v>
      </c>
      <c r="F694" t="s">
        <v>34</v>
      </c>
      <c r="G694">
        <v>-31.727499999999999</v>
      </c>
      <c r="H694">
        <v>-28.567599999999999</v>
      </c>
      <c r="I694">
        <v>180</v>
      </c>
      <c r="J694" t="s">
        <v>21</v>
      </c>
      <c r="K694">
        <v>24.9</v>
      </c>
      <c r="L694">
        <v>68.900000000000006</v>
      </c>
      <c r="M694" t="s">
        <v>28</v>
      </c>
      <c r="N694">
        <v>14</v>
      </c>
      <c r="O694">
        <v>189</v>
      </c>
      <c r="P694">
        <v>3</v>
      </c>
      <c r="Q694" t="s">
        <v>27</v>
      </c>
      <c r="R694">
        <v>89.4</v>
      </c>
      <c r="S694">
        <v>275</v>
      </c>
      <c r="T694">
        <v>0</v>
      </c>
      <c r="U694" t="str" cm="1">
        <f t="array" ref="U694">_xlfn.IFS(smart_dataset[[#This Row],[Waiting_Time]]&lt;=20,"Low",smart_dataset[[#This Row],[Waiting_Time]]&lt;=40,"Medium",TRUE,"High")</f>
        <v>Low</v>
      </c>
      <c r="V694" t="str" cm="1">
        <f t="array" ref="V694">_xlfn.IFS(smart_dataset[[#This Row],[Temperature]]&lt;=20,"Cold",smart_dataset[[#This Row],[Temperature]]&lt;=28,"Normal",TRUE,"Hot")</f>
        <v>Normal</v>
      </c>
      <c r="W694" t="str" cm="1">
        <f t="array" ref="W694">_xlfn.IFS(smart_dataset[[#This Row],[Asset_Utilization]]&lt;=75,"Low",smart_dataset[[#This Row],[Asset_Utilization]]&lt;=90,"Medium",TRUE,"High")</f>
        <v>Medium</v>
      </c>
    </row>
    <row r="695" spans="1:23" x14ac:dyDescent="0.25">
      <c r="A695" s="1">
        <v>45374.890636574077</v>
      </c>
      <c r="B695" s="1">
        <f>INT(smart_dataset[[#This Row],[Timestamp]])</f>
        <v>45374</v>
      </c>
      <c r="C695" s="7">
        <f>MOD(smart_dataset[[#This Row],[Timestamp]],1)</f>
        <v>0.89063657407677965</v>
      </c>
      <c r="D695">
        <f>YEAR(smart_dataset[[#This Row],[Date]])</f>
        <v>2024</v>
      </c>
      <c r="E695">
        <f>MONTH(smart_dataset[[#This Row],[Timestamp]])</f>
        <v>3</v>
      </c>
      <c r="F695" t="s">
        <v>35</v>
      </c>
      <c r="G695">
        <v>69.995900000000006</v>
      </c>
      <c r="H695">
        <v>-10.5335</v>
      </c>
      <c r="I695">
        <v>213</v>
      </c>
      <c r="J695" t="s">
        <v>17</v>
      </c>
      <c r="K695">
        <v>22.8</v>
      </c>
      <c r="L695">
        <v>65</v>
      </c>
      <c r="M695" t="s">
        <v>18</v>
      </c>
      <c r="N695">
        <v>51</v>
      </c>
      <c r="O695">
        <v>361</v>
      </c>
      <c r="P695">
        <v>6</v>
      </c>
      <c r="Q695" t="s">
        <v>19</v>
      </c>
      <c r="R695">
        <v>74.5</v>
      </c>
      <c r="S695">
        <v>274</v>
      </c>
      <c r="T695">
        <v>1</v>
      </c>
      <c r="U695" t="str" cm="1">
        <f t="array" ref="U695">_xlfn.IFS(smart_dataset[[#This Row],[Waiting_Time]]&lt;=20,"Low",smart_dataset[[#This Row],[Waiting_Time]]&lt;=40,"Medium",TRUE,"High")</f>
        <v>High</v>
      </c>
      <c r="V695" t="str" cm="1">
        <f t="array" ref="V695">_xlfn.IFS(smart_dataset[[#This Row],[Temperature]]&lt;=20,"Cold",smart_dataset[[#This Row],[Temperature]]&lt;=28,"Normal",TRUE,"Hot")</f>
        <v>Normal</v>
      </c>
      <c r="W695" t="str" cm="1">
        <f t="array" ref="W695">_xlfn.IFS(smart_dataset[[#This Row],[Asset_Utilization]]&lt;=75,"Low",smart_dataset[[#This Row],[Asset_Utilization]]&lt;=90,"Medium",TRUE,"High")</f>
        <v>Low</v>
      </c>
    </row>
    <row r="696" spans="1:23" hidden="1" x14ac:dyDescent="0.25">
      <c r="A696" s="1">
        <v>45406.238946759258</v>
      </c>
      <c r="B696" s="1">
        <f>INT(smart_dataset[[#This Row],[Timestamp]])</f>
        <v>45406</v>
      </c>
      <c r="C696" s="1">
        <f>MOD(smart_dataset[[#This Row],[Timestamp]],1)</f>
        <v>0.23894675925839692</v>
      </c>
      <c r="D696" s="1">
        <f>YEAR(smart_dataset[[#This Row],[Date]])</f>
        <v>2024</v>
      </c>
      <c r="E696" s="1">
        <f>MONTH(smart_dataset[[#This Row],[Timestamp]])</f>
        <v>4</v>
      </c>
      <c r="F696" t="s">
        <v>24</v>
      </c>
      <c r="G696">
        <v>-63.172199999999997</v>
      </c>
      <c r="H696">
        <v>145.37559999999999</v>
      </c>
      <c r="I696">
        <v>353</v>
      </c>
      <c r="J696" t="s">
        <v>21</v>
      </c>
      <c r="K696">
        <v>22</v>
      </c>
      <c r="L696">
        <v>66.8</v>
      </c>
      <c r="M696" t="s">
        <v>22</v>
      </c>
      <c r="N696">
        <v>27</v>
      </c>
      <c r="O696">
        <v>327</v>
      </c>
      <c r="P696">
        <v>9</v>
      </c>
      <c r="Q696" t="s">
        <v>27</v>
      </c>
      <c r="R696">
        <v>71.2</v>
      </c>
      <c r="S696">
        <v>146</v>
      </c>
      <c r="T696">
        <v>1</v>
      </c>
      <c r="U696" t="str" cm="1">
        <f t="array" ref="U696">_xlfn.IFS(smart_dataset[[#This Row],[Waiting_Time]]&lt;=20,"Low",smart_dataset[[#This Row],[Waiting_Time]]&lt;=40,"Medium",TRUE,"High")</f>
        <v>Medium</v>
      </c>
      <c r="V696" t="str" cm="1">
        <f t="array" ref="V696">_xlfn.IFS(smart_dataset[[#This Row],[Temperature]]&lt;=20,"Cold",smart_dataset[[#This Row],[Temperature]]&lt;=28,"Normal",TRUE,"Hot")</f>
        <v>Normal</v>
      </c>
      <c r="W696" t="str" cm="1">
        <f t="array" ref="W696">_xlfn.IFS(smart_dataset[[#This Row],[Asset_Utilization]]&lt;=75,"Low",smart_dataset[[#This Row],[Asset_Utilization]]&lt;=90,"Medium",TRUE,"High")</f>
        <v>Low</v>
      </c>
    </row>
    <row r="697" spans="1:23" hidden="1" x14ac:dyDescent="0.25">
      <c r="A697" s="1">
        <v>45454.199386574073</v>
      </c>
      <c r="B697" s="1">
        <f>INT(smart_dataset[[#This Row],[Timestamp]])</f>
        <v>45454</v>
      </c>
      <c r="C697" s="1">
        <f>MOD(smart_dataset[[#This Row],[Timestamp]],1)</f>
        <v>0.19938657407328719</v>
      </c>
      <c r="D697" s="1">
        <f>YEAR(smart_dataset[[#This Row],[Date]])</f>
        <v>2024</v>
      </c>
      <c r="E697" s="1">
        <f>MONTH(smart_dataset[[#This Row],[Timestamp]])</f>
        <v>6</v>
      </c>
      <c r="F697" t="s">
        <v>32</v>
      </c>
      <c r="G697">
        <v>35.7913</v>
      </c>
      <c r="H697">
        <v>6.3765000000000001</v>
      </c>
      <c r="I697">
        <v>495</v>
      </c>
      <c r="J697" t="s">
        <v>26</v>
      </c>
      <c r="K697">
        <v>20.6</v>
      </c>
      <c r="L697">
        <v>71.5</v>
      </c>
      <c r="M697" t="s">
        <v>22</v>
      </c>
      <c r="N697">
        <v>32</v>
      </c>
      <c r="O697">
        <v>166</v>
      </c>
      <c r="P697">
        <v>2</v>
      </c>
      <c r="Q697" t="s">
        <v>23</v>
      </c>
      <c r="R697">
        <v>62.5</v>
      </c>
      <c r="S697">
        <v>282</v>
      </c>
      <c r="T697">
        <v>1</v>
      </c>
      <c r="U697" t="str" cm="1">
        <f t="array" ref="U697">_xlfn.IFS(smart_dataset[[#This Row],[Waiting_Time]]&lt;=20,"Low",smart_dataset[[#This Row],[Waiting_Time]]&lt;=40,"Medium",TRUE,"High")</f>
        <v>Medium</v>
      </c>
      <c r="V697" t="str" cm="1">
        <f t="array" ref="V697">_xlfn.IFS(smart_dataset[[#This Row],[Temperature]]&lt;=20,"Cold",smart_dataset[[#This Row],[Temperature]]&lt;=28,"Normal",TRUE,"Hot")</f>
        <v>Normal</v>
      </c>
      <c r="W697" t="str" cm="1">
        <f t="array" ref="W697">_xlfn.IFS(smart_dataset[[#This Row],[Asset_Utilization]]&lt;=75,"Low",smart_dataset[[#This Row],[Asset_Utilization]]&lt;=90,"Medium",TRUE,"High")</f>
        <v>Low</v>
      </c>
    </row>
    <row r="698" spans="1:23" x14ac:dyDescent="0.25">
      <c r="A698" s="1">
        <v>45516.037592592591</v>
      </c>
      <c r="B698" s="1">
        <f>INT(smart_dataset[[#This Row],[Timestamp]])</f>
        <v>45516</v>
      </c>
      <c r="C698" s="7">
        <f>MOD(smart_dataset[[#This Row],[Timestamp]],1)</f>
        <v>3.7592592590954155E-2</v>
      </c>
      <c r="D698">
        <f>YEAR(smart_dataset[[#This Row],[Date]])</f>
        <v>2024</v>
      </c>
      <c r="E698">
        <f>MONTH(smart_dataset[[#This Row],[Timestamp]])</f>
        <v>8</v>
      </c>
      <c r="F698" t="s">
        <v>35</v>
      </c>
      <c r="G698">
        <v>-58.853099999999998</v>
      </c>
      <c r="H698">
        <v>45.049799999999998</v>
      </c>
      <c r="I698">
        <v>162</v>
      </c>
      <c r="J698" t="s">
        <v>17</v>
      </c>
      <c r="K698">
        <v>21.3</v>
      </c>
      <c r="L698">
        <v>76.8</v>
      </c>
      <c r="M698" t="s">
        <v>18</v>
      </c>
      <c r="N698">
        <v>53</v>
      </c>
      <c r="O698">
        <v>164</v>
      </c>
      <c r="P698">
        <v>3</v>
      </c>
      <c r="Q698" t="s">
        <v>19</v>
      </c>
      <c r="R698">
        <v>61.6</v>
      </c>
      <c r="S698">
        <v>104</v>
      </c>
      <c r="T698">
        <v>1</v>
      </c>
      <c r="U698" t="str" cm="1">
        <f t="array" ref="U698">_xlfn.IFS(smart_dataset[[#This Row],[Waiting_Time]]&lt;=20,"Low",smart_dataset[[#This Row],[Waiting_Time]]&lt;=40,"Medium",TRUE,"High")</f>
        <v>High</v>
      </c>
      <c r="V698" t="str" cm="1">
        <f t="array" ref="V698">_xlfn.IFS(smart_dataset[[#This Row],[Temperature]]&lt;=20,"Cold",smart_dataset[[#This Row],[Temperature]]&lt;=28,"Normal",TRUE,"Hot")</f>
        <v>Normal</v>
      </c>
      <c r="W698" t="str" cm="1">
        <f t="array" ref="W698">_xlfn.IFS(smart_dataset[[#This Row],[Asset_Utilization]]&lt;=75,"Low",smart_dataset[[#This Row],[Asset_Utilization]]&lt;=90,"Medium",TRUE,"High")</f>
        <v>Low</v>
      </c>
    </row>
    <row r="699" spans="1:23" hidden="1" x14ac:dyDescent="0.25">
      <c r="A699" s="1">
        <v>45443.128842592596</v>
      </c>
      <c r="B699" s="1">
        <f>INT(smart_dataset[[#This Row],[Timestamp]])</f>
        <v>45443</v>
      </c>
      <c r="C699" s="1">
        <f>MOD(smart_dataset[[#This Row],[Timestamp]],1)</f>
        <v>0.12884259259590181</v>
      </c>
      <c r="D699" s="1">
        <f>YEAR(smart_dataset[[#This Row],[Date]])</f>
        <v>2024</v>
      </c>
      <c r="E699" s="1">
        <f>MONTH(smart_dataset[[#This Row],[Timestamp]])</f>
        <v>5</v>
      </c>
      <c r="F699" t="s">
        <v>33</v>
      </c>
      <c r="G699">
        <v>49.400700000000001</v>
      </c>
      <c r="H699">
        <v>-106.15309999999999</v>
      </c>
      <c r="I699">
        <v>252</v>
      </c>
      <c r="J699" t="s">
        <v>17</v>
      </c>
      <c r="K699">
        <v>28</v>
      </c>
      <c r="L699">
        <v>66.5</v>
      </c>
      <c r="M699" t="s">
        <v>18</v>
      </c>
      <c r="N699">
        <v>44</v>
      </c>
      <c r="O699">
        <v>298</v>
      </c>
      <c r="P699">
        <v>6</v>
      </c>
      <c r="Q699" t="s">
        <v>27</v>
      </c>
      <c r="R699">
        <v>72.8</v>
      </c>
      <c r="S699">
        <v>150</v>
      </c>
      <c r="T699">
        <v>1</v>
      </c>
      <c r="U699" t="str" cm="1">
        <f t="array" ref="U699">_xlfn.IFS(smart_dataset[[#This Row],[Waiting_Time]]&lt;=20,"Low",smart_dataset[[#This Row],[Waiting_Time]]&lt;=40,"Medium",TRUE,"High")</f>
        <v>High</v>
      </c>
      <c r="V699" t="str" cm="1">
        <f t="array" ref="V699">_xlfn.IFS(smart_dataset[[#This Row],[Temperature]]&lt;=20,"Cold",smart_dataset[[#This Row],[Temperature]]&lt;=28,"Normal",TRUE,"Hot")</f>
        <v>Normal</v>
      </c>
      <c r="W699" t="str" cm="1">
        <f t="array" ref="W699">_xlfn.IFS(smart_dataset[[#This Row],[Asset_Utilization]]&lt;=75,"Low",smart_dataset[[#This Row],[Asset_Utilization]]&lt;=90,"Medium",TRUE,"High")</f>
        <v>Low</v>
      </c>
    </row>
    <row r="700" spans="1:23" hidden="1" x14ac:dyDescent="0.25">
      <c r="A700" s="1">
        <v>45387.435104166667</v>
      </c>
      <c r="B700" s="1">
        <f>INT(smart_dataset[[#This Row],[Timestamp]])</f>
        <v>45387</v>
      </c>
      <c r="C700" s="1">
        <f>MOD(smart_dataset[[#This Row],[Timestamp]],1)</f>
        <v>0.43510416666686069</v>
      </c>
      <c r="D700" s="1">
        <f>YEAR(smart_dataset[[#This Row],[Date]])</f>
        <v>2024</v>
      </c>
      <c r="E700" s="1">
        <f>MONTH(smart_dataset[[#This Row],[Timestamp]])</f>
        <v>4</v>
      </c>
      <c r="F700" t="s">
        <v>30</v>
      </c>
      <c r="G700">
        <v>8.4222000000000001</v>
      </c>
      <c r="H700">
        <v>-69.752200000000002</v>
      </c>
      <c r="I700">
        <v>361</v>
      </c>
      <c r="J700" t="s">
        <v>26</v>
      </c>
      <c r="K700">
        <v>19.5</v>
      </c>
      <c r="L700">
        <v>78.599999999999994</v>
      </c>
      <c r="M700" t="s">
        <v>28</v>
      </c>
      <c r="N700">
        <v>21</v>
      </c>
      <c r="O700">
        <v>358</v>
      </c>
      <c r="P700">
        <v>9</v>
      </c>
      <c r="Q700" t="s">
        <v>23</v>
      </c>
      <c r="R700">
        <v>93</v>
      </c>
      <c r="S700">
        <v>235</v>
      </c>
      <c r="T700">
        <v>0</v>
      </c>
      <c r="U700" t="str" cm="1">
        <f t="array" ref="U700">_xlfn.IFS(smart_dataset[[#This Row],[Waiting_Time]]&lt;=20,"Low",smart_dataset[[#This Row],[Waiting_Time]]&lt;=40,"Medium",TRUE,"High")</f>
        <v>Medium</v>
      </c>
      <c r="V700" t="str" cm="1">
        <f t="array" ref="V700">_xlfn.IFS(smart_dataset[[#This Row],[Temperature]]&lt;=20,"Cold",smart_dataset[[#This Row],[Temperature]]&lt;=28,"Normal",TRUE,"Hot")</f>
        <v>Cold</v>
      </c>
      <c r="W700" t="str" cm="1">
        <f t="array" ref="W700">_xlfn.IFS(smart_dataset[[#This Row],[Asset_Utilization]]&lt;=75,"Low",smart_dataset[[#This Row],[Asset_Utilization]]&lt;=90,"Medium",TRUE,"High")</f>
        <v>High</v>
      </c>
    </row>
    <row r="701" spans="1:23" hidden="1" x14ac:dyDescent="0.25">
      <c r="A701" s="1">
        <v>45638.681296296294</v>
      </c>
      <c r="B701" s="1">
        <f>INT(smart_dataset[[#This Row],[Timestamp]])</f>
        <v>45638</v>
      </c>
      <c r="C701" s="1">
        <f>MOD(smart_dataset[[#This Row],[Timestamp]],1)</f>
        <v>0.68129629629402189</v>
      </c>
      <c r="D701" s="1">
        <f>YEAR(smart_dataset[[#This Row],[Date]])</f>
        <v>2024</v>
      </c>
      <c r="E701" s="1">
        <f>MONTH(smart_dataset[[#This Row],[Timestamp]])</f>
        <v>12</v>
      </c>
      <c r="F701" t="s">
        <v>20</v>
      </c>
      <c r="G701">
        <v>-6.5166000000000004</v>
      </c>
      <c r="H701">
        <v>-143.38220000000001</v>
      </c>
      <c r="I701">
        <v>115</v>
      </c>
      <c r="J701" t="s">
        <v>26</v>
      </c>
      <c r="K701">
        <v>29.3</v>
      </c>
      <c r="L701">
        <v>65.099999999999994</v>
      </c>
      <c r="M701" t="s">
        <v>22</v>
      </c>
      <c r="N701">
        <v>32</v>
      </c>
      <c r="O701">
        <v>445</v>
      </c>
      <c r="P701">
        <v>1</v>
      </c>
      <c r="Q701" t="s">
        <v>23</v>
      </c>
      <c r="R701">
        <v>79.400000000000006</v>
      </c>
      <c r="S701">
        <v>123</v>
      </c>
      <c r="T701">
        <v>1</v>
      </c>
      <c r="U701" t="str" cm="1">
        <f t="array" ref="U701">_xlfn.IFS(smart_dataset[[#This Row],[Waiting_Time]]&lt;=20,"Low",smart_dataset[[#This Row],[Waiting_Time]]&lt;=40,"Medium",TRUE,"High")</f>
        <v>Medium</v>
      </c>
      <c r="V701" t="str" cm="1">
        <f t="array" ref="V701">_xlfn.IFS(smart_dataset[[#This Row],[Temperature]]&lt;=20,"Cold",smart_dataset[[#This Row],[Temperature]]&lt;=28,"Normal",TRUE,"Hot")</f>
        <v>Hot</v>
      </c>
      <c r="W701" t="str" cm="1">
        <f t="array" ref="W701">_xlfn.IFS(smart_dataset[[#This Row],[Asset_Utilization]]&lt;=75,"Low",smart_dataset[[#This Row],[Asset_Utilization]]&lt;=90,"Medium",TRUE,"High")</f>
        <v>Medium</v>
      </c>
    </row>
    <row r="702" spans="1:23" hidden="1" x14ac:dyDescent="0.25">
      <c r="A702" s="1">
        <v>45333.345902777779</v>
      </c>
      <c r="B702" s="1">
        <f>INT(smart_dataset[[#This Row],[Timestamp]])</f>
        <v>45333</v>
      </c>
      <c r="C702" s="1">
        <f>MOD(smart_dataset[[#This Row],[Timestamp]],1)</f>
        <v>0.34590277777897427</v>
      </c>
      <c r="D702" s="1">
        <f>YEAR(smart_dataset[[#This Row],[Date]])</f>
        <v>2024</v>
      </c>
      <c r="E702" s="1">
        <f>MONTH(smart_dataset[[#This Row],[Timestamp]])</f>
        <v>2</v>
      </c>
      <c r="F702" t="s">
        <v>33</v>
      </c>
      <c r="G702">
        <v>-43.179699999999997</v>
      </c>
      <c r="H702">
        <v>-64.476900000000001</v>
      </c>
      <c r="I702">
        <v>172</v>
      </c>
      <c r="J702" t="s">
        <v>26</v>
      </c>
      <c r="K702">
        <v>22.5</v>
      </c>
      <c r="L702">
        <v>69.7</v>
      </c>
      <c r="M702" t="s">
        <v>22</v>
      </c>
      <c r="N702">
        <v>55</v>
      </c>
      <c r="O702">
        <v>216</v>
      </c>
      <c r="P702">
        <v>9</v>
      </c>
      <c r="Q702" t="s">
        <v>23</v>
      </c>
      <c r="R702">
        <v>72.099999999999994</v>
      </c>
      <c r="S702">
        <v>106</v>
      </c>
      <c r="T702">
        <v>1</v>
      </c>
      <c r="U702" t="str" cm="1">
        <f t="array" ref="U702">_xlfn.IFS(smart_dataset[[#This Row],[Waiting_Time]]&lt;=20,"Low",smart_dataset[[#This Row],[Waiting_Time]]&lt;=40,"Medium",TRUE,"High")</f>
        <v>High</v>
      </c>
      <c r="V702" t="str" cm="1">
        <f t="array" ref="V702">_xlfn.IFS(smart_dataset[[#This Row],[Temperature]]&lt;=20,"Cold",smart_dataset[[#This Row],[Temperature]]&lt;=28,"Normal",TRUE,"Hot")</f>
        <v>Normal</v>
      </c>
      <c r="W702" t="str" cm="1">
        <f t="array" ref="W702">_xlfn.IFS(smart_dataset[[#This Row],[Asset_Utilization]]&lt;=75,"Low",smart_dataset[[#This Row],[Asset_Utilization]]&lt;=90,"Medium",TRUE,"High")</f>
        <v>Low</v>
      </c>
    </row>
    <row r="703" spans="1:23" hidden="1" x14ac:dyDescent="0.25">
      <c r="A703" s="1">
        <v>45576.641516203701</v>
      </c>
      <c r="B703" s="1">
        <f>INT(smart_dataset[[#This Row],[Timestamp]])</f>
        <v>45576</v>
      </c>
      <c r="C703" s="1">
        <f>MOD(smart_dataset[[#This Row],[Timestamp]],1)</f>
        <v>0.64151620370103046</v>
      </c>
      <c r="D703" s="1">
        <f>YEAR(smart_dataset[[#This Row],[Date]])</f>
        <v>2024</v>
      </c>
      <c r="E703" s="1">
        <f>MONTH(smart_dataset[[#This Row],[Timestamp]])</f>
        <v>10</v>
      </c>
      <c r="F703" t="s">
        <v>32</v>
      </c>
      <c r="G703">
        <v>45.046999999999997</v>
      </c>
      <c r="H703">
        <v>69.701400000000007</v>
      </c>
      <c r="I703">
        <v>403</v>
      </c>
      <c r="J703" t="s">
        <v>21</v>
      </c>
      <c r="K703">
        <v>28.2</v>
      </c>
      <c r="L703">
        <v>76.099999999999994</v>
      </c>
      <c r="M703" t="s">
        <v>22</v>
      </c>
      <c r="N703">
        <v>51</v>
      </c>
      <c r="O703">
        <v>457</v>
      </c>
      <c r="P703">
        <v>7</v>
      </c>
      <c r="Q703" t="s">
        <v>27</v>
      </c>
      <c r="R703">
        <v>73.900000000000006</v>
      </c>
      <c r="S703">
        <v>229</v>
      </c>
      <c r="T703">
        <v>1</v>
      </c>
      <c r="U703" t="str" cm="1">
        <f t="array" ref="U703">_xlfn.IFS(smart_dataset[[#This Row],[Waiting_Time]]&lt;=20,"Low",smart_dataset[[#This Row],[Waiting_Time]]&lt;=40,"Medium",TRUE,"High")</f>
        <v>High</v>
      </c>
      <c r="V703" t="str" cm="1">
        <f t="array" ref="V703">_xlfn.IFS(smart_dataset[[#This Row],[Temperature]]&lt;=20,"Cold",smart_dataset[[#This Row],[Temperature]]&lt;=28,"Normal",TRUE,"Hot")</f>
        <v>Hot</v>
      </c>
      <c r="W703" t="str" cm="1">
        <f t="array" ref="W703">_xlfn.IFS(smart_dataset[[#This Row],[Asset_Utilization]]&lt;=75,"Low",smart_dataset[[#This Row],[Asset_Utilization]]&lt;=90,"Medium",TRUE,"High")</f>
        <v>Low</v>
      </c>
    </row>
    <row r="704" spans="1:23" x14ac:dyDescent="0.25">
      <c r="A704" s="1">
        <v>45470.685648148145</v>
      </c>
      <c r="B704" s="1">
        <f>INT(smart_dataset[[#This Row],[Timestamp]])</f>
        <v>45470</v>
      </c>
      <c r="C704" s="7">
        <f>MOD(smart_dataset[[#This Row],[Timestamp]],1)</f>
        <v>0.68564814814453712</v>
      </c>
      <c r="D704">
        <f>YEAR(smart_dataset[[#This Row],[Date]])</f>
        <v>2024</v>
      </c>
      <c r="E704">
        <f>MONTH(smart_dataset[[#This Row],[Timestamp]])</f>
        <v>6</v>
      </c>
      <c r="F704" t="s">
        <v>30</v>
      </c>
      <c r="G704">
        <v>-15.8011</v>
      </c>
      <c r="H704">
        <v>138.77850000000001</v>
      </c>
      <c r="I704">
        <v>426</v>
      </c>
      <c r="J704" t="s">
        <v>21</v>
      </c>
      <c r="K704">
        <v>22</v>
      </c>
      <c r="L704">
        <v>73.099999999999994</v>
      </c>
      <c r="M704" t="s">
        <v>28</v>
      </c>
      <c r="N704">
        <v>29</v>
      </c>
      <c r="O704">
        <v>392</v>
      </c>
      <c r="P704">
        <v>5</v>
      </c>
      <c r="Q704" t="s">
        <v>19</v>
      </c>
      <c r="R704">
        <v>94.6</v>
      </c>
      <c r="S704">
        <v>236</v>
      </c>
      <c r="T704">
        <v>0</v>
      </c>
      <c r="U704" t="str" cm="1">
        <f t="array" ref="U704">_xlfn.IFS(smart_dataset[[#This Row],[Waiting_Time]]&lt;=20,"Low",smart_dataset[[#This Row],[Waiting_Time]]&lt;=40,"Medium",TRUE,"High")</f>
        <v>Medium</v>
      </c>
      <c r="V704" t="str" cm="1">
        <f t="array" ref="V704">_xlfn.IFS(smart_dataset[[#This Row],[Temperature]]&lt;=20,"Cold",smart_dataset[[#This Row],[Temperature]]&lt;=28,"Normal",TRUE,"Hot")</f>
        <v>Normal</v>
      </c>
      <c r="W704" t="str" cm="1">
        <f t="array" ref="W704">_xlfn.IFS(smart_dataset[[#This Row],[Asset_Utilization]]&lt;=75,"Low",smart_dataset[[#This Row],[Asset_Utilization]]&lt;=90,"Medium",TRUE,"High")</f>
        <v>High</v>
      </c>
    </row>
    <row r="705" spans="1:23" x14ac:dyDescent="0.25">
      <c r="A705" s="1">
        <v>45545.824594907404</v>
      </c>
      <c r="B705" s="1">
        <f>INT(smart_dataset[[#This Row],[Timestamp]])</f>
        <v>45545</v>
      </c>
      <c r="C705" s="7">
        <f>MOD(smart_dataset[[#This Row],[Timestamp]],1)</f>
        <v>0.82459490740438923</v>
      </c>
      <c r="D705">
        <f>YEAR(smart_dataset[[#This Row],[Date]])</f>
        <v>2024</v>
      </c>
      <c r="E705">
        <f>MONTH(smart_dataset[[#This Row],[Timestamp]])</f>
        <v>9</v>
      </c>
      <c r="F705" t="s">
        <v>16</v>
      </c>
      <c r="G705">
        <v>-30.856400000000001</v>
      </c>
      <c r="H705">
        <v>26.7562</v>
      </c>
      <c r="I705">
        <v>368</v>
      </c>
      <c r="J705" t="s">
        <v>17</v>
      </c>
      <c r="K705">
        <v>26.6</v>
      </c>
      <c r="L705">
        <v>74.900000000000006</v>
      </c>
      <c r="M705" t="s">
        <v>18</v>
      </c>
      <c r="N705">
        <v>28</v>
      </c>
      <c r="O705">
        <v>341</v>
      </c>
      <c r="P705">
        <v>6</v>
      </c>
      <c r="Q705" t="s">
        <v>19</v>
      </c>
      <c r="R705">
        <v>97.1</v>
      </c>
      <c r="S705">
        <v>217</v>
      </c>
      <c r="T705">
        <v>1</v>
      </c>
      <c r="U705" t="str" cm="1">
        <f t="array" ref="U705">_xlfn.IFS(smart_dataset[[#This Row],[Waiting_Time]]&lt;=20,"Low",smart_dataset[[#This Row],[Waiting_Time]]&lt;=40,"Medium",TRUE,"High")</f>
        <v>Medium</v>
      </c>
      <c r="V705" t="str" cm="1">
        <f t="array" ref="V705">_xlfn.IFS(smart_dataset[[#This Row],[Temperature]]&lt;=20,"Cold",smart_dataset[[#This Row],[Temperature]]&lt;=28,"Normal",TRUE,"Hot")</f>
        <v>Normal</v>
      </c>
      <c r="W705" t="str" cm="1">
        <f t="array" ref="W705">_xlfn.IFS(smart_dataset[[#This Row],[Asset_Utilization]]&lt;=75,"Low",smart_dataset[[#This Row],[Asset_Utilization]]&lt;=90,"Medium",TRUE,"High")</f>
        <v>High</v>
      </c>
    </row>
    <row r="706" spans="1:23" hidden="1" x14ac:dyDescent="0.25">
      <c r="A706" s="1">
        <v>45475.546423611115</v>
      </c>
      <c r="B706" s="1">
        <f>INT(smart_dataset[[#This Row],[Timestamp]])</f>
        <v>45475</v>
      </c>
      <c r="C706" s="1">
        <f>MOD(smart_dataset[[#This Row],[Timestamp]],1)</f>
        <v>0.54642361111473292</v>
      </c>
      <c r="D706" s="1">
        <f>YEAR(smart_dataset[[#This Row],[Date]])</f>
        <v>2024</v>
      </c>
      <c r="E706" s="1">
        <f>MONTH(smart_dataset[[#This Row],[Timestamp]])</f>
        <v>7</v>
      </c>
      <c r="F706" t="s">
        <v>25</v>
      </c>
      <c r="G706">
        <v>16.029599999999999</v>
      </c>
      <c r="H706">
        <v>-36.334899999999998</v>
      </c>
      <c r="I706">
        <v>173</v>
      </c>
      <c r="J706" t="s">
        <v>17</v>
      </c>
      <c r="K706">
        <v>24.9</v>
      </c>
      <c r="L706">
        <v>58.1</v>
      </c>
      <c r="M706" t="s">
        <v>28</v>
      </c>
      <c r="N706">
        <v>34</v>
      </c>
      <c r="O706">
        <v>287</v>
      </c>
      <c r="P706">
        <v>9</v>
      </c>
      <c r="Q706" t="s">
        <v>31</v>
      </c>
      <c r="R706">
        <v>96.8</v>
      </c>
      <c r="S706">
        <v>131</v>
      </c>
      <c r="T706">
        <v>1</v>
      </c>
      <c r="U706" t="str" cm="1">
        <f t="array" ref="U706">_xlfn.IFS(smart_dataset[[#This Row],[Waiting_Time]]&lt;=20,"Low",smart_dataset[[#This Row],[Waiting_Time]]&lt;=40,"Medium",TRUE,"High")</f>
        <v>Medium</v>
      </c>
      <c r="V706" t="str" cm="1">
        <f t="array" ref="V706">_xlfn.IFS(smart_dataset[[#This Row],[Temperature]]&lt;=20,"Cold",smart_dataset[[#This Row],[Temperature]]&lt;=28,"Normal",TRUE,"Hot")</f>
        <v>Normal</v>
      </c>
      <c r="W706" t="str" cm="1">
        <f t="array" ref="W706">_xlfn.IFS(smart_dataset[[#This Row],[Asset_Utilization]]&lt;=75,"Low",smart_dataset[[#This Row],[Asset_Utilization]]&lt;=90,"Medium",TRUE,"High")</f>
        <v>High</v>
      </c>
    </row>
    <row r="707" spans="1:23" hidden="1" x14ac:dyDescent="0.25">
      <c r="A707" s="1">
        <v>45535.846493055556</v>
      </c>
      <c r="B707" s="1">
        <f>INT(smart_dataset[[#This Row],[Timestamp]])</f>
        <v>45535</v>
      </c>
      <c r="C707" s="1">
        <f>MOD(smart_dataset[[#This Row],[Timestamp]],1)</f>
        <v>0.84649305555649335</v>
      </c>
      <c r="D707" s="1">
        <f>YEAR(smart_dataset[[#This Row],[Date]])</f>
        <v>2024</v>
      </c>
      <c r="E707" s="1">
        <f>MONTH(smart_dataset[[#This Row],[Timestamp]])</f>
        <v>8</v>
      </c>
      <c r="F707" t="s">
        <v>25</v>
      </c>
      <c r="G707">
        <v>81.396199999999993</v>
      </c>
      <c r="H707">
        <v>-79.619299999999996</v>
      </c>
      <c r="I707">
        <v>371</v>
      </c>
      <c r="J707" t="s">
        <v>21</v>
      </c>
      <c r="K707">
        <v>22.9</v>
      </c>
      <c r="L707">
        <v>67.2</v>
      </c>
      <c r="M707" t="s">
        <v>22</v>
      </c>
      <c r="N707">
        <v>35</v>
      </c>
      <c r="O707">
        <v>121</v>
      </c>
      <c r="P707">
        <v>8</v>
      </c>
      <c r="Q707" t="s">
        <v>23</v>
      </c>
      <c r="R707">
        <v>90.9</v>
      </c>
      <c r="S707">
        <v>213</v>
      </c>
      <c r="T707">
        <v>1</v>
      </c>
      <c r="U707" t="str" cm="1">
        <f t="array" ref="U707">_xlfn.IFS(smart_dataset[[#This Row],[Waiting_Time]]&lt;=20,"Low",smart_dataset[[#This Row],[Waiting_Time]]&lt;=40,"Medium",TRUE,"High")</f>
        <v>Medium</v>
      </c>
      <c r="V707" t="str" cm="1">
        <f t="array" ref="V707">_xlfn.IFS(smart_dataset[[#This Row],[Temperature]]&lt;=20,"Cold",smart_dataset[[#This Row],[Temperature]]&lt;=28,"Normal",TRUE,"Hot")</f>
        <v>Normal</v>
      </c>
      <c r="W707" t="str" cm="1">
        <f t="array" ref="W707">_xlfn.IFS(smart_dataset[[#This Row],[Asset_Utilization]]&lt;=75,"Low",smart_dataset[[#This Row],[Asset_Utilization]]&lt;=90,"Medium",TRUE,"High")</f>
        <v>High</v>
      </c>
    </row>
    <row r="708" spans="1:23" hidden="1" x14ac:dyDescent="0.25">
      <c r="A708" s="1">
        <v>45486.016655092593</v>
      </c>
      <c r="B708" s="1">
        <f>INT(smart_dataset[[#This Row],[Timestamp]])</f>
        <v>45486</v>
      </c>
      <c r="C708" s="1">
        <f>MOD(smart_dataset[[#This Row],[Timestamp]],1)</f>
        <v>1.6655092593282461E-2</v>
      </c>
      <c r="D708" s="1">
        <f>YEAR(smart_dataset[[#This Row],[Date]])</f>
        <v>2024</v>
      </c>
      <c r="E708" s="1">
        <f>MONTH(smart_dataset[[#This Row],[Timestamp]])</f>
        <v>7</v>
      </c>
      <c r="F708" t="s">
        <v>29</v>
      </c>
      <c r="G708">
        <v>77.543599999999998</v>
      </c>
      <c r="H708">
        <v>-156.24789999999999</v>
      </c>
      <c r="I708">
        <v>199</v>
      </c>
      <c r="J708" t="s">
        <v>17</v>
      </c>
      <c r="K708">
        <v>28.5</v>
      </c>
      <c r="L708">
        <v>68.8</v>
      </c>
      <c r="M708" t="s">
        <v>22</v>
      </c>
      <c r="N708">
        <v>18</v>
      </c>
      <c r="O708">
        <v>201</v>
      </c>
      <c r="P708">
        <v>2</v>
      </c>
      <c r="Q708" t="s">
        <v>31</v>
      </c>
      <c r="R708">
        <v>71.2</v>
      </c>
      <c r="S708">
        <v>181</v>
      </c>
      <c r="T708">
        <v>1</v>
      </c>
      <c r="U708" t="str" cm="1">
        <f t="array" ref="U708">_xlfn.IFS(smart_dataset[[#This Row],[Waiting_Time]]&lt;=20,"Low",smart_dataset[[#This Row],[Waiting_Time]]&lt;=40,"Medium",TRUE,"High")</f>
        <v>Low</v>
      </c>
      <c r="V708" t="str" cm="1">
        <f t="array" ref="V708">_xlfn.IFS(smart_dataset[[#This Row],[Temperature]]&lt;=20,"Cold",smart_dataset[[#This Row],[Temperature]]&lt;=28,"Normal",TRUE,"Hot")</f>
        <v>Hot</v>
      </c>
      <c r="W708" t="str" cm="1">
        <f t="array" ref="W708">_xlfn.IFS(smart_dataset[[#This Row],[Asset_Utilization]]&lt;=75,"Low",smart_dataset[[#This Row],[Asset_Utilization]]&lt;=90,"Medium",TRUE,"High")</f>
        <v>Low</v>
      </c>
    </row>
    <row r="709" spans="1:23" hidden="1" x14ac:dyDescent="0.25">
      <c r="A709" s="1">
        <v>45482.425486111111</v>
      </c>
      <c r="B709" s="1">
        <f>INT(smart_dataset[[#This Row],[Timestamp]])</f>
        <v>45482</v>
      </c>
      <c r="C709" s="1">
        <f>MOD(smart_dataset[[#This Row],[Timestamp]],1)</f>
        <v>0.42548611111124046</v>
      </c>
      <c r="D709" s="1">
        <f>YEAR(smart_dataset[[#This Row],[Date]])</f>
        <v>2024</v>
      </c>
      <c r="E709" s="1">
        <f>MONTH(smart_dataset[[#This Row],[Timestamp]])</f>
        <v>7</v>
      </c>
      <c r="F709" t="s">
        <v>29</v>
      </c>
      <c r="G709">
        <v>51.804699999999997</v>
      </c>
      <c r="H709">
        <v>66.019300000000001</v>
      </c>
      <c r="I709">
        <v>319</v>
      </c>
      <c r="J709" t="s">
        <v>21</v>
      </c>
      <c r="K709">
        <v>22.3</v>
      </c>
      <c r="L709">
        <v>50.8</v>
      </c>
      <c r="M709" t="s">
        <v>28</v>
      </c>
      <c r="N709">
        <v>52</v>
      </c>
      <c r="O709">
        <v>188</v>
      </c>
      <c r="P709">
        <v>8</v>
      </c>
      <c r="Q709" t="s">
        <v>27</v>
      </c>
      <c r="R709">
        <v>66.400000000000006</v>
      </c>
      <c r="S709">
        <v>153</v>
      </c>
      <c r="T709">
        <v>0</v>
      </c>
      <c r="U709" t="str" cm="1">
        <f t="array" ref="U709">_xlfn.IFS(smart_dataset[[#This Row],[Waiting_Time]]&lt;=20,"Low",smart_dataset[[#This Row],[Waiting_Time]]&lt;=40,"Medium",TRUE,"High")</f>
        <v>High</v>
      </c>
      <c r="V709" t="str" cm="1">
        <f t="array" ref="V709">_xlfn.IFS(smart_dataset[[#This Row],[Temperature]]&lt;=20,"Cold",smart_dataset[[#This Row],[Temperature]]&lt;=28,"Normal",TRUE,"Hot")</f>
        <v>Normal</v>
      </c>
      <c r="W709" t="str" cm="1">
        <f t="array" ref="W709">_xlfn.IFS(smart_dataset[[#This Row],[Asset_Utilization]]&lt;=75,"Low",smart_dataset[[#This Row],[Asset_Utilization]]&lt;=90,"Medium",TRUE,"High")</f>
        <v>Low</v>
      </c>
    </row>
    <row r="710" spans="1:23" x14ac:dyDescent="0.25">
      <c r="A710" s="1">
        <v>45418.998773148145</v>
      </c>
      <c r="B710" s="1">
        <f>INT(smart_dataset[[#This Row],[Timestamp]])</f>
        <v>45418</v>
      </c>
      <c r="C710" s="7">
        <f>MOD(smart_dataset[[#This Row],[Timestamp]],1)</f>
        <v>0.99877314814511919</v>
      </c>
      <c r="D710">
        <f>YEAR(smart_dataset[[#This Row],[Date]])</f>
        <v>2024</v>
      </c>
      <c r="E710">
        <f>MONTH(smart_dataset[[#This Row],[Timestamp]])</f>
        <v>5</v>
      </c>
      <c r="F710" t="s">
        <v>29</v>
      </c>
      <c r="G710">
        <v>37.552300000000002</v>
      </c>
      <c r="H710">
        <v>145.19730000000001</v>
      </c>
      <c r="I710">
        <v>437</v>
      </c>
      <c r="J710" t="s">
        <v>21</v>
      </c>
      <c r="K710">
        <v>29.1</v>
      </c>
      <c r="L710">
        <v>76.5</v>
      </c>
      <c r="M710" t="s">
        <v>28</v>
      </c>
      <c r="N710">
        <v>46</v>
      </c>
      <c r="O710">
        <v>122</v>
      </c>
      <c r="P710">
        <v>10</v>
      </c>
      <c r="Q710" t="s">
        <v>19</v>
      </c>
      <c r="R710">
        <v>73.599999999999994</v>
      </c>
      <c r="S710">
        <v>111</v>
      </c>
      <c r="T710">
        <v>0</v>
      </c>
      <c r="U710" t="str" cm="1">
        <f t="array" ref="U710">_xlfn.IFS(smart_dataset[[#This Row],[Waiting_Time]]&lt;=20,"Low",smart_dataset[[#This Row],[Waiting_Time]]&lt;=40,"Medium",TRUE,"High")</f>
        <v>High</v>
      </c>
      <c r="V710" t="str" cm="1">
        <f t="array" ref="V710">_xlfn.IFS(smart_dataset[[#This Row],[Temperature]]&lt;=20,"Cold",smart_dataset[[#This Row],[Temperature]]&lt;=28,"Normal",TRUE,"Hot")</f>
        <v>Hot</v>
      </c>
      <c r="W710" t="str" cm="1">
        <f t="array" ref="W710">_xlfn.IFS(smart_dataset[[#This Row],[Asset_Utilization]]&lt;=75,"Low",smart_dataset[[#This Row],[Asset_Utilization]]&lt;=90,"Medium",TRUE,"High")</f>
        <v>Low</v>
      </c>
    </row>
    <row r="711" spans="1:23" hidden="1" x14ac:dyDescent="0.25">
      <c r="A711" s="1">
        <v>45298.625439814816</v>
      </c>
      <c r="B711" s="1">
        <f>INT(smart_dataset[[#This Row],[Timestamp]])</f>
        <v>45298</v>
      </c>
      <c r="C711" s="1">
        <f>MOD(smart_dataset[[#This Row],[Timestamp]],1)</f>
        <v>0.62543981481576338</v>
      </c>
      <c r="D711" s="1">
        <f>YEAR(smart_dataset[[#This Row],[Date]])</f>
        <v>2024</v>
      </c>
      <c r="E711" s="1">
        <f>MONTH(smart_dataset[[#This Row],[Timestamp]])</f>
        <v>1</v>
      </c>
      <c r="F711" t="s">
        <v>25</v>
      </c>
      <c r="G711">
        <v>30.587499999999999</v>
      </c>
      <c r="H711">
        <v>132.73089999999999</v>
      </c>
      <c r="I711">
        <v>203</v>
      </c>
      <c r="J711" t="s">
        <v>17</v>
      </c>
      <c r="K711">
        <v>19.2</v>
      </c>
      <c r="L711">
        <v>63.6</v>
      </c>
      <c r="M711" t="s">
        <v>22</v>
      </c>
      <c r="N711">
        <v>31</v>
      </c>
      <c r="O711">
        <v>123</v>
      </c>
      <c r="P711">
        <v>9</v>
      </c>
      <c r="Q711" t="s">
        <v>31</v>
      </c>
      <c r="R711">
        <v>84.1</v>
      </c>
      <c r="S711">
        <v>270</v>
      </c>
      <c r="T711">
        <v>1</v>
      </c>
      <c r="U711" t="str" cm="1">
        <f t="array" ref="U711">_xlfn.IFS(smart_dataset[[#This Row],[Waiting_Time]]&lt;=20,"Low",smart_dataset[[#This Row],[Waiting_Time]]&lt;=40,"Medium",TRUE,"High")</f>
        <v>Medium</v>
      </c>
      <c r="V711" t="str" cm="1">
        <f t="array" ref="V711">_xlfn.IFS(smart_dataset[[#This Row],[Temperature]]&lt;=20,"Cold",smart_dataset[[#This Row],[Temperature]]&lt;=28,"Normal",TRUE,"Hot")</f>
        <v>Cold</v>
      </c>
      <c r="W711" t="str" cm="1">
        <f t="array" ref="W711">_xlfn.IFS(smart_dataset[[#This Row],[Asset_Utilization]]&lt;=75,"Low",smart_dataset[[#This Row],[Asset_Utilization]]&lt;=90,"Medium",TRUE,"High")</f>
        <v>Medium</v>
      </c>
    </row>
    <row r="712" spans="1:23" hidden="1" x14ac:dyDescent="0.25">
      <c r="A712" s="1">
        <v>45359.751921296294</v>
      </c>
      <c r="B712" s="1">
        <f>INT(smart_dataset[[#This Row],[Timestamp]])</f>
        <v>45359</v>
      </c>
      <c r="C712" s="1">
        <f>MOD(smart_dataset[[#This Row],[Timestamp]],1)</f>
        <v>0.75192129629431292</v>
      </c>
      <c r="D712" s="1">
        <f>YEAR(smart_dataset[[#This Row],[Date]])</f>
        <v>2024</v>
      </c>
      <c r="E712" s="1">
        <f>MONTH(smart_dataset[[#This Row],[Timestamp]])</f>
        <v>3</v>
      </c>
      <c r="F712" t="s">
        <v>32</v>
      </c>
      <c r="G712">
        <v>-86.927599999999998</v>
      </c>
      <c r="H712">
        <v>120.7534</v>
      </c>
      <c r="I712">
        <v>466</v>
      </c>
      <c r="J712" t="s">
        <v>21</v>
      </c>
      <c r="K712">
        <v>26.3</v>
      </c>
      <c r="L712">
        <v>70.400000000000006</v>
      </c>
      <c r="M712" t="s">
        <v>22</v>
      </c>
      <c r="N712">
        <v>53</v>
      </c>
      <c r="O712">
        <v>291</v>
      </c>
      <c r="P712">
        <v>8</v>
      </c>
      <c r="Q712" t="s">
        <v>23</v>
      </c>
      <c r="R712">
        <v>62.1</v>
      </c>
      <c r="S712">
        <v>287</v>
      </c>
      <c r="T712">
        <v>1</v>
      </c>
      <c r="U712" t="str" cm="1">
        <f t="array" ref="U712">_xlfn.IFS(smart_dataset[[#This Row],[Waiting_Time]]&lt;=20,"Low",smart_dataset[[#This Row],[Waiting_Time]]&lt;=40,"Medium",TRUE,"High")</f>
        <v>High</v>
      </c>
      <c r="V712" t="str" cm="1">
        <f t="array" ref="V712">_xlfn.IFS(smart_dataset[[#This Row],[Temperature]]&lt;=20,"Cold",smart_dataset[[#This Row],[Temperature]]&lt;=28,"Normal",TRUE,"Hot")</f>
        <v>Normal</v>
      </c>
      <c r="W712" t="str" cm="1">
        <f t="array" ref="W712">_xlfn.IFS(smart_dataset[[#This Row],[Asset_Utilization]]&lt;=75,"Low",smart_dataset[[#This Row],[Asset_Utilization]]&lt;=90,"Medium",TRUE,"High")</f>
        <v>Low</v>
      </c>
    </row>
    <row r="713" spans="1:23" x14ac:dyDescent="0.25">
      <c r="A713" s="1">
        <v>45355.393275462964</v>
      </c>
      <c r="B713" s="1">
        <f>INT(smart_dataset[[#This Row],[Timestamp]])</f>
        <v>45355</v>
      </c>
      <c r="C713" s="7">
        <f>MOD(smart_dataset[[#This Row],[Timestamp]],1)</f>
        <v>0.393275462964084</v>
      </c>
      <c r="D713">
        <f>YEAR(smart_dataset[[#This Row],[Date]])</f>
        <v>2024</v>
      </c>
      <c r="E713">
        <f>MONTH(smart_dataset[[#This Row],[Timestamp]])</f>
        <v>3</v>
      </c>
      <c r="F713" t="s">
        <v>32</v>
      </c>
      <c r="G713">
        <v>-44.6569</v>
      </c>
      <c r="H713">
        <v>129.86250000000001</v>
      </c>
      <c r="I713">
        <v>418</v>
      </c>
      <c r="J713" t="s">
        <v>21</v>
      </c>
      <c r="K713">
        <v>22.9</v>
      </c>
      <c r="L713">
        <v>62</v>
      </c>
      <c r="M713" t="s">
        <v>18</v>
      </c>
      <c r="N713">
        <v>26</v>
      </c>
      <c r="O713">
        <v>405</v>
      </c>
      <c r="P713">
        <v>1</v>
      </c>
      <c r="Q713" t="s">
        <v>19</v>
      </c>
      <c r="R713">
        <v>62.3</v>
      </c>
      <c r="S713">
        <v>124</v>
      </c>
      <c r="T713">
        <v>0</v>
      </c>
      <c r="U713" t="str" cm="1">
        <f t="array" ref="U713">_xlfn.IFS(smart_dataset[[#This Row],[Waiting_Time]]&lt;=20,"Low",smart_dataset[[#This Row],[Waiting_Time]]&lt;=40,"Medium",TRUE,"High")</f>
        <v>Medium</v>
      </c>
      <c r="V713" t="str" cm="1">
        <f t="array" ref="V713">_xlfn.IFS(smart_dataset[[#This Row],[Temperature]]&lt;=20,"Cold",smart_dataset[[#This Row],[Temperature]]&lt;=28,"Normal",TRUE,"Hot")</f>
        <v>Normal</v>
      </c>
      <c r="W713" t="str" cm="1">
        <f t="array" ref="W713">_xlfn.IFS(smart_dataset[[#This Row],[Asset_Utilization]]&lt;=75,"Low",smart_dataset[[#This Row],[Asset_Utilization]]&lt;=90,"Medium",TRUE,"High")</f>
        <v>Low</v>
      </c>
    </row>
    <row r="714" spans="1:23" hidden="1" x14ac:dyDescent="0.25">
      <c r="A714" s="1">
        <v>45577.296620370369</v>
      </c>
      <c r="B714" s="1">
        <f>INT(smart_dataset[[#This Row],[Timestamp]])</f>
        <v>45577</v>
      </c>
      <c r="C714" s="1">
        <f>MOD(smart_dataset[[#This Row],[Timestamp]],1)</f>
        <v>0.29662037036905531</v>
      </c>
      <c r="D714" s="1">
        <f>YEAR(smart_dataset[[#This Row],[Date]])</f>
        <v>2024</v>
      </c>
      <c r="E714" s="1">
        <f>MONTH(smart_dataset[[#This Row],[Timestamp]])</f>
        <v>10</v>
      </c>
      <c r="F714" t="s">
        <v>16</v>
      </c>
      <c r="G714">
        <v>53.818600000000004</v>
      </c>
      <c r="H714">
        <v>-158.42519999999999</v>
      </c>
      <c r="I714">
        <v>124</v>
      </c>
      <c r="J714" t="s">
        <v>17</v>
      </c>
      <c r="K714">
        <v>26.7</v>
      </c>
      <c r="L714">
        <v>50.1</v>
      </c>
      <c r="M714" t="s">
        <v>28</v>
      </c>
      <c r="N714">
        <v>10</v>
      </c>
      <c r="O714">
        <v>460</v>
      </c>
      <c r="P714">
        <v>5</v>
      </c>
      <c r="Q714" t="s">
        <v>31</v>
      </c>
      <c r="R714">
        <v>69.400000000000006</v>
      </c>
      <c r="S714">
        <v>130</v>
      </c>
      <c r="T714">
        <v>1</v>
      </c>
      <c r="U714" t="str" cm="1">
        <f t="array" ref="U714">_xlfn.IFS(smart_dataset[[#This Row],[Waiting_Time]]&lt;=20,"Low",smart_dataset[[#This Row],[Waiting_Time]]&lt;=40,"Medium",TRUE,"High")</f>
        <v>Low</v>
      </c>
      <c r="V714" t="str" cm="1">
        <f t="array" ref="V714">_xlfn.IFS(smart_dataset[[#This Row],[Temperature]]&lt;=20,"Cold",smart_dataset[[#This Row],[Temperature]]&lt;=28,"Normal",TRUE,"Hot")</f>
        <v>Normal</v>
      </c>
      <c r="W714" t="str" cm="1">
        <f t="array" ref="W714">_xlfn.IFS(smart_dataset[[#This Row],[Asset_Utilization]]&lt;=75,"Low",smart_dataset[[#This Row],[Asset_Utilization]]&lt;=90,"Medium",TRUE,"High")</f>
        <v>Low</v>
      </c>
    </row>
    <row r="715" spans="1:23" hidden="1" x14ac:dyDescent="0.25">
      <c r="A715" s="1">
        <v>45511.220231481479</v>
      </c>
      <c r="B715" s="1">
        <f>INT(smart_dataset[[#This Row],[Timestamp]])</f>
        <v>45511</v>
      </c>
      <c r="C715" s="1">
        <f>MOD(smart_dataset[[#This Row],[Timestamp]],1)</f>
        <v>0.22023148147854954</v>
      </c>
      <c r="D715" s="1">
        <f>YEAR(smart_dataset[[#This Row],[Date]])</f>
        <v>2024</v>
      </c>
      <c r="E715" s="1">
        <f>MONTH(smart_dataset[[#This Row],[Timestamp]])</f>
        <v>8</v>
      </c>
      <c r="F715" t="s">
        <v>35</v>
      </c>
      <c r="G715">
        <v>26.022600000000001</v>
      </c>
      <c r="H715">
        <v>103.2098</v>
      </c>
      <c r="I715">
        <v>322</v>
      </c>
      <c r="J715" t="s">
        <v>17</v>
      </c>
      <c r="K715">
        <v>25</v>
      </c>
      <c r="L715">
        <v>57.7</v>
      </c>
      <c r="M715" t="s">
        <v>28</v>
      </c>
      <c r="N715">
        <v>15</v>
      </c>
      <c r="O715">
        <v>190</v>
      </c>
      <c r="P715">
        <v>4</v>
      </c>
      <c r="Q715" t="s">
        <v>27</v>
      </c>
      <c r="R715">
        <v>86.8</v>
      </c>
      <c r="S715">
        <v>159</v>
      </c>
      <c r="T715">
        <v>1</v>
      </c>
      <c r="U715" t="str" cm="1">
        <f t="array" ref="U715">_xlfn.IFS(smart_dataset[[#This Row],[Waiting_Time]]&lt;=20,"Low",smart_dataset[[#This Row],[Waiting_Time]]&lt;=40,"Medium",TRUE,"High")</f>
        <v>Low</v>
      </c>
      <c r="V715" t="str" cm="1">
        <f t="array" ref="V715">_xlfn.IFS(smart_dataset[[#This Row],[Temperature]]&lt;=20,"Cold",smart_dataset[[#This Row],[Temperature]]&lt;=28,"Normal",TRUE,"Hot")</f>
        <v>Normal</v>
      </c>
      <c r="W715" t="str" cm="1">
        <f t="array" ref="W715">_xlfn.IFS(smart_dataset[[#This Row],[Asset_Utilization]]&lt;=75,"Low",smart_dataset[[#This Row],[Asset_Utilization]]&lt;=90,"Medium",TRUE,"High")</f>
        <v>Medium</v>
      </c>
    </row>
    <row r="716" spans="1:23" hidden="1" x14ac:dyDescent="0.25">
      <c r="A716" s="1">
        <v>45378.875509259262</v>
      </c>
      <c r="B716" s="1">
        <f>INT(smart_dataset[[#This Row],[Timestamp]])</f>
        <v>45378</v>
      </c>
      <c r="C716" s="1">
        <f>MOD(smart_dataset[[#This Row],[Timestamp]],1)</f>
        <v>0.87550925926188938</v>
      </c>
      <c r="D716" s="1">
        <f>YEAR(smart_dataset[[#This Row],[Date]])</f>
        <v>2024</v>
      </c>
      <c r="E716" s="1">
        <f>MONTH(smart_dataset[[#This Row],[Timestamp]])</f>
        <v>3</v>
      </c>
      <c r="F716" t="s">
        <v>32</v>
      </c>
      <c r="G716">
        <v>14.1508</v>
      </c>
      <c r="H716">
        <v>-54.465899999999998</v>
      </c>
      <c r="I716">
        <v>351</v>
      </c>
      <c r="J716" t="s">
        <v>26</v>
      </c>
      <c r="K716">
        <v>25.1</v>
      </c>
      <c r="L716">
        <v>74.2</v>
      </c>
      <c r="M716" t="s">
        <v>22</v>
      </c>
      <c r="N716">
        <v>54</v>
      </c>
      <c r="O716">
        <v>223</v>
      </c>
      <c r="P716">
        <v>9</v>
      </c>
      <c r="Q716" t="s">
        <v>27</v>
      </c>
      <c r="R716">
        <v>62.2</v>
      </c>
      <c r="S716">
        <v>267</v>
      </c>
      <c r="T716">
        <v>1</v>
      </c>
      <c r="U716" t="str" cm="1">
        <f t="array" ref="U716">_xlfn.IFS(smart_dataset[[#This Row],[Waiting_Time]]&lt;=20,"Low",smart_dataset[[#This Row],[Waiting_Time]]&lt;=40,"Medium",TRUE,"High")</f>
        <v>High</v>
      </c>
      <c r="V716" t="str" cm="1">
        <f t="array" ref="V716">_xlfn.IFS(smart_dataset[[#This Row],[Temperature]]&lt;=20,"Cold",smart_dataset[[#This Row],[Temperature]]&lt;=28,"Normal",TRUE,"Hot")</f>
        <v>Normal</v>
      </c>
      <c r="W716" t="str" cm="1">
        <f t="array" ref="W716">_xlfn.IFS(smart_dataset[[#This Row],[Asset_Utilization]]&lt;=75,"Low",smart_dataset[[#This Row],[Asset_Utilization]]&lt;=90,"Medium",TRUE,"High")</f>
        <v>Low</v>
      </c>
    </row>
    <row r="717" spans="1:23" hidden="1" x14ac:dyDescent="0.25">
      <c r="A717" s="1">
        <v>45568.31890046296</v>
      </c>
      <c r="B717" s="1">
        <f>INT(smart_dataset[[#This Row],[Timestamp]])</f>
        <v>45568</v>
      </c>
      <c r="C717" s="1">
        <f>MOD(smart_dataset[[#This Row],[Timestamp]],1)</f>
        <v>0.3189004629603005</v>
      </c>
      <c r="D717" s="1">
        <f>YEAR(smart_dataset[[#This Row],[Date]])</f>
        <v>2024</v>
      </c>
      <c r="E717" s="1">
        <f>MONTH(smart_dataset[[#This Row],[Timestamp]])</f>
        <v>10</v>
      </c>
      <c r="F717" t="s">
        <v>29</v>
      </c>
      <c r="G717">
        <v>22.835599999999999</v>
      </c>
      <c r="H717">
        <v>-12.872999999999999</v>
      </c>
      <c r="I717">
        <v>350</v>
      </c>
      <c r="J717" t="s">
        <v>21</v>
      </c>
      <c r="K717">
        <v>27</v>
      </c>
      <c r="L717">
        <v>66.7</v>
      </c>
      <c r="M717" t="s">
        <v>18</v>
      </c>
      <c r="N717">
        <v>56</v>
      </c>
      <c r="O717">
        <v>207</v>
      </c>
      <c r="P717">
        <v>2</v>
      </c>
      <c r="Q717" t="s">
        <v>31</v>
      </c>
      <c r="R717">
        <v>64</v>
      </c>
      <c r="S717">
        <v>248</v>
      </c>
      <c r="T717">
        <v>0</v>
      </c>
      <c r="U717" t="str" cm="1">
        <f t="array" ref="U717">_xlfn.IFS(smart_dataset[[#This Row],[Waiting_Time]]&lt;=20,"Low",smart_dataset[[#This Row],[Waiting_Time]]&lt;=40,"Medium",TRUE,"High")</f>
        <v>High</v>
      </c>
      <c r="V717" t="str" cm="1">
        <f t="array" ref="V717">_xlfn.IFS(smart_dataset[[#This Row],[Temperature]]&lt;=20,"Cold",smart_dataset[[#This Row],[Temperature]]&lt;=28,"Normal",TRUE,"Hot")</f>
        <v>Normal</v>
      </c>
      <c r="W717" t="str" cm="1">
        <f t="array" ref="W717">_xlfn.IFS(smart_dataset[[#This Row],[Asset_Utilization]]&lt;=75,"Low",smart_dataset[[#This Row],[Asset_Utilization]]&lt;=90,"Medium",TRUE,"High")</f>
        <v>Low</v>
      </c>
    </row>
    <row r="718" spans="1:23" hidden="1" x14ac:dyDescent="0.25">
      <c r="A718" s="1">
        <v>45467.05914351852</v>
      </c>
      <c r="B718" s="1">
        <f>INT(smart_dataset[[#This Row],[Timestamp]])</f>
        <v>45467</v>
      </c>
      <c r="C718" s="1">
        <f>MOD(smart_dataset[[#This Row],[Timestamp]],1)</f>
        <v>5.914351851970423E-2</v>
      </c>
      <c r="D718" s="1">
        <f>YEAR(smart_dataset[[#This Row],[Date]])</f>
        <v>2024</v>
      </c>
      <c r="E718" s="1">
        <f>MONTH(smart_dataset[[#This Row],[Timestamp]])</f>
        <v>6</v>
      </c>
      <c r="F718" t="s">
        <v>16</v>
      </c>
      <c r="G718">
        <v>79.233400000000003</v>
      </c>
      <c r="H718">
        <v>166.45490000000001</v>
      </c>
      <c r="I718">
        <v>179</v>
      </c>
      <c r="J718" t="s">
        <v>26</v>
      </c>
      <c r="K718">
        <v>20.6</v>
      </c>
      <c r="L718">
        <v>53.6</v>
      </c>
      <c r="M718" t="s">
        <v>22</v>
      </c>
      <c r="N718">
        <v>36</v>
      </c>
      <c r="O718">
        <v>480</v>
      </c>
      <c r="P718">
        <v>7</v>
      </c>
      <c r="Q718" t="s">
        <v>31</v>
      </c>
      <c r="R718">
        <v>72.099999999999994</v>
      </c>
      <c r="S718">
        <v>246</v>
      </c>
      <c r="T718">
        <v>1</v>
      </c>
      <c r="U718" t="str" cm="1">
        <f t="array" ref="U718">_xlfn.IFS(smart_dataset[[#This Row],[Waiting_Time]]&lt;=20,"Low",smart_dataset[[#This Row],[Waiting_Time]]&lt;=40,"Medium",TRUE,"High")</f>
        <v>Medium</v>
      </c>
      <c r="V718" t="str" cm="1">
        <f t="array" ref="V718">_xlfn.IFS(smart_dataset[[#This Row],[Temperature]]&lt;=20,"Cold",smart_dataset[[#This Row],[Temperature]]&lt;=28,"Normal",TRUE,"Hot")</f>
        <v>Normal</v>
      </c>
      <c r="W718" t="str" cm="1">
        <f t="array" ref="W718">_xlfn.IFS(smart_dataset[[#This Row],[Asset_Utilization]]&lt;=75,"Low",smart_dataset[[#This Row],[Asset_Utilization]]&lt;=90,"Medium",TRUE,"High")</f>
        <v>Low</v>
      </c>
    </row>
    <row r="719" spans="1:23" x14ac:dyDescent="0.25">
      <c r="A719" s="1">
        <v>45321.356168981481</v>
      </c>
      <c r="B719" s="1">
        <f>INT(smart_dataset[[#This Row],[Timestamp]])</f>
        <v>45321</v>
      </c>
      <c r="C719" s="7">
        <f>MOD(smart_dataset[[#This Row],[Timestamp]],1)</f>
        <v>0.35616898148145992</v>
      </c>
      <c r="D719">
        <f>YEAR(smart_dataset[[#This Row],[Date]])</f>
        <v>2024</v>
      </c>
      <c r="E719">
        <f>MONTH(smart_dataset[[#This Row],[Timestamp]])</f>
        <v>1</v>
      </c>
      <c r="F719" t="s">
        <v>20</v>
      </c>
      <c r="G719">
        <v>-9.0289000000000001</v>
      </c>
      <c r="H719">
        <v>-69.425600000000003</v>
      </c>
      <c r="I719">
        <v>338</v>
      </c>
      <c r="J719" t="s">
        <v>26</v>
      </c>
      <c r="K719">
        <v>27.3</v>
      </c>
      <c r="L719">
        <v>70.099999999999994</v>
      </c>
      <c r="M719" t="s">
        <v>22</v>
      </c>
      <c r="N719">
        <v>29</v>
      </c>
      <c r="O719">
        <v>129</v>
      </c>
      <c r="P719">
        <v>1</v>
      </c>
      <c r="Q719" t="s">
        <v>19</v>
      </c>
      <c r="R719">
        <v>82.4</v>
      </c>
      <c r="S719">
        <v>281</v>
      </c>
      <c r="T719">
        <v>1</v>
      </c>
      <c r="U719" t="str" cm="1">
        <f t="array" ref="U719">_xlfn.IFS(smart_dataset[[#This Row],[Waiting_Time]]&lt;=20,"Low",smart_dataset[[#This Row],[Waiting_Time]]&lt;=40,"Medium",TRUE,"High")</f>
        <v>Medium</v>
      </c>
      <c r="V719" t="str" cm="1">
        <f t="array" ref="V719">_xlfn.IFS(smart_dataset[[#This Row],[Temperature]]&lt;=20,"Cold",smart_dataset[[#This Row],[Temperature]]&lt;=28,"Normal",TRUE,"Hot")</f>
        <v>Normal</v>
      </c>
      <c r="W719" t="str" cm="1">
        <f t="array" ref="W719">_xlfn.IFS(smart_dataset[[#This Row],[Asset_Utilization]]&lt;=75,"Low",smart_dataset[[#This Row],[Asset_Utilization]]&lt;=90,"Medium",TRUE,"High")</f>
        <v>Medium</v>
      </c>
    </row>
    <row r="720" spans="1:23" hidden="1" x14ac:dyDescent="0.25">
      <c r="A720" s="1">
        <v>45306.325439814813</v>
      </c>
      <c r="B720" s="1">
        <f>INT(smart_dataset[[#This Row],[Timestamp]])</f>
        <v>45306</v>
      </c>
      <c r="C720" s="1">
        <f>MOD(smart_dataset[[#This Row],[Timestamp]],1)</f>
        <v>0.325439814812853</v>
      </c>
      <c r="D720" s="1">
        <f>YEAR(smart_dataset[[#This Row],[Date]])</f>
        <v>2024</v>
      </c>
      <c r="E720" s="1">
        <f>MONTH(smart_dataset[[#This Row],[Timestamp]])</f>
        <v>1</v>
      </c>
      <c r="F720" t="s">
        <v>24</v>
      </c>
      <c r="G720">
        <v>71.222800000000007</v>
      </c>
      <c r="H720">
        <v>-86.399299999999997</v>
      </c>
      <c r="I720">
        <v>334</v>
      </c>
      <c r="J720" t="s">
        <v>26</v>
      </c>
      <c r="K720">
        <v>28.9</v>
      </c>
      <c r="L720">
        <v>62.8</v>
      </c>
      <c r="M720" t="s">
        <v>28</v>
      </c>
      <c r="N720">
        <v>15</v>
      </c>
      <c r="O720">
        <v>106</v>
      </c>
      <c r="P720">
        <v>5</v>
      </c>
      <c r="Q720" t="s">
        <v>23</v>
      </c>
      <c r="R720">
        <v>97.2</v>
      </c>
      <c r="S720">
        <v>127</v>
      </c>
      <c r="T720">
        <v>0</v>
      </c>
      <c r="U720" t="str" cm="1">
        <f t="array" ref="U720">_xlfn.IFS(smart_dataset[[#This Row],[Waiting_Time]]&lt;=20,"Low",smart_dataset[[#This Row],[Waiting_Time]]&lt;=40,"Medium",TRUE,"High")</f>
        <v>Low</v>
      </c>
      <c r="V720" t="str" cm="1">
        <f t="array" ref="V720">_xlfn.IFS(smart_dataset[[#This Row],[Temperature]]&lt;=20,"Cold",smart_dataset[[#This Row],[Temperature]]&lt;=28,"Normal",TRUE,"Hot")</f>
        <v>Hot</v>
      </c>
      <c r="W720" t="str" cm="1">
        <f t="array" ref="W720">_xlfn.IFS(smart_dataset[[#This Row],[Asset_Utilization]]&lt;=75,"Low",smart_dataset[[#This Row],[Asset_Utilization]]&lt;=90,"Medium",TRUE,"High")</f>
        <v>High</v>
      </c>
    </row>
    <row r="721" spans="1:23" x14ac:dyDescent="0.25">
      <c r="A721" s="1">
        <v>45656.344282407408</v>
      </c>
      <c r="B721" s="1">
        <f>INT(smart_dataset[[#This Row],[Timestamp]])</f>
        <v>45656</v>
      </c>
      <c r="C721" s="7">
        <f>MOD(smart_dataset[[#This Row],[Timestamp]],1)</f>
        <v>0.34428240740817273</v>
      </c>
      <c r="D721">
        <f>YEAR(smart_dataset[[#This Row],[Date]])</f>
        <v>2024</v>
      </c>
      <c r="E721">
        <f>MONTH(smart_dataset[[#This Row],[Timestamp]])</f>
        <v>12</v>
      </c>
      <c r="F721" t="s">
        <v>24</v>
      </c>
      <c r="G721">
        <v>-29.686399999999999</v>
      </c>
      <c r="H721">
        <v>-88.690100000000001</v>
      </c>
      <c r="I721">
        <v>411</v>
      </c>
      <c r="J721" t="s">
        <v>21</v>
      </c>
      <c r="K721">
        <v>19</v>
      </c>
      <c r="L721">
        <v>55.4</v>
      </c>
      <c r="M721" t="s">
        <v>28</v>
      </c>
      <c r="N721">
        <v>14</v>
      </c>
      <c r="O721">
        <v>409</v>
      </c>
      <c r="P721">
        <v>7</v>
      </c>
      <c r="Q721" t="s">
        <v>19</v>
      </c>
      <c r="R721">
        <v>94.5</v>
      </c>
      <c r="S721">
        <v>192</v>
      </c>
      <c r="T721">
        <v>0</v>
      </c>
      <c r="U721" t="str" cm="1">
        <f t="array" ref="U721">_xlfn.IFS(smart_dataset[[#This Row],[Waiting_Time]]&lt;=20,"Low",smart_dataset[[#This Row],[Waiting_Time]]&lt;=40,"Medium",TRUE,"High")</f>
        <v>Low</v>
      </c>
      <c r="V721" t="str" cm="1">
        <f t="array" ref="V721">_xlfn.IFS(smart_dataset[[#This Row],[Temperature]]&lt;=20,"Cold",smart_dataset[[#This Row],[Temperature]]&lt;=28,"Normal",TRUE,"Hot")</f>
        <v>Cold</v>
      </c>
      <c r="W721" t="str" cm="1">
        <f t="array" ref="W721">_xlfn.IFS(smart_dataset[[#This Row],[Asset_Utilization]]&lt;=75,"Low",smart_dataset[[#This Row],[Asset_Utilization]]&lt;=90,"Medium",TRUE,"High")</f>
        <v>High</v>
      </c>
    </row>
    <row r="722" spans="1:23" hidden="1" x14ac:dyDescent="0.25">
      <c r="A722" s="1">
        <v>45505.904722222222</v>
      </c>
      <c r="B722" s="1">
        <f>INT(smart_dataset[[#This Row],[Timestamp]])</f>
        <v>45505</v>
      </c>
      <c r="C722" s="1">
        <f>MOD(smart_dataset[[#This Row],[Timestamp]],1)</f>
        <v>0.90472222222160781</v>
      </c>
      <c r="D722" s="1">
        <f>YEAR(smart_dataset[[#This Row],[Date]])</f>
        <v>2024</v>
      </c>
      <c r="E722" s="1">
        <f>MONTH(smart_dataset[[#This Row],[Timestamp]])</f>
        <v>8</v>
      </c>
      <c r="F722" t="s">
        <v>16</v>
      </c>
      <c r="G722">
        <v>-19.575900000000001</v>
      </c>
      <c r="H722">
        <v>-39.553100000000001</v>
      </c>
      <c r="I722">
        <v>481</v>
      </c>
      <c r="J722" t="s">
        <v>17</v>
      </c>
      <c r="K722">
        <v>22.8</v>
      </c>
      <c r="L722">
        <v>74.7</v>
      </c>
      <c r="M722" t="s">
        <v>18</v>
      </c>
      <c r="N722">
        <v>42</v>
      </c>
      <c r="O722">
        <v>157</v>
      </c>
      <c r="P722">
        <v>1</v>
      </c>
      <c r="Q722" t="s">
        <v>23</v>
      </c>
      <c r="R722">
        <v>65.2</v>
      </c>
      <c r="S722">
        <v>259</v>
      </c>
      <c r="T722">
        <v>1</v>
      </c>
      <c r="U722" t="str" cm="1">
        <f t="array" ref="U722">_xlfn.IFS(smart_dataset[[#This Row],[Waiting_Time]]&lt;=20,"Low",smart_dataset[[#This Row],[Waiting_Time]]&lt;=40,"Medium",TRUE,"High")</f>
        <v>High</v>
      </c>
      <c r="V722" t="str" cm="1">
        <f t="array" ref="V722">_xlfn.IFS(smart_dataset[[#This Row],[Temperature]]&lt;=20,"Cold",smart_dataset[[#This Row],[Temperature]]&lt;=28,"Normal",TRUE,"Hot")</f>
        <v>Normal</v>
      </c>
      <c r="W722" t="str" cm="1">
        <f t="array" ref="W722">_xlfn.IFS(smart_dataset[[#This Row],[Asset_Utilization]]&lt;=75,"Low",smart_dataset[[#This Row],[Asset_Utilization]]&lt;=90,"Medium",TRUE,"High")</f>
        <v>Low</v>
      </c>
    </row>
    <row r="723" spans="1:23" hidden="1" x14ac:dyDescent="0.25">
      <c r="A723" s="1">
        <v>45429.828819444447</v>
      </c>
      <c r="B723" s="1">
        <f>INT(smart_dataset[[#This Row],[Timestamp]])</f>
        <v>45429</v>
      </c>
      <c r="C723" s="1">
        <f>MOD(smart_dataset[[#This Row],[Timestamp]],1)</f>
        <v>0.82881944444670808</v>
      </c>
      <c r="D723" s="1">
        <f>YEAR(smart_dataset[[#This Row],[Date]])</f>
        <v>2024</v>
      </c>
      <c r="E723" s="1">
        <f>MONTH(smart_dataset[[#This Row],[Timestamp]])</f>
        <v>5</v>
      </c>
      <c r="F723" t="s">
        <v>30</v>
      </c>
      <c r="G723">
        <v>81.099999999999994</v>
      </c>
      <c r="H723">
        <v>113.2247</v>
      </c>
      <c r="I723">
        <v>224</v>
      </c>
      <c r="J723" t="s">
        <v>17</v>
      </c>
      <c r="K723">
        <v>26.4</v>
      </c>
      <c r="L723">
        <v>75.400000000000006</v>
      </c>
      <c r="M723" t="s">
        <v>18</v>
      </c>
      <c r="N723">
        <v>23</v>
      </c>
      <c r="O723">
        <v>234</v>
      </c>
      <c r="P723">
        <v>4</v>
      </c>
      <c r="Q723" t="s">
        <v>31</v>
      </c>
      <c r="R723">
        <v>86.6</v>
      </c>
      <c r="S723">
        <v>131</v>
      </c>
      <c r="T723">
        <v>1</v>
      </c>
      <c r="U723" t="str" cm="1">
        <f t="array" ref="U723">_xlfn.IFS(smart_dataset[[#This Row],[Waiting_Time]]&lt;=20,"Low",smart_dataset[[#This Row],[Waiting_Time]]&lt;=40,"Medium",TRUE,"High")</f>
        <v>Medium</v>
      </c>
      <c r="V723" t="str" cm="1">
        <f t="array" ref="V723">_xlfn.IFS(smart_dataset[[#This Row],[Temperature]]&lt;=20,"Cold",smart_dataset[[#This Row],[Temperature]]&lt;=28,"Normal",TRUE,"Hot")</f>
        <v>Normal</v>
      </c>
      <c r="W723" t="str" cm="1">
        <f t="array" ref="W723">_xlfn.IFS(smart_dataset[[#This Row],[Asset_Utilization]]&lt;=75,"Low",smart_dataset[[#This Row],[Asset_Utilization]]&lt;=90,"Medium",TRUE,"High")</f>
        <v>Medium</v>
      </c>
    </row>
    <row r="724" spans="1:23" hidden="1" x14ac:dyDescent="0.25">
      <c r="A724" s="1">
        <v>45326.226805555554</v>
      </c>
      <c r="B724" s="1">
        <f>INT(smart_dataset[[#This Row],[Timestamp]])</f>
        <v>45326</v>
      </c>
      <c r="C724" s="1">
        <f>MOD(smart_dataset[[#This Row],[Timestamp]],1)</f>
        <v>0.22680555555416504</v>
      </c>
      <c r="D724" s="1">
        <f>YEAR(smart_dataset[[#This Row],[Date]])</f>
        <v>2024</v>
      </c>
      <c r="E724" s="1">
        <f>MONTH(smart_dataset[[#This Row],[Timestamp]])</f>
        <v>2</v>
      </c>
      <c r="F724" t="s">
        <v>32</v>
      </c>
      <c r="G724">
        <v>32.7849</v>
      </c>
      <c r="H724">
        <v>30.954999999999998</v>
      </c>
      <c r="I724">
        <v>377</v>
      </c>
      <c r="J724" t="s">
        <v>17</v>
      </c>
      <c r="K724">
        <v>19.5</v>
      </c>
      <c r="L724">
        <v>51</v>
      </c>
      <c r="M724" t="s">
        <v>18</v>
      </c>
      <c r="N724">
        <v>11</v>
      </c>
      <c r="O724">
        <v>226</v>
      </c>
      <c r="P724">
        <v>8</v>
      </c>
      <c r="Q724" t="s">
        <v>23</v>
      </c>
      <c r="R724">
        <v>64.099999999999994</v>
      </c>
      <c r="S724">
        <v>266</v>
      </c>
      <c r="T724">
        <v>1</v>
      </c>
      <c r="U724" t="str" cm="1">
        <f t="array" ref="U724">_xlfn.IFS(smart_dataset[[#This Row],[Waiting_Time]]&lt;=20,"Low",smart_dataset[[#This Row],[Waiting_Time]]&lt;=40,"Medium",TRUE,"High")</f>
        <v>Low</v>
      </c>
      <c r="V724" t="str" cm="1">
        <f t="array" ref="V724">_xlfn.IFS(smart_dataset[[#This Row],[Temperature]]&lt;=20,"Cold",smart_dataset[[#This Row],[Temperature]]&lt;=28,"Normal",TRUE,"Hot")</f>
        <v>Cold</v>
      </c>
      <c r="W724" t="str" cm="1">
        <f t="array" ref="W724">_xlfn.IFS(smart_dataset[[#This Row],[Asset_Utilization]]&lt;=75,"Low",smart_dataset[[#This Row],[Asset_Utilization]]&lt;=90,"Medium",TRUE,"High")</f>
        <v>Low</v>
      </c>
    </row>
    <row r="725" spans="1:23" hidden="1" x14ac:dyDescent="0.25">
      <c r="A725" s="1">
        <v>45491.550532407404</v>
      </c>
      <c r="B725" s="1">
        <f>INT(smart_dataset[[#This Row],[Timestamp]])</f>
        <v>45491</v>
      </c>
      <c r="C725" s="1">
        <f>MOD(smart_dataset[[#This Row],[Timestamp]],1)</f>
        <v>0.55053240740380716</v>
      </c>
      <c r="D725" s="1">
        <f>YEAR(smart_dataset[[#This Row],[Date]])</f>
        <v>2024</v>
      </c>
      <c r="E725" s="1">
        <f>MONTH(smart_dataset[[#This Row],[Timestamp]])</f>
        <v>7</v>
      </c>
      <c r="F725" t="s">
        <v>16</v>
      </c>
      <c r="G725">
        <v>49.048000000000002</v>
      </c>
      <c r="H725">
        <v>4.8895999999999997</v>
      </c>
      <c r="I725">
        <v>283</v>
      </c>
      <c r="J725" t="s">
        <v>17</v>
      </c>
      <c r="K725">
        <v>19.600000000000001</v>
      </c>
      <c r="L725">
        <v>75.5</v>
      </c>
      <c r="M725" t="s">
        <v>22</v>
      </c>
      <c r="N725">
        <v>49</v>
      </c>
      <c r="O725">
        <v>496</v>
      </c>
      <c r="P725">
        <v>6</v>
      </c>
      <c r="Q725" t="s">
        <v>23</v>
      </c>
      <c r="R725">
        <v>78.900000000000006</v>
      </c>
      <c r="S725">
        <v>130</v>
      </c>
      <c r="T725">
        <v>1</v>
      </c>
      <c r="U725" t="str" cm="1">
        <f t="array" ref="U725">_xlfn.IFS(smart_dataset[[#This Row],[Waiting_Time]]&lt;=20,"Low",smart_dataset[[#This Row],[Waiting_Time]]&lt;=40,"Medium",TRUE,"High")</f>
        <v>High</v>
      </c>
      <c r="V725" t="str" cm="1">
        <f t="array" ref="V725">_xlfn.IFS(smart_dataset[[#This Row],[Temperature]]&lt;=20,"Cold",smart_dataset[[#This Row],[Temperature]]&lt;=28,"Normal",TRUE,"Hot")</f>
        <v>Cold</v>
      </c>
      <c r="W725" t="str" cm="1">
        <f t="array" ref="W725">_xlfn.IFS(smart_dataset[[#This Row],[Asset_Utilization]]&lt;=75,"Low",smart_dataset[[#This Row],[Asset_Utilization]]&lt;=90,"Medium",TRUE,"High")</f>
        <v>Medium</v>
      </c>
    </row>
    <row r="726" spans="1:23" x14ac:dyDescent="0.25">
      <c r="A726" s="1">
        <v>45292.732499999998</v>
      </c>
      <c r="B726" s="1">
        <f>INT(smart_dataset[[#This Row],[Timestamp]])</f>
        <v>45292</v>
      </c>
      <c r="C726" s="7">
        <f>MOD(smart_dataset[[#This Row],[Timestamp]],1)</f>
        <v>0.73249999999825377</v>
      </c>
      <c r="D726">
        <f>YEAR(smart_dataset[[#This Row],[Date]])</f>
        <v>2024</v>
      </c>
      <c r="E726">
        <f>MONTH(smart_dataset[[#This Row],[Timestamp]])</f>
        <v>1</v>
      </c>
      <c r="F726" t="s">
        <v>24</v>
      </c>
      <c r="G726">
        <v>-13.9612</v>
      </c>
      <c r="H726">
        <v>89.534199999999998</v>
      </c>
      <c r="I726">
        <v>174</v>
      </c>
      <c r="J726" t="s">
        <v>17</v>
      </c>
      <c r="K726">
        <v>20.2</v>
      </c>
      <c r="L726">
        <v>74.2</v>
      </c>
      <c r="M726" t="s">
        <v>18</v>
      </c>
      <c r="N726">
        <v>49</v>
      </c>
      <c r="O726">
        <v>403</v>
      </c>
      <c r="P726">
        <v>5</v>
      </c>
      <c r="Q726" t="s">
        <v>19</v>
      </c>
      <c r="R726">
        <v>83.5</v>
      </c>
      <c r="S726">
        <v>227</v>
      </c>
      <c r="T726">
        <v>1</v>
      </c>
      <c r="U726" t="str" cm="1">
        <f t="array" ref="U726">_xlfn.IFS(smart_dataset[[#This Row],[Waiting_Time]]&lt;=20,"Low",smart_dataset[[#This Row],[Waiting_Time]]&lt;=40,"Medium",TRUE,"High")</f>
        <v>High</v>
      </c>
      <c r="V726" t="str" cm="1">
        <f t="array" ref="V726">_xlfn.IFS(smart_dataset[[#This Row],[Temperature]]&lt;=20,"Cold",smart_dataset[[#This Row],[Temperature]]&lt;=28,"Normal",TRUE,"Hot")</f>
        <v>Normal</v>
      </c>
      <c r="W726" t="str" cm="1">
        <f t="array" ref="W726">_xlfn.IFS(smart_dataset[[#This Row],[Asset_Utilization]]&lt;=75,"Low",smart_dataset[[#This Row],[Asset_Utilization]]&lt;=90,"Medium",TRUE,"High")</f>
        <v>Medium</v>
      </c>
    </row>
    <row r="727" spans="1:23" x14ac:dyDescent="0.25">
      <c r="A727" s="1">
        <v>45543.603668981479</v>
      </c>
      <c r="B727" s="1">
        <f>INT(smart_dataset[[#This Row],[Timestamp]])</f>
        <v>45543</v>
      </c>
      <c r="C727" s="7">
        <f>MOD(smart_dataset[[#This Row],[Timestamp]],1)</f>
        <v>0.60366898147913162</v>
      </c>
      <c r="D727">
        <f>YEAR(smart_dataset[[#This Row],[Date]])</f>
        <v>2024</v>
      </c>
      <c r="E727">
        <f>MONTH(smart_dataset[[#This Row],[Timestamp]])</f>
        <v>9</v>
      </c>
      <c r="F727" t="s">
        <v>29</v>
      </c>
      <c r="G727">
        <v>64.411299999999997</v>
      </c>
      <c r="H727">
        <v>-121.7647</v>
      </c>
      <c r="I727">
        <v>440</v>
      </c>
      <c r="J727" t="s">
        <v>26</v>
      </c>
      <c r="K727">
        <v>20.399999999999999</v>
      </c>
      <c r="L727">
        <v>62.4</v>
      </c>
      <c r="M727" t="s">
        <v>28</v>
      </c>
      <c r="N727">
        <v>35</v>
      </c>
      <c r="O727">
        <v>199</v>
      </c>
      <c r="P727">
        <v>10</v>
      </c>
      <c r="Q727" t="s">
        <v>19</v>
      </c>
      <c r="R727">
        <v>80.3</v>
      </c>
      <c r="S727">
        <v>269</v>
      </c>
      <c r="T727">
        <v>0</v>
      </c>
      <c r="U727" t="str" cm="1">
        <f t="array" ref="U727">_xlfn.IFS(smart_dataset[[#This Row],[Waiting_Time]]&lt;=20,"Low",smart_dataset[[#This Row],[Waiting_Time]]&lt;=40,"Medium",TRUE,"High")</f>
        <v>Medium</v>
      </c>
      <c r="V727" t="str" cm="1">
        <f t="array" ref="V727">_xlfn.IFS(smart_dataset[[#This Row],[Temperature]]&lt;=20,"Cold",smart_dataset[[#This Row],[Temperature]]&lt;=28,"Normal",TRUE,"Hot")</f>
        <v>Normal</v>
      </c>
      <c r="W727" t="str" cm="1">
        <f t="array" ref="W727">_xlfn.IFS(smart_dataset[[#This Row],[Asset_Utilization]]&lt;=75,"Low",smart_dataset[[#This Row],[Asset_Utilization]]&lt;=90,"Medium",TRUE,"High")</f>
        <v>Medium</v>
      </c>
    </row>
    <row r="728" spans="1:23" hidden="1" x14ac:dyDescent="0.25">
      <c r="A728" s="1">
        <v>45348.142789351848</v>
      </c>
      <c r="B728" s="1">
        <f>INT(smart_dataset[[#This Row],[Timestamp]])</f>
        <v>45348</v>
      </c>
      <c r="C728" s="1">
        <f>MOD(smart_dataset[[#This Row],[Timestamp]],1)</f>
        <v>0.14278935184847796</v>
      </c>
      <c r="D728" s="1">
        <f>YEAR(smart_dataset[[#This Row],[Date]])</f>
        <v>2024</v>
      </c>
      <c r="E728" s="1">
        <f>MONTH(smart_dataset[[#This Row],[Timestamp]])</f>
        <v>2</v>
      </c>
      <c r="F728" t="s">
        <v>30</v>
      </c>
      <c r="G728">
        <v>-77.798599999999993</v>
      </c>
      <c r="H728">
        <v>-155.40979999999999</v>
      </c>
      <c r="I728">
        <v>497</v>
      </c>
      <c r="J728" t="s">
        <v>17</v>
      </c>
      <c r="K728">
        <v>21.8</v>
      </c>
      <c r="L728">
        <v>71.3</v>
      </c>
      <c r="M728" t="s">
        <v>22</v>
      </c>
      <c r="N728">
        <v>22</v>
      </c>
      <c r="O728">
        <v>424</v>
      </c>
      <c r="P728">
        <v>2</v>
      </c>
      <c r="Q728" t="s">
        <v>23</v>
      </c>
      <c r="R728">
        <v>79.8</v>
      </c>
      <c r="S728">
        <v>168</v>
      </c>
      <c r="T728">
        <v>1</v>
      </c>
      <c r="U728" t="str" cm="1">
        <f t="array" ref="U728">_xlfn.IFS(smart_dataset[[#This Row],[Waiting_Time]]&lt;=20,"Low",smart_dataset[[#This Row],[Waiting_Time]]&lt;=40,"Medium",TRUE,"High")</f>
        <v>Medium</v>
      </c>
      <c r="V728" t="str" cm="1">
        <f t="array" ref="V728">_xlfn.IFS(smart_dataset[[#This Row],[Temperature]]&lt;=20,"Cold",smart_dataset[[#This Row],[Temperature]]&lt;=28,"Normal",TRUE,"Hot")</f>
        <v>Normal</v>
      </c>
      <c r="W728" t="str" cm="1">
        <f t="array" ref="W728">_xlfn.IFS(smart_dataset[[#This Row],[Asset_Utilization]]&lt;=75,"Low",smart_dataset[[#This Row],[Asset_Utilization]]&lt;=90,"Medium",TRUE,"High")</f>
        <v>Medium</v>
      </c>
    </row>
    <row r="729" spans="1:23" hidden="1" x14ac:dyDescent="0.25">
      <c r="A729" s="1">
        <v>45398.19263888889</v>
      </c>
      <c r="B729" s="1">
        <f>INT(smart_dataset[[#This Row],[Timestamp]])</f>
        <v>45398</v>
      </c>
      <c r="C729" s="1">
        <f>MOD(smart_dataset[[#This Row],[Timestamp]],1)</f>
        <v>0.19263888888963265</v>
      </c>
      <c r="D729" s="1">
        <f>YEAR(smart_dataset[[#This Row],[Date]])</f>
        <v>2024</v>
      </c>
      <c r="E729" s="1">
        <f>MONTH(smart_dataset[[#This Row],[Timestamp]])</f>
        <v>4</v>
      </c>
      <c r="F729" t="s">
        <v>16</v>
      </c>
      <c r="G729">
        <v>16.2591</v>
      </c>
      <c r="H729">
        <v>175.14850000000001</v>
      </c>
      <c r="I729">
        <v>337</v>
      </c>
      <c r="J729" t="s">
        <v>26</v>
      </c>
      <c r="K729">
        <v>21.1</v>
      </c>
      <c r="L729">
        <v>64.400000000000006</v>
      </c>
      <c r="M729" t="s">
        <v>18</v>
      </c>
      <c r="N729">
        <v>49</v>
      </c>
      <c r="O729">
        <v>226</v>
      </c>
      <c r="P729">
        <v>2</v>
      </c>
      <c r="Q729" t="s">
        <v>27</v>
      </c>
      <c r="R729">
        <v>89.6</v>
      </c>
      <c r="S729">
        <v>298</v>
      </c>
      <c r="T729">
        <v>0</v>
      </c>
      <c r="U729" t="str" cm="1">
        <f t="array" ref="U729">_xlfn.IFS(smart_dataset[[#This Row],[Waiting_Time]]&lt;=20,"Low",smart_dataset[[#This Row],[Waiting_Time]]&lt;=40,"Medium",TRUE,"High")</f>
        <v>High</v>
      </c>
      <c r="V729" t="str" cm="1">
        <f t="array" ref="V729">_xlfn.IFS(smart_dataset[[#This Row],[Temperature]]&lt;=20,"Cold",smart_dataset[[#This Row],[Temperature]]&lt;=28,"Normal",TRUE,"Hot")</f>
        <v>Normal</v>
      </c>
      <c r="W729" t="str" cm="1">
        <f t="array" ref="W729">_xlfn.IFS(smart_dataset[[#This Row],[Asset_Utilization]]&lt;=75,"Low",smart_dataset[[#This Row],[Asset_Utilization]]&lt;=90,"Medium",TRUE,"High")</f>
        <v>Medium</v>
      </c>
    </row>
    <row r="730" spans="1:23" hidden="1" x14ac:dyDescent="0.25">
      <c r="A730" s="1">
        <v>45637.736006944448</v>
      </c>
      <c r="B730" s="1">
        <f>INT(smart_dataset[[#This Row],[Timestamp]])</f>
        <v>45637</v>
      </c>
      <c r="C730" s="1">
        <f>MOD(smart_dataset[[#This Row],[Timestamp]],1)</f>
        <v>0.73600694444758119</v>
      </c>
      <c r="D730" s="1">
        <f>YEAR(smart_dataset[[#This Row],[Date]])</f>
        <v>2024</v>
      </c>
      <c r="E730" s="1">
        <f>MONTH(smart_dataset[[#This Row],[Timestamp]])</f>
        <v>12</v>
      </c>
      <c r="F730" t="s">
        <v>24</v>
      </c>
      <c r="G730">
        <v>30.674900000000001</v>
      </c>
      <c r="H730">
        <v>78.474299999999999</v>
      </c>
      <c r="I730">
        <v>315</v>
      </c>
      <c r="J730" t="s">
        <v>26</v>
      </c>
      <c r="K730">
        <v>21.4</v>
      </c>
      <c r="L730">
        <v>62.6</v>
      </c>
      <c r="M730" t="s">
        <v>22</v>
      </c>
      <c r="N730">
        <v>27</v>
      </c>
      <c r="O730">
        <v>482</v>
      </c>
      <c r="P730">
        <v>9</v>
      </c>
      <c r="Q730" t="s">
        <v>27</v>
      </c>
      <c r="R730">
        <v>77.2</v>
      </c>
      <c r="S730">
        <v>153</v>
      </c>
      <c r="T730">
        <v>1</v>
      </c>
      <c r="U730" t="str" cm="1">
        <f t="array" ref="U730">_xlfn.IFS(smart_dataset[[#This Row],[Waiting_Time]]&lt;=20,"Low",smart_dataset[[#This Row],[Waiting_Time]]&lt;=40,"Medium",TRUE,"High")</f>
        <v>Medium</v>
      </c>
      <c r="V730" t="str" cm="1">
        <f t="array" ref="V730">_xlfn.IFS(smart_dataset[[#This Row],[Temperature]]&lt;=20,"Cold",smart_dataset[[#This Row],[Temperature]]&lt;=28,"Normal",TRUE,"Hot")</f>
        <v>Normal</v>
      </c>
      <c r="W730" t="str" cm="1">
        <f t="array" ref="W730">_xlfn.IFS(smart_dataset[[#This Row],[Asset_Utilization]]&lt;=75,"Low",smart_dataset[[#This Row],[Asset_Utilization]]&lt;=90,"Medium",TRUE,"High")</f>
        <v>Medium</v>
      </c>
    </row>
    <row r="731" spans="1:23" hidden="1" x14ac:dyDescent="0.25">
      <c r="A731" s="1">
        <v>45551.532094907408</v>
      </c>
      <c r="B731" s="1">
        <f>INT(smart_dataset[[#This Row],[Timestamp]])</f>
        <v>45551</v>
      </c>
      <c r="C731" s="1">
        <f>MOD(smart_dataset[[#This Row],[Timestamp]],1)</f>
        <v>0.53209490740846377</v>
      </c>
      <c r="D731" s="1">
        <f>YEAR(smart_dataset[[#This Row],[Date]])</f>
        <v>2024</v>
      </c>
      <c r="E731" s="1">
        <f>MONTH(smart_dataset[[#This Row],[Timestamp]])</f>
        <v>9</v>
      </c>
      <c r="F731" t="s">
        <v>16</v>
      </c>
      <c r="G731">
        <v>-18.067499999999999</v>
      </c>
      <c r="H731">
        <v>76.780199999999994</v>
      </c>
      <c r="I731">
        <v>219</v>
      </c>
      <c r="J731" t="s">
        <v>26</v>
      </c>
      <c r="K731">
        <v>18.100000000000001</v>
      </c>
      <c r="L731">
        <v>64.599999999999994</v>
      </c>
      <c r="M731" t="s">
        <v>28</v>
      </c>
      <c r="N731">
        <v>24</v>
      </c>
      <c r="O731">
        <v>179</v>
      </c>
      <c r="P731">
        <v>8</v>
      </c>
      <c r="Q731" t="s">
        <v>23</v>
      </c>
      <c r="R731">
        <v>83.3</v>
      </c>
      <c r="S731">
        <v>202</v>
      </c>
      <c r="T731">
        <v>0</v>
      </c>
      <c r="U731" t="str" cm="1">
        <f t="array" ref="U731">_xlfn.IFS(smart_dataset[[#This Row],[Waiting_Time]]&lt;=20,"Low",smart_dataset[[#This Row],[Waiting_Time]]&lt;=40,"Medium",TRUE,"High")</f>
        <v>Medium</v>
      </c>
      <c r="V731" t="str" cm="1">
        <f t="array" ref="V731">_xlfn.IFS(smart_dataset[[#This Row],[Temperature]]&lt;=20,"Cold",smart_dataset[[#This Row],[Temperature]]&lt;=28,"Normal",TRUE,"Hot")</f>
        <v>Cold</v>
      </c>
      <c r="W731" t="str" cm="1">
        <f t="array" ref="W731">_xlfn.IFS(smart_dataset[[#This Row],[Asset_Utilization]]&lt;=75,"Low",smart_dataset[[#This Row],[Asset_Utilization]]&lt;=90,"Medium",TRUE,"High")</f>
        <v>Medium</v>
      </c>
    </row>
    <row r="732" spans="1:23" hidden="1" x14ac:dyDescent="0.25">
      <c r="A732" s="1">
        <v>45314.786759259259</v>
      </c>
      <c r="B732" s="1">
        <f>INT(smart_dataset[[#This Row],[Timestamp]])</f>
        <v>45314</v>
      </c>
      <c r="C732" s="1">
        <f>MOD(smart_dataset[[#This Row],[Timestamp]],1)</f>
        <v>0.78675925925927004</v>
      </c>
      <c r="D732" s="1">
        <f>YEAR(smart_dataset[[#This Row],[Date]])</f>
        <v>2024</v>
      </c>
      <c r="E732" s="1">
        <f>MONTH(smart_dataset[[#This Row],[Timestamp]])</f>
        <v>1</v>
      </c>
      <c r="F732" t="s">
        <v>32</v>
      </c>
      <c r="G732">
        <v>-89.778400000000005</v>
      </c>
      <c r="H732">
        <v>-163.79650000000001</v>
      </c>
      <c r="I732">
        <v>247</v>
      </c>
      <c r="J732" t="s">
        <v>17</v>
      </c>
      <c r="K732">
        <v>28.3</v>
      </c>
      <c r="L732">
        <v>76.2</v>
      </c>
      <c r="M732" t="s">
        <v>28</v>
      </c>
      <c r="N732">
        <v>53</v>
      </c>
      <c r="O732">
        <v>190</v>
      </c>
      <c r="P732">
        <v>10</v>
      </c>
      <c r="Q732" t="s">
        <v>31</v>
      </c>
      <c r="R732">
        <v>93.6</v>
      </c>
      <c r="S732">
        <v>111</v>
      </c>
      <c r="T732">
        <v>1</v>
      </c>
      <c r="U732" t="str" cm="1">
        <f t="array" ref="U732">_xlfn.IFS(smart_dataset[[#This Row],[Waiting_Time]]&lt;=20,"Low",smart_dataset[[#This Row],[Waiting_Time]]&lt;=40,"Medium",TRUE,"High")</f>
        <v>High</v>
      </c>
      <c r="V732" t="str" cm="1">
        <f t="array" ref="V732">_xlfn.IFS(smart_dataset[[#This Row],[Temperature]]&lt;=20,"Cold",smart_dataset[[#This Row],[Temperature]]&lt;=28,"Normal",TRUE,"Hot")</f>
        <v>Hot</v>
      </c>
      <c r="W732" t="str" cm="1">
        <f t="array" ref="W732">_xlfn.IFS(smart_dataset[[#This Row],[Asset_Utilization]]&lt;=75,"Low",smart_dataset[[#This Row],[Asset_Utilization]]&lt;=90,"Medium",TRUE,"High")</f>
        <v>High</v>
      </c>
    </row>
    <row r="733" spans="1:23" hidden="1" x14ac:dyDescent="0.25">
      <c r="A733" s="1">
        <v>45379.306585648148</v>
      </c>
      <c r="B733" s="1">
        <f>INT(smart_dataset[[#This Row],[Timestamp]])</f>
        <v>45379</v>
      </c>
      <c r="C733" s="1">
        <f>MOD(smart_dataset[[#This Row],[Timestamp]],1)</f>
        <v>0.30658564814802958</v>
      </c>
      <c r="D733" s="1">
        <f>YEAR(smart_dataset[[#This Row],[Date]])</f>
        <v>2024</v>
      </c>
      <c r="E733" s="1">
        <f>MONTH(smart_dataset[[#This Row],[Timestamp]])</f>
        <v>3</v>
      </c>
      <c r="F733" t="s">
        <v>25</v>
      </c>
      <c r="G733">
        <v>-30.547599999999999</v>
      </c>
      <c r="H733">
        <v>63.528199999999998</v>
      </c>
      <c r="I733">
        <v>148</v>
      </c>
      <c r="J733" t="s">
        <v>17</v>
      </c>
      <c r="K733">
        <v>19</v>
      </c>
      <c r="L733">
        <v>50.3</v>
      </c>
      <c r="M733" t="s">
        <v>18</v>
      </c>
      <c r="N733">
        <v>50</v>
      </c>
      <c r="O733">
        <v>481</v>
      </c>
      <c r="P733">
        <v>2</v>
      </c>
      <c r="Q733" t="s">
        <v>31</v>
      </c>
      <c r="R733">
        <v>87.3</v>
      </c>
      <c r="S733">
        <v>243</v>
      </c>
      <c r="T733">
        <v>1</v>
      </c>
      <c r="U733" t="str" cm="1">
        <f t="array" ref="U733">_xlfn.IFS(smart_dataset[[#This Row],[Waiting_Time]]&lt;=20,"Low",smart_dataset[[#This Row],[Waiting_Time]]&lt;=40,"Medium",TRUE,"High")</f>
        <v>High</v>
      </c>
      <c r="V733" t="str" cm="1">
        <f t="array" ref="V733">_xlfn.IFS(smart_dataset[[#This Row],[Temperature]]&lt;=20,"Cold",smart_dataset[[#This Row],[Temperature]]&lt;=28,"Normal",TRUE,"Hot")</f>
        <v>Cold</v>
      </c>
      <c r="W733" t="str" cm="1">
        <f t="array" ref="W733">_xlfn.IFS(smart_dataset[[#This Row],[Asset_Utilization]]&lt;=75,"Low",smart_dataset[[#This Row],[Asset_Utilization]]&lt;=90,"Medium",TRUE,"High")</f>
        <v>Medium</v>
      </c>
    </row>
    <row r="734" spans="1:23" hidden="1" x14ac:dyDescent="0.25">
      <c r="A734" s="1">
        <v>45410.150150462963</v>
      </c>
      <c r="B734" s="1">
        <f>INT(smart_dataset[[#This Row],[Timestamp]])</f>
        <v>45410</v>
      </c>
      <c r="C734" s="1">
        <f>MOD(smart_dataset[[#This Row],[Timestamp]],1)</f>
        <v>0.15015046296321088</v>
      </c>
      <c r="D734" s="1">
        <f>YEAR(smart_dataset[[#This Row],[Date]])</f>
        <v>2024</v>
      </c>
      <c r="E734" s="1">
        <f>MONTH(smart_dataset[[#This Row],[Timestamp]])</f>
        <v>4</v>
      </c>
      <c r="F734" t="s">
        <v>20</v>
      </c>
      <c r="G734">
        <v>-16.831700000000001</v>
      </c>
      <c r="H734">
        <v>-114.4787</v>
      </c>
      <c r="I734">
        <v>205</v>
      </c>
      <c r="J734" t="s">
        <v>21</v>
      </c>
      <c r="K734">
        <v>23.4</v>
      </c>
      <c r="L734">
        <v>61.4</v>
      </c>
      <c r="M734" t="s">
        <v>28</v>
      </c>
      <c r="N734">
        <v>31</v>
      </c>
      <c r="O734">
        <v>279</v>
      </c>
      <c r="P734">
        <v>2</v>
      </c>
      <c r="Q734" t="s">
        <v>27</v>
      </c>
      <c r="R734">
        <v>79.099999999999994</v>
      </c>
      <c r="S734">
        <v>118</v>
      </c>
      <c r="T734">
        <v>0</v>
      </c>
      <c r="U734" t="str" cm="1">
        <f t="array" ref="U734">_xlfn.IFS(smart_dataset[[#This Row],[Waiting_Time]]&lt;=20,"Low",smart_dataset[[#This Row],[Waiting_Time]]&lt;=40,"Medium",TRUE,"High")</f>
        <v>Medium</v>
      </c>
      <c r="V734" t="str" cm="1">
        <f t="array" ref="V734">_xlfn.IFS(smart_dataset[[#This Row],[Temperature]]&lt;=20,"Cold",smart_dataset[[#This Row],[Temperature]]&lt;=28,"Normal",TRUE,"Hot")</f>
        <v>Normal</v>
      </c>
      <c r="W734" t="str" cm="1">
        <f t="array" ref="W734">_xlfn.IFS(smart_dataset[[#This Row],[Asset_Utilization]]&lt;=75,"Low",smart_dataset[[#This Row],[Asset_Utilization]]&lt;=90,"Medium",TRUE,"High")</f>
        <v>Medium</v>
      </c>
    </row>
    <row r="735" spans="1:23" hidden="1" x14ac:dyDescent="0.25">
      <c r="A735" s="1">
        <v>45394.823217592595</v>
      </c>
      <c r="B735" s="1">
        <f>INT(smart_dataset[[#This Row],[Timestamp]])</f>
        <v>45394</v>
      </c>
      <c r="C735" s="1">
        <f>MOD(smart_dataset[[#This Row],[Timestamp]],1)</f>
        <v>0.82321759259502869</v>
      </c>
      <c r="D735" s="1">
        <f>YEAR(smart_dataset[[#This Row],[Date]])</f>
        <v>2024</v>
      </c>
      <c r="E735" s="1">
        <f>MONTH(smart_dataset[[#This Row],[Timestamp]])</f>
        <v>4</v>
      </c>
      <c r="F735" t="s">
        <v>30</v>
      </c>
      <c r="G735">
        <v>42.6126</v>
      </c>
      <c r="H735">
        <v>-69.540800000000004</v>
      </c>
      <c r="I735">
        <v>243</v>
      </c>
      <c r="J735" t="s">
        <v>21</v>
      </c>
      <c r="K735">
        <v>28.9</v>
      </c>
      <c r="L735">
        <v>57.8</v>
      </c>
      <c r="M735" t="s">
        <v>28</v>
      </c>
      <c r="N735">
        <v>33</v>
      </c>
      <c r="O735">
        <v>277</v>
      </c>
      <c r="P735">
        <v>10</v>
      </c>
      <c r="Q735" t="s">
        <v>27</v>
      </c>
      <c r="R735">
        <v>84.4</v>
      </c>
      <c r="S735">
        <v>151</v>
      </c>
      <c r="T735">
        <v>0</v>
      </c>
      <c r="U735" t="str" cm="1">
        <f t="array" ref="U735">_xlfn.IFS(smart_dataset[[#This Row],[Waiting_Time]]&lt;=20,"Low",smart_dataset[[#This Row],[Waiting_Time]]&lt;=40,"Medium",TRUE,"High")</f>
        <v>Medium</v>
      </c>
      <c r="V735" t="str" cm="1">
        <f t="array" ref="V735">_xlfn.IFS(smart_dataset[[#This Row],[Temperature]]&lt;=20,"Cold",smart_dataset[[#This Row],[Temperature]]&lt;=28,"Normal",TRUE,"Hot")</f>
        <v>Hot</v>
      </c>
      <c r="W735" t="str" cm="1">
        <f t="array" ref="W735">_xlfn.IFS(smart_dataset[[#This Row],[Asset_Utilization]]&lt;=75,"Low",smart_dataset[[#This Row],[Asset_Utilization]]&lt;=90,"Medium",TRUE,"High")</f>
        <v>Medium</v>
      </c>
    </row>
    <row r="736" spans="1:23" x14ac:dyDescent="0.25">
      <c r="A736" s="1">
        <v>45656.105219907404</v>
      </c>
      <c r="B736" s="1">
        <f>INT(smart_dataset[[#This Row],[Timestamp]])</f>
        <v>45656</v>
      </c>
      <c r="C736" s="7">
        <f>MOD(smart_dataset[[#This Row],[Timestamp]],1)</f>
        <v>0.10521990740380716</v>
      </c>
      <c r="D736">
        <f>YEAR(smart_dataset[[#This Row],[Date]])</f>
        <v>2024</v>
      </c>
      <c r="E736">
        <f>MONTH(smart_dataset[[#This Row],[Timestamp]])</f>
        <v>12</v>
      </c>
      <c r="F736" t="s">
        <v>32</v>
      </c>
      <c r="G736">
        <v>44.5289</v>
      </c>
      <c r="H736">
        <v>31.100200000000001</v>
      </c>
      <c r="I736">
        <v>226</v>
      </c>
      <c r="J736" t="s">
        <v>17</v>
      </c>
      <c r="K736">
        <v>21</v>
      </c>
      <c r="L736">
        <v>69.400000000000006</v>
      </c>
      <c r="M736" t="s">
        <v>18</v>
      </c>
      <c r="N736">
        <v>27</v>
      </c>
      <c r="O736">
        <v>406</v>
      </c>
      <c r="P736">
        <v>5</v>
      </c>
      <c r="Q736" t="s">
        <v>19</v>
      </c>
      <c r="R736">
        <v>99.9</v>
      </c>
      <c r="S736">
        <v>285</v>
      </c>
      <c r="T736">
        <v>1</v>
      </c>
      <c r="U736" t="str" cm="1">
        <f t="array" ref="U736">_xlfn.IFS(smart_dataset[[#This Row],[Waiting_Time]]&lt;=20,"Low",smart_dataset[[#This Row],[Waiting_Time]]&lt;=40,"Medium",TRUE,"High")</f>
        <v>Medium</v>
      </c>
      <c r="V736" t="str" cm="1">
        <f t="array" ref="V736">_xlfn.IFS(smart_dataset[[#This Row],[Temperature]]&lt;=20,"Cold",smart_dataset[[#This Row],[Temperature]]&lt;=28,"Normal",TRUE,"Hot")</f>
        <v>Normal</v>
      </c>
      <c r="W736" t="str" cm="1">
        <f t="array" ref="W736">_xlfn.IFS(smart_dataset[[#This Row],[Asset_Utilization]]&lt;=75,"Low",smart_dataset[[#This Row],[Asset_Utilization]]&lt;=90,"Medium",TRUE,"High")</f>
        <v>High</v>
      </c>
    </row>
    <row r="737" spans="1:23" x14ac:dyDescent="0.25">
      <c r="A737" s="1">
        <v>45504.716192129628</v>
      </c>
      <c r="B737" s="1">
        <f>INT(smart_dataset[[#This Row],[Timestamp]])</f>
        <v>45504</v>
      </c>
      <c r="C737" s="7">
        <f>MOD(smart_dataset[[#This Row],[Timestamp]],1)</f>
        <v>0.71619212962832535</v>
      </c>
      <c r="D737">
        <f>YEAR(smart_dataset[[#This Row],[Date]])</f>
        <v>2024</v>
      </c>
      <c r="E737">
        <f>MONTH(smart_dataset[[#This Row],[Timestamp]])</f>
        <v>7</v>
      </c>
      <c r="F737" t="s">
        <v>30</v>
      </c>
      <c r="G737">
        <v>84.716099999999997</v>
      </c>
      <c r="H737">
        <v>77.111400000000003</v>
      </c>
      <c r="I737">
        <v>350</v>
      </c>
      <c r="J737" t="s">
        <v>26</v>
      </c>
      <c r="K737">
        <v>23.7</v>
      </c>
      <c r="L737">
        <v>59.8</v>
      </c>
      <c r="M737" t="s">
        <v>18</v>
      </c>
      <c r="N737">
        <v>42</v>
      </c>
      <c r="O737">
        <v>188</v>
      </c>
      <c r="P737">
        <v>10</v>
      </c>
      <c r="Q737" t="s">
        <v>19</v>
      </c>
      <c r="R737">
        <v>98.6</v>
      </c>
      <c r="S737">
        <v>248</v>
      </c>
      <c r="T737">
        <v>0</v>
      </c>
      <c r="U737" t="str" cm="1">
        <f t="array" ref="U737">_xlfn.IFS(smart_dataset[[#This Row],[Waiting_Time]]&lt;=20,"Low",smart_dataset[[#This Row],[Waiting_Time]]&lt;=40,"Medium",TRUE,"High")</f>
        <v>High</v>
      </c>
      <c r="V737" t="str" cm="1">
        <f t="array" ref="V737">_xlfn.IFS(smart_dataset[[#This Row],[Temperature]]&lt;=20,"Cold",smart_dataset[[#This Row],[Temperature]]&lt;=28,"Normal",TRUE,"Hot")</f>
        <v>Normal</v>
      </c>
      <c r="W737" t="str" cm="1">
        <f t="array" ref="W737">_xlfn.IFS(smart_dataset[[#This Row],[Asset_Utilization]]&lt;=75,"Low",smart_dataset[[#This Row],[Asset_Utilization]]&lt;=90,"Medium",TRUE,"High")</f>
        <v>High</v>
      </c>
    </row>
    <row r="738" spans="1:23" hidden="1" x14ac:dyDescent="0.25">
      <c r="A738" s="1">
        <v>45295.832118055558</v>
      </c>
      <c r="B738" s="1">
        <f>INT(smart_dataset[[#This Row],[Timestamp]])</f>
        <v>45295</v>
      </c>
      <c r="C738" s="1">
        <f>MOD(smart_dataset[[#This Row],[Timestamp]],1)</f>
        <v>0.8321180555576575</v>
      </c>
      <c r="D738" s="1">
        <f>YEAR(smart_dataset[[#This Row],[Date]])</f>
        <v>2024</v>
      </c>
      <c r="E738" s="1">
        <f>MONTH(smart_dataset[[#This Row],[Timestamp]])</f>
        <v>1</v>
      </c>
      <c r="F738" t="s">
        <v>29</v>
      </c>
      <c r="G738">
        <v>-64.095399999999998</v>
      </c>
      <c r="H738">
        <v>-155.4074</v>
      </c>
      <c r="I738">
        <v>272</v>
      </c>
      <c r="J738" t="s">
        <v>17</v>
      </c>
      <c r="K738">
        <v>23.4</v>
      </c>
      <c r="L738">
        <v>57.2</v>
      </c>
      <c r="M738" t="s">
        <v>28</v>
      </c>
      <c r="N738">
        <v>51</v>
      </c>
      <c r="O738">
        <v>419</v>
      </c>
      <c r="P738">
        <v>6</v>
      </c>
      <c r="Q738" t="s">
        <v>31</v>
      </c>
      <c r="R738">
        <v>63.1</v>
      </c>
      <c r="S738">
        <v>159</v>
      </c>
      <c r="T738">
        <v>1</v>
      </c>
      <c r="U738" t="str" cm="1">
        <f t="array" ref="U738">_xlfn.IFS(smart_dataset[[#This Row],[Waiting_Time]]&lt;=20,"Low",smart_dataset[[#This Row],[Waiting_Time]]&lt;=40,"Medium",TRUE,"High")</f>
        <v>High</v>
      </c>
      <c r="V738" t="str" cm="1">
        <f t="array" ref="V738">_xlfn.IFS(smart_dataset[[#This Row],[Temperature]]&lt;=20,"Cold",smart_dataset[[#This Row],[Temperature]]&lt;=28,"Normal",TRUE,"Hot")</f>
        <v>Normal</v>
      </c>
      <c r="W738" t="str" cm="1">
        <f t="array" ref="W738">_xlfn.IFS(smart_dataset[[#This Row],[Asset_Utilization]]&lt;=75,"Low",smart_dataset[[#This Row],[Asset_Utilization]]&lt;=90,"Medium",TRUE,"High")</f>
        <v>Low</v>
      </c>
    </row>
    <row r="739" spans="1:23" hidden="1" x14ac:dyDescent="0.25">
      <c r="A739" s="1">
        <v>45327.033541666664</v>
      </c>
      <c r="B739" s="1">
        <f>INT(smart_dataset[[#This Row],[Timestamp]])</f>
        <v>45327</v>
      </c>
      <c r="C739" s="1">
        <f>MOD(smart_dataset[[#This Row],[Timestamp]],1)</f>
        <v>3.3541666663950309E-2</v>
      </c>
      <c r="D739" s="1">
        <f>YEAR(smart_dataset[[#This Row],[Date]])</f>
        <v>2024</v>
      </c>
      <c r="E739" s="1">
        <f>MONTH(smart_dataset[[#This Row],[Timestamp]])</f>
        <v>2</v>
      </c>
      <c r="F739" t="s">
        <v>30</v>
      </c>
      <c r="G739">
        <v>20.338799999999999</v>
      </c>
      <c r="H739">
        <v>-109.3313</v>
      </c>
      <c r="I739">
        <v>378</v>
      </c>
      <c r="J739" t="s">
        <v>21</v>
      </c>
      <c r="K739">
        <v>21</v>
      </c>
      <c r="L739">
        <v>60.8</v>
      </c>
      <c r="M739" t="s">
        <v>22</v>
      </c>
      <c r="N739">
        <v>30</v>
      </c>
      <c r="O739">
        <v>318</v>
      </c>
      <c r="P739">
        <v>3</v>
      </c>
      <c r="Q739" t="s">
        <v>23</v>
      </c>
      <c r="R739">
        <v>84.8</v>
      </c>
      <c r="S739">
        <v>181</v>
      </c>
      <c r="T739">
        <v>1</v>
      </c>
      <c r="U739" t="str" cm="1">
        <f t="array" ref="U739">_xlfn.IFS(smart_dataset[[#This Row],[Waiting_Time]]&lt;=20,"Low",smart_dataset[[#This Row],[Waiting_Time]]&lt;=40,"Medium",TRUE,"High")</f>
        <v>Medium</v>
      </c>
      <c r="V739" t="str" cm="1">
        <f t="array" ref="V739">_xlfn.IFS(smart_dataset[[#This Row],[Temperature]]&lt;=20,"Cold",smart_dataset[[#This Row],[Temperature]]&lt;=28,"Normal",TRUE,"Hot")</f>
        <v>Normal</v>
      </c>
      <c r="W739" t="str" cm="1">
        <f t="array" ref="W739">_xlfn.IFS(smart_dataset[[#This Row],[Asset_Utilization]]&lt;=75,"Low",smart_dataset[[#This Row],[Asset_Utilization]]&lt;=90,"Medium",TRUE,"High")</f>
        <v>Medium</v>
      </c>
    </row>
    <row r="740" spans="1:23" hidden="1" x14ac:dyDescent="0.25">
      <c r="A740" s="1">
        <v>45562.723703703705</v>
      </c>
      <c r="B740" s="1">
        <f>INT(smart_dataset[[#This Row],[Timestamp]])</f>
        <v>45562</v>
      </c>
      <c r="C740" s="1">
        <f>MOD(smart_dataset[[#This Row],[Timestamp]],1)</f>
        <v>0.72370370370481396</v>
      </c>
      <c r="D740" s="1">
        <f>YEAR(smart_dataset[[#This Row],[Date]])</f>
        <v>2024</v>
      </c>
      <c r="E740" s="1">
        <f>MONTH(smart_dataset[[#This Row],[Timestamp]])</f>
        <v>9</v>
      </c>
      <c r="F740" t="s">
        <v>24</v>
      </c>
      <c r="G740">
        <v>-14.5017</v>
      </c>
      <c r="H740">
        <v>-20.148599999999998</v>
      </c>
      <c r="I740">
        <v>127</v>
      </c>
      <c r="J740" t="s">
        <v>17</v>
      </c>
      <c r="K740">
        <v>23.7</v>
      </c>
      <c r="L740">
        <v>51.2</v>
      </c>
      <c r="M740" t="s">
        <v>22</v>
      </c>
      <c r="N740">
        <v>38</v>
      </c>
      <c r="O740">
        <v>463</v>
      </c>
      <c r="P740">
        <v>1</v>
      </c>
      <c r="Q740" t="s">
        <v>27</v>
      </c>
      <c r="R740">
        <v>78.900000000000006</v>
      </c>
      <c r="S740">
        <v>272</v>
      </c>
      <c r="T740">
        <v>1</v>
      </c>
      <c r="U740" t="str" cm="1">
        <f t="array" ref="U740">_xlfn.IFS(smart_dataset[[#This Row],[Waiting_Time]]&lt;=20,"Low",smart_dataset[[#This Row],[Waiting_Time]]&lt;=40,"Medium",TRUE,"High")</f>
        <v>Medium</v>
      </c>
      <c r="V740" t="str" cm="1">
        <f t="array" ref="V740">_xlfn.IFS(smart_dataset[[#This Row],[Temperature]]&lt;=20,"Cold",smart_dataset[[#This Row],[Temperature]]&lt;=28,"Normal",TRUE,"Hot")</f>
        <v>Normal</v>
      </c>
      <c r="W740" t="str" cm="1">
        <f t="array" ref="W740">_xlfn.IFS(smart_dataset[[#This Row],[Asset_Utilization]]&lt;=75,"Low",smart_dataset[[#This Row],[Asset_Utilization]]&lt;=90,"Medium",TRUE,"High")</f>
        <v>Medium</v>
      </c>
    </row>
    <row r="741" spans="1:23" hidden="1" x14ac:dyDescent="0.25">
      <c r="A741" s="1">
        <v>45572.601435185185</v>
      </c>
      <c r="B741" s="1">
        <f>INT(smart_dataset[[#This Row],[Timestamp]])</f>
        <v>45572</v>
      </c>
      <c r="C741" s="1">
        <f>MOD(smart_dataset[[#This Row],[Timestamp]],1)</f>
        <v>0.60143518518452765</v>
      </c>
      <c r="D741" s="1">
        <f>YEAR(smart_dataset[[#This Row],[Date]])</f>
        <v>2024</v>
      </c>
      <c r="E741" s="1">
        <f>MONTH(smart_dataset[[#This Row],[Timestamp]])</f>
        <v>10</v>
      </c>
      <c r="F741" t="s">
        <v>29</v>
      </c>
      <c r="G741">
        <v>-35.3643</v>
      </c>
      <c r="H741">
        <v>134.89089999999999</v>
      </c>
      <c r="I741">
        <v>275</v>
      </c>
      <c r="J741" t="s">
        <v>21</v>
      </c>
      <c r="K741">
        <v>23</v>
      </c>
      <c r="L741">
        <v>55.7</v>
      </c>
      <c r="M741" t="s">
        <v>28</v>
      </c>
      <c r="N741">
        <v>39</v>
      </c>
      <c r="O741">
        <v>264</v>
      </c>
      <c r="P741">
        <v>1</v>
      </c>
      <c r="Q741" t="s">
        <v>31</v>
      </c>
      <c r="R741">
        <v>64.400000000000006</v>
      </c>
      <c r="S741">
        <v>281</v>
      </c>
      <c r="T741">
        <v>0</v>
      </c>
      <c r="U741" t="str" cm="1">
        <f t="array" ref="U741">_xlfn.IFS(smart_dataset[[#This Row],[Waiting_Time]]&lt;=20,"Low",smart_dataset[[#This Row],[Waiting_Time]]&lt;=40,"Medium",TRUE,"High")</f>
        <v>Medium</v>
      </c>
      <c r="V741" t="str" cm="1">
        <f t="array" ref="V741">_xlfn.IFS(smart_dataset[[#This Row],[Temperature]]&lt;=20,"Cold",smart_dataset[[#This Row],[Temperature]]&lt;=28,"Normal",TRUE,"Hot")</f>
        <v>Normal</v>
      </c>
      <c r="W741" t="str" cm="1">
        <f t="array" ref="W741">_xlfn.IFS(smart_dataset[[#This Row],[Asset_Utilization]]&lt;=75,"Low",smart_dataset[[#This Row],[Asset_Utilization]]&lt;=90,"Medium",TRUE,"High")</f>
        <v>Low</v>
      </c>
    </row>
    <row r="742" spans="1:23" hidden="1" x14ac:dyDescent="0.25">
      <c r="A742" s="1">
        <v>45300.97111111111</v>
      </c>
      <c r="B742" s="1">
        <f>INT(smart_dataset[[#This Row],[Timestamp]])</f>
        <v>45300</v>
      </c>
      <c r="C742" s="1">
        <f>MOD(smart_dataset[[#This Row],[Timestamp]],1)</f>
        <v>0.97111111111007631</v>
      </c>
      <c r="D742" s="1">
        <f>YEAR(smart_dataset[[#This Row],[Date]])</f>
        <v>2024</v>
      </c>
      <c r="E742" s="1">
        <f>MONTH(smart_dataset[[#This Row],[Timestamp]])</f>
        <v>1</v>
      </c>
      <c r="F742" t="s">
        <v>16</v>
      </c>
      <c r="G742">
        <v>1.3294999999999999</v>
      </c>
      <c r="H742">
        <v>83.6357</v>
      </c>
      <c r="I742">
        <v>483</v>
      </c>
      <c r="J742" t="s">
        <v>17</v>
      </c>
      <c r="K742">
        <v>28.6</v>
      </c>
      <c r="L742">
        <v>72.400000000000006</v>
      </c>
      <c r="M742" t="s">
        <v>28</v>
      </c>
      <c r="N742">
        <v>51</v>
      </c>
      <c r="O742">
        <v>243</v>
      </c>
      <c r="P742">
        <v>1</v>
      </c>
      <c r="Q742" t="s">
        <v>27</v>
      </c>
      <c r="R742">
        <v>73.7</v>
      </c>
      <c r="S742">
        <v>167</v>
      </c>
      <c r="T742">
        <v>1</v>
      </c>
      <c r="U742" t="str" cm="1">
        <f t="array" ref="U742">_xlfn.IFS(smart_dataset[[#This Row],[Waiting_Time]]&lt;=20,"Low",smart_dataset[[#This Row],[Waiting_Time]]&lt;=40,"Medium",TRUE,"High")</f>
        <v>High</v>
      </c>
      <c r="V742" t="str" cm="1">
        <f t="array" ref="V742">_xlfn.IFS(smart_dataset[[#This Row],[Temperature]]&lt;=20,"Cold",smart_dataset[[#This Row],[Temperature]]&lt;=28,"Normal",TRUE,"Hot")</f>
        <v>Hot</v>
      </c>
      <c r="W742" t="str" cm="1">
        <f t="array" ref="W742">_xlfn.IFS(smart_dataset[[#This Row],[Asset_Utilization]]&lt;=75,"Low",smart_dataset[[#This Row],[Asset_Utilization]]&lt;=90,"Medium",TRUE,"High")</f>
        <v>Low</v>
      </c>
    </row>
    <row r="743" spans="1:23" x14ac:dyDescent="0.25">
      <c r="A743" s="1">
        <v>45292.770335648151</v>
      </c>
      <c r="B743" s="1">
        <f>INT(smart_dataset[[#This Row],[Timestamp]])</f>
        <v>45292</v>
      </c>
      <c r="C743" s="7">
        <f>MOD(smart_dataset[[#This Row],[Timestamp]],1)</f>
        <v>0.77033564815064892</v>
      </c>
      <c r="D743">
        <f>YEAR(smart_dataset[[#This Row],[Date]])</f>
        <v>2024</v>
      </c>
      <c r="E743">
        <f>MONTH(smart_dataset[[#This Row],[Timestamp]])</f>
        <v>1</v>
      </c>
      <c r="F743" t="s">
        <v>33</v>
      </c>
      <c r="G743">
        <v>88.765199999999993</v>
      </c>
      <c r="H743">
        <v>-178.2706</v>
      </c>
      <c r="I743">
        <v>179</v>
      </c>
      <c r="J743" t="s">
        <v>17</v>
      </c>
      <c r="K743">
        <v>25.5</v>
      </c>
      <c r="L743">
        <v>70.900000000000006</v>
      </c>
      <c r="M743" t="s">
        <v>18</v>
      </c>
      <c r="N743">
        <v>12</v>
      </c>
      <c r="O743">
        <v>427</v>
      </c>
      <c r="P743">
        <v>9</v>
      </c>
      <c r="Q743" t="s">
        <v>19</v>
      </c>
      <c r="R743">
        <v>60.3</v>
      </c>
      <c r="S743">
        <v>157</v>
      </c>
      <c r="T743">
        <v>1</v>
      </c>
      <c r="U743" t="str" cm="1">
        <f t="array" ref="U743">_xlfn.IFS(smart_dataset[[#This Row],[Waiting_Time]]&lt;=20,"Low",smart_dataset[[#This Row],[Waiting_Time]]&lt;=40,"Medium",TRUE,"High")</f>
        <v>Low</v>
      </c>
      <c r="V743" t="str" cm="1">
        <f t="array" ref="V743">_xlfn.IFS(smart_dataset[[#This Row],[Temperature]]&lt;=20,"Cold",smart_dataset[[#This Row],[Temperature]]&lt;=28,"Normal",TRUE,"Hot")</f>
        <v>Normal</v>
      </c>
      <c r="W743" t="str" cm="1">
        <f t="array" ref="W743">_xlfn.IFS(smart_dataset[[#This Row],[Asset_Utilization]]&lt;=75,"Low",smart_dataset[[#This Row],[Asset_Utilization]]&lt;=90,"Medium",TRUE,"High")</f>
        <v>Low</v>
      </c>
    </row>
    <row r="744" spans="1:23" hidden="1" x14ac:dyDescent="0.25">
      <c r="A744" s="1">
        <v>45644.350648148145</v>
      </c>
      <c r="B744" s="1">
        <f>INT(smart_dataset[[#This Row],[Timestamp]])</f>
        <v>45644</v>
      </c>
      <c r="C744" s="1">
        <f>MOD(smart_dataset[[#This Row],[Timestamp]],1)</f>
        <v>0.35064814814541023</v>
      </c>
      <c r="D744" s="1">
        <f>YEAR(smart_dataset[[#This Row],[Date]])</f>
        <v>2024</v>
      </c>
      <c r="E744" s="1">
        <f>MONTH(smart_dataset[[#This Row],[Timestamp]])</f>
        <v>12</v>
      </c>
      <c r="F744" t="s">
        <v>33</v>
      </c>
      <c r="G744">
        <v>54.493000000000002</v>
      </c>
      <c r="H744">
        <v>24.597899999999999</v>
      </c>
      <c r="I744">
        <v>325</v>
      </c>
      <c r="J744" t="s">
        <v>26</v>
      </c>
      <c r="K744">
        <v>26.4</v>
      </c>
      <c r="L744">
        <v>53.7</v>
      </c>
      <c r="M744" t="s">
        <v>18</v>
      </c>
      <c r="N744">
        <v>49</v>
      </c>
      <c r="O744">
        <v>495</v>
      </c>
      <c r="P744">
        <v>3</v>
      </c>
      <c r="Q744" t="s">
        <v>23</v>
      </c>
      <c r="R744">
        <v>79.5</v>
      </c>
      <c r="S744">
        <v>145</v>
      </c>
      <c r="T744">
        <v>0</v>
      </c>
      <c r="U744" t="str" cm="1">
        <f t="array" ref="U744">_xlfn.IFS(smart_dataset[[#This Row],[Waiting_Time]]&lt;=20,"Low",smart_dataset[[#This Row],[Waiting_Time]]&lt;=40,"Medium",TRUE,"High")</f>
        <v>High</v>
      </c>
      <c r="V744" t="str" cm="1">
        <f t="array" ref="V744">_xlfn.IFS(smart_dataset[[#This Row],[Temperature]]&lt;=20,"Cold",smart_dataset[[#This Row],[Temperature]]&lt;=28,"Normal",TRUE,"Hot")</f>
        <v>Normal</v>
      </c>
      <c r="W744" t="str" cm="1">
        <f t="array" ref="W744">_xlfn.IFS(smart_dataset[[#This Row],[Asset_Utilization]]&lt;=75,"Low",smart_dataset[[#This Row],[Asset_Utilization]]&lt;=90,"Medium",TRUE,"High")</f>
        <v>Medium</v>
      </c>
    </row>
    <row r="745" spans="1:23" hidden="1" x14ac:dyDescent="0.25">
      <c r="A745" s="1">
        <v>45307.407731481479</v>
      </c>
      <c r="B745" s="1">
        <f>INT(smart_dataset[[#This Row],[Timestamp]])</f>
        <v>45307</v>
      </c>
      <c r="C745" s="1">
        <f>MOD(smart_dataset[[#This Row],[Timestamp]],1)</f>
        <v>0.40773148147854954</v>
      </c>
      <c r="D745" s="1">
        <f>YEAR(smart_dataset[[#This Row],[Date]])</f>
        <v>2024</v>
      </c>
      <c r="E745" s="1">
        <f>MONTH(smart_dataset[[#This Row],[Timestamp]])</f>
        <v>1</v>
      </c>
      <c r="F745" t="s">
        <v>24</v>
      </c>
      <c r="G745">
        <v>49.743099999999998</v>
      </c>
      <c r="H745">
        <v>156.32159999999999</v>
      </c>
      <c r="I745">
        <v>256</v>
      </c>
      <c r="J745" t="s">
        <v>26</v>
      </c>
      <c r="K745">
        <v>22.3</v>
      </c>
      <c r="L745">
        <v>66.3</v>
      </c>
      <c r="M745" t="s">
        <v>22</v>
      </c>
      <c r="N745">
        <v>10</v>
      </c>
      <c r="O745">
        <v>462</v>
      </c>
      <c r="P745">
        <v>1</v>
      </c>
      <c r="Q745" t="s">
        <v>23</v>
      </c>
      <c r="R745">
        <v>95.5</v>
      </c>
      <c r="S745">
        <v>276</v>
      </c>
      <c r="T745">
        <v>1</v>
      </c>
      <c r="U745" t="str" cm="1">
        <f t="array" ref="U745">_xlfn.IFS(smart_dataset[[#This Row],[Waiting_Time]]&lt;=20,"Low",smart_dataset[[#This Row],[Waiting_Time]]&lt;=40,"Medium",TRUE,"High")</f>
        <v>Low</v>
      </c>
      <c r="V745" t="str" cm="1">
        <f t="array" ref="V745">_xlfn.IFS(smart_dataset[[#This Row],[Temperature]]&lt;=20,"Cold",smart_dataset[[#This Row],[Temperature]]&lt;=28,"Normal",TRUE,"Hot")</f>
        <v>Normal</v>
      </c>
      <c r="W745" t="str" cm="1">
        <f t="array" ref="W745">_xlfn.IFS(smart_dataset[[#This Row],[Asset_Utilization]]&lt;=75,"Low",smart_dataset[[#This Row],[Asset_Utilization]]&lt;=90,"Medium",TRUE,"High")</f>
        <v>High</v>
      </c>
    </row>
    <row r="746" spans="1:23" hidden="1" x14ac:dyDescent="0.25">
      <c r="A746" s="1">
        <v>45547.135000000002</v>
      </c>
      <c r="B746" s="1">
        <f>INT(smart_dataset[[#This Row],[Timestamp]])</f>
        <v>45547</v>
      </c>
      <c r="C746" s="1">
        <f>MOD(smart_dataset[[#This Row],[Timestamp]],1)</f>
        <v>0.13500000000203727</v>
      </c>
      <c r="D746" s="1">
        <f>YEAR(smart_dataset[[#This Row],[Date]])</f>
        <v>2024</v>
      </c>
      <c r="E746" s="1">
        <f>MONTH(smart_dataset[[#This Row],[Timestamp]])</f>
        <v>9</v>
      </c>
      <c r="F746" t="s">
        <v>29</v>
      </c>
      <c r="G746">
        <v>-86.935699999999997</v>
      </c>
      <c r="H746">
        <v>-84.971800000000002</v>
      </c>
      <c r="I746">
        <v>405</v>
      </c>
      <c r="J746" t="s">
        <v>21</v>
      </c>
      <c r="K746">
        <v>20.5</v>
      </c>
      <c r="L746">
        <v>55.6</v>
      </c>
      <c r="M746" t="s">
        <v>22</v>
      </c>
      <c r="N746">
        <v>25</v>
      </c>
      <c r="O746">
        <v>442</v>
      </c>
      <c r="P746">
        <v>4</v>
      </c>
      <c r="Q746" t="s">
        <v>27</v>
      </c>
      <c r="R746">
        <v>70.5</v>
      </c>
      <c r="S746">
        <v>269</v>
      </c>
      <c r="T746">
        <v>1</v>
      </c>
      <c r="U746" t="str" cm="1">
        <f t="array" ref="U746">_xlfn.IFS(smart_dataset[[#This Row],[Waiting_Time]]&lt;=20,"Low",smart_dataset[[#This Row],[Waiting_Time]]&lt;=40,"Medium",TRUE,"High")</f>
        <v>Medium</v>
      </c>
      <c r="V746" t="str" cm="1">
        <f t="array" ref="V746">_xlfn.IFS(smart_dataset[[#This Row],[Temperature]]&lt;=20,"Cold",smart_dataset[[#This Row],[Temperature]]&lt;=28,"Normal",TRUE,"Hot")</f>
        <v>Normal</v>
      </c>
      <c r="W746" t="str" cm="1">
        <f t="array" ref="W746">_xlfn.IFS(smart_dataset[[#This Row],[Asset_Utilization]]&lt;=75,"Low",smart_dataset[[#This Row],[Asset_Utilization]]&lt;=90,"Medium",TRUE,"High")</f>
        <v>Low</v>
      </c>
    </row>
    <row r="747" spans="1:23" x14ac:dyDescent="0.25">
      <c r="A747" s="1">
        <v>45612.074664351851</v>
      </c>
      <c r="B747" s="1">
        <f>INT(smart_dataset[[#This Row],[Timestamp]])</f>
        <v>45612</v>
      </c>
      <c r="C747" s="7">
        <f>MOD(smart_dataset[[#This Row],[Timestamp]],1)</f>
        <v>7.4664351850515231E-2</v>
      </c>
      <c r="D747">
        <f>YEAR(smart_dataset[[#This Row],[Date]])</f>
        <v>2024</v>
      </c>
      <c r="E747">
        <f>MONTH(smart_dataset[[#This Row],[Timestamp]])</f>
        <v>11</v>
      </c>
      <c r="F747" t="s">
        <v>34</v>
      </c>
      <c r="G747">
        <v>-59.607799999999997</v>
      </c>
      <c r="H747">
        <v>157.02000000000001</v>
      </c>
      <c r="I747">
        <v>428</v>
      </c>
      <c r="J747" t="s">
        <v>17</v>
      </c>
      <c r="K747">
        <v>23.5</v>
      </c>
      <c r="L747">
        <v>67.3</v>
      </c>
      <c r="M747" t="s">
        <v>22</v>
      </c>
      <c r="N747">
        <v>33</v>
      </c>
      <c r="O747">
        <v>152</v>
      </c>
      <c r="P747">
        <v>8</v>
      </c>
      <c r="Q747" t="s">
        <v>19</v>
      </c>
      <c r="R747">
        <v>71.3</v>
      </c>
      <c r="S747">
        <v>300</v>
      </c>
      <c r="T747">
        <v>1</v>
      </c>
      <c r="U747" t="str" cm="1">
        <f t="array" ref="U747">_xlfn.IFS(smart_dataset[[#This Row],[Waiting_Time]]&lt;=20,"Low",smart_dataset[[#This Row],[Waiting_Time]]&lt;=40,"Medium",TRUE,"High")</f>
        <v>Medium</v>
      </c>
      <c r="V747" t="str" cm="1">
        <f t="array" ref="V747">_xlfn.IFS(smart_dataset[[#This Row],[Temperature]]&lt;=20,"Cold",smart_dataset[[#This Row],[Temperature]]&lt;=28,"Normal",TRUE,"Hot")</f>
        <v>Normal</v>
      </c>
      <c r="W747" t="str" cm="1">
        <f t="array" ref="W747">_xlfn.IFS(smart_dataset[[#This Row],[Asset_Utilization]]&lt;=75,"Low",smart_dataset[[#This Row],[Asset_Utilization]]&lt;=90,"Medium",TRUE,"High")</f>
        <v>Low</v>
      </c>
    </row>
    <row r="748" spans="1:23" x14ac:dyDescent="0.25">
      <c r="A748" s="1">
        <v>45434.201550925929</v>
      </c>
      <c r="B748" s="1">
        <f>INT(smart_dataset[[#This Row],[Timestamp]])</f>
        <v>45434</v>
      </c>
      <c r="C748" s="7">
        <f>MOD(smart_dataset[[#This Row],[Timestamp]],1)</f>
        <v>0.20155092592904111</v>
      </c>
      <c r="D748">
        <f>YEAR(smart_dataset[[#This Row],[Date]])</f>
        <v>2024</v>
      </c>
      <c r="E748">
        <f>MONTH(smart_dataset[[#This Row],[Timestamp]])</f>
        <v>5</v>
      </c>
      <c r="F748" t="s">
        <v>35</v>
      </c>
      <c r="G748">
        <v>-10.9298</v>
      </c>
      <c r="H748">
        <v>-89.030600000000007</v>
      </c>
      <c r="I748">
        <v>247</v>
      </c>
      <c r="J748" t="s">
        <v>17</v>
      </c>
      <c r="K748">
        <v>18.3</v>
      </c>
      <c r="L748">
        <v>56.7</v>
      </c>
      <c r="M748" t="s">
        <v>22</v>
      </c>
      <c r="N748">
        <v>60</v>
      </c>
      <c r="O748">
        <v>194</v>
      </c>
      <c r="P748">
        <v>6</v>
      </c>
      <c r="Q748" t="s">
        <v>19</v>
      </c>
      <c r="R748">
        <v>66.8</v>
      </c>
      <c r="S748">
        <v>192</v>
      </c>
      <c r="T748">
        <v>1</v>
      </c>
      <c r="U748" t="str" cm="1">
        <f t="array" ref="U748">_xlfn.IFS(smart_dataset[[#This Row],[Waiting_Time]]&lt;=20,"Low",smart_dataset[[#This Row],[Waiting_Time]]&lt;=40,"Medium",TRUE,"High")</f>
        <v>High</v>
      </c>
      <c r="V748" t="str" cm="1">
        <f t="array" ref="V748">_xlfn.IFS(smart_dataset[[#This Row],[Temperature]]&lt;=20,"Cold",smart_dataset[[#This Row],[Temperature]]&lt;=28,"Normal",TRUE,"Hot")</f>
        <v>Cold</v>
      </c>
      <c r="W748" t="str" cm="1">
        <f t="array" ref="W748">_xlfn.IFS(smart_dataset[[#This Row],[Asset_Utilization]]&lt;=75,"Low",smart_dataset[[#This Row],[Asset_Utilization]]&lt;=90,"Medium",TRUE,"High")</f>
        <v>Low</v>
      </c>
    </row>
    <row r="749" spans="1:23" hidden="1" x14ac:dyDescent="0.25">
      <c r="A749" s="1">
        <v>45446.845567129632</v>
      </c>
      <c r="B749" s="1">
        <f>INT(smart_dataset[[#This Row],[Timestamp]])</f>
        <v>45446</v>
      </c>
      <c r="C749" s="1">
        <f>MOD(smart_dataset[[#This Row],[Timestamp]],1)</f>
        <v>0.84556712963239988</v>
      </c>
      <c r="D749" s="1">
        <f>YEAR(smart_dataset[[#This Row],[Date]])</f>
        <v>2024</v>
      </c>
      <c r="E749" s="1">
        <f>MONTH(smart_dataset[[#This Row],[Timestamp]])</f>
        <v>6</v>
      </c>
      <c r="F749" t="s">
        <v>32</v>
      </c>
      <c r="G749">
        <v>-54.357100000000003</v>
      </c>
      <c r="H749">
        <v>-133.19380000000001</v>
      </c>
      <c r="I749">
        <v>276</v>
      </c>
      <c r="J749" t="s">
        <v>26</v>
      </c>
      <c r="K749">
        <v>19.600000000000001</v>
      </c>
      <c r="L749">
        <v>53.4</v>
      </c>
      <c r="M749" t="s">
        <v>22</v>
      </c>
      <c r="N749">
        <v>38</v>
      </c>
      <c r="O749">
        <v>408</v>
      </c>
      <c r="P749">
        <v>2</v>
      </c>
      <c r="Q749" t="s">
        <v>27</v>
      </c>
      <c r="R749">
        <v>89.2</v>
      </c>
      <c r="S749">
        <v>118</v>
      </c>
      <c r="T749">
        <v>1</v>
      </c>
      <c r="U749" t="str" cm="1">
        <f t="array" ref="U749">_xlfn.IFS(smart_dataset[[#This Row],[Waiting_Time]]&lt;=20,"Low",smart_dataset[[#This Row],[Waiting_Time]]&lt;=40,"Medium",TRUE,"High")</f>
        <v>Medium</v>
      </c>
      <c r="V749" t="str" cm="1">
        <f t="array" ref="V749">_xlfn.IFS(smart_dataset[[#This Row],[Temperature]]&lt;=20,"Cold",smart_dataset[[#This Row],[Temperature]]&lt;=28,"Normal",TRUE,"Hot")</f>
        <v>Cold</v>
      </c>
      <c r="W749" t="str" cm="1">
        <f t="array" ref="W749">_xlfn.IFS(smart_dataset[[#This Row],[Asset_Utilization]]&lt;=75,"Low",smart_dataset[[#This Row],[Asset_Utilization]]&lt;=90,"Medium",TRUE,"High")</f>
        <v>Medium</v>
      </c>
    </row>
    <row r="750" spans="1:23" hidden="1" x14ac:dyDescent="0.25">
      <c r="A750" s="1">
        <v>45368.012974537036</v>
      </c>
      <c r="B750" s="1">
        <f>INT(smart_dataset[[#This Row],[Timestamp]])</f>
        <v>45368</v>
      </c>
      <c r="C750" s="1">
        <f>MOD(smart_dataset[[#This Row],[Timestamp]],1)</f>
        <v>1.2974537035916001E-2</v>
      </c>
      <c r="D750" s="1">
        <f>YEAR(smart_dataset[[#This Row],[Date]])</f>
        <v>2024</v>
      </c>
      <c r="E750" s="1">
        <f>MONTH(smart_dataset[[#This Row],[Timestamp]])</f>
        <v>3</v>
      </c>
      <c r="F750" t="s">
        <v>32</v>
      </c>
      <c r="G750">
        <v>-82.175399999999996</v>
      </c>
      <c r="H750">
        <v>-169.42189999999999</v>
      </c>
      <c r="I750">
        <v>410</v>
      </c>
      <c r="J750" t="s">
        <v>26</v>
      </c>
      <c r="K750">
        <v>25</v>
      </c>
      <c r="L750">
        <v>72.900000000000006</v>
      </c>
      <c r="M750" t="s">
        <v>28</v>
      </c>
      <c r="N750">
        <v>21</v>
      </c>
      <c r="O750">
        <v>306</v>
      </c>
      <c r="P750">
        <v>2</v>
      </c>
      <c r="Q750" t="s">
        <v>27</v>
      </c>
      <c r="R750">
        <v>71.2</v>
      </c>
      <c r="S750">
        <v>132</v>
      </c>
      <c r="T750">
        <v>0</v>
      </c>
      <c r="U750" t="str" cm="1">
        <f t="array" ref="U750">_xlfn.IFS(smart_dataset[[#This Row],[Waiting_Time]]&lt;=20,"Low",smart_dataset[[#This Row],[Waiting_Time]]&lt;=40,"Medium",TRUE,"High")</f>
        <v>Medium</v>
      </c>
      <c r="V750" t="str" cm="1">
        <f t="array" ref="V750">_xlfn.IFS(smart_dataset[[#This Row],[Temperature]]&lt;=20,"Cold",smart_dataset[[#This Row],[Temperature]]&lt;=28,"Normal",TRUE,"Hot")</f>
        <v>Normal</v>
      </c>
      <c r="W750" t="str" cm="1">
        <f t="array" ref="W750">_xlfn.IFS(smart_dataset[[#This Row],[Asset_Utilization]]&lt;=75,"Low",smart_dataset[[#This Row],[Asset_Utilization]]&lt;=90,"Medium",TRUE,"High")</f>
        <v>Low</v>
      </c>
    </row>
    <row r="751" spans="1:23" hidden="1" x14ac:dyDescent="0.25">
      <c r="A751" s="1">
        <v>45494.405474537038</v>
      </c>
      <c r="B751" s="1">
        <f>INT(smart_dataset[[#This Row],[Timestamp]])</f>
        <v>45494</v>
      </c>
      <c r="C751" s="1">
        <f>MOD(smart_dataset[[#This Row],[Timestamp]],1)</f>
        <v>0.40547453703766223</v>
      </c>
      <c r="D751" s="1">
        <f>YEAR(smart_dataset[[#This Row],[Date]])</f>
        <v>2024</v>
      </c>
      <c r="E751" s="1">
        <f>MONTH(smart_dataset[[#This Row],[Timestamp]])</f>
        <v>7</v>
      </c>
      <c r="F751" t="s">
        <v>35</v>
      </c>
      <c r="G751">
        <v>-11.363099999999999</v>
      </c>
      <c r="H751">
        <v>83.081900000000005</v>
      </c>
      <c r="I751">
        <v>449</v>
      </c>
      <c r="J751" t="s">
        <v>26</v>
      </c>
      <c r="K751">
        <v>28.8</v>
      </c>
      <c r="L751">
        <v>76.2</v>
      </c>
      <c r="M751" t="s">
        <v>28</v>
      </c>
      <c r="N751">
        <v>31</v>
      </c>
      <c r="O751">
        <v>234</v>
      </c>
      <c r="P751">
        <v>8</v>
      </c>
      <c r="Q751" t="s">
        <v>27</v>
      </c>
      <c r="R751">
        <v>91.7</v>
      </c>
      <c r="S751">
        <v>129</v>
      </c>
      <c r="T751">
        <v>0</v>
      </c>
      <c r="U751" t="str" cm="1">
        <f t="array" ref="U751">_xlfn.IFS(smart_dataset[[#This Row],[Waiting_Time]]&lt;=20,"Low",smart_dataset[[#This Row],[Waiting_Time]]&lt;=40,"Medium",TRUE,"High")</f>
        <v>Medium</v>
      </c>
      <c r="V751" t="str" cm="1">
        <f t="array" ref="V751">_xlfn.IFS(smart_dataset[[#This Row],[Temperature]]&lt;=20,"Cold",smart_dataset[[#This Row],[Temperature]]&lt;=28,"Normal",TRUE,"Hot")</f>
        <v>Hot</v>
      </c>
      <c r="W751" t="str" cm="1">
        <f t="array" ref="W751">_xlfn.IFS(smart_dataset[[#This Row],[Asset_Utilization]]&lt;=75,"Low",smart_dataset[[#This Row],[Asset_Utilization]]&lt;=90,"Medium",TRUE,"High")</f>
        <v>High</v>
      </c>
    </row>
    <row r="752" spans="1:23" hidden="1" x14ac:dyDescent="0.25">
      <c r="A752" s="1">
        <v>45387.281157407408</v>
      </c>
      <c r="B752" s="1">
        <f>INT(smart_dataset[[#This Row],[Timestamp]])</f>
        <v>45387</v>
      </c>
      <c r="C752" s="1">
        <f>MOD(smart_dataset[[#This Row],[Timestamp]],1)</f>
        <v>0.28115740740759065</v>
      </c>
      <c r="D752" s="1">
        <f>YEAR(smart_dataset[[#This Row],[Date]])</f>
        <v>2024</v>
      </c>
      <c r="E752" s="1">
        <f>MONTH(smart_dataset[[#This Row],[Timestamp]])</f>
        <v>4</v>
      </c>
      <c r="F752" t="s">
        <v>20</v>
      </c>
      <c r="G752">
        <v>-48.383800000000001</v>
      </c>
      <c r="H752">
        <v>-163.11770000000001</v>
      </c>
      <c r="I752">
        <v>403</v>
      </c>
      <c r="J752" t="s">
        <v>26</v>
      </c>
      <c r="K752">
        <v>19.399999999999999</v>
      </c>
      <c r="L752">
        <v>70.3</v>
      </c>
      <c r="M752" t="s">
        <v>28</v>
      </c>
      <c r="N752">
        <v>43</v>
      </c>
      <c r="O752">
        <v>238</v>
      </c>
      <c r="P752">
        <v>5</v>
      </c>
      <c r="Q752" t="s">
        <v>31</v>
      </c>
      <c r="R752">
        <v>79.7</v>
      </c>
      <c r="S752">
        <v>202</v>
      </c>
      <c r="T752">
        <v>0</v>
      </c>
      <c r="U752" t="str" cm="1">
        <f t="array" ref="U752">_xlfn.IFS(smart_dataset[[#This Row],[Waiting_Time]]&lt;=20,"Low",smart_dataset[[#This Row],[Waiting_Time]]&lt;=40,"Medium",TRUE,"High")</f>
        <v>High</v>
      </c>
      <c r="V752" t="str" cm="1">
        <f t="array" ref="V752">_xlfn.IFS(smart_dataset[[#This Row],[Temperature]]&lt;=20,"Cold",smart_dataset[[#This Row],[Temperature]]&lt;=28,"Normal",TRUE,"Hot")</f>
        <v>Cold</v>
      </c>
      <c r="W752" t="str" cm="1">
        <f t="array" ref="W752">_xlfn.IFS(smart_dataset[[#This Row],[Asset_Utilization]]&lt;=75,"Low",smart_dataset[[#This Row],[Asset_Utilization]]&lt;=90,"Medium",TRUE,"High")</f>
        <v>Medium</v>
      </c>
    </row>
    <row r="753" spans="1:23" hidden="1" x14ac:dyDescent="0.25">
      <c r="A753" s="1">
        <v>45307.728414351855</v>
      </c>
      <c r="B753" s="1">
        <f>INT(smart_dataset[[#This Row],[Timestamp]])</f>
        <v>45307</v>
      </c>
      <c r="C753" s="1">
        <f>MOD(smart_dataset[[#This Row],[Timestamp]],1)</f>
        <v>0.72841435185546288</v>
      </c>
      <c r="D753" s="1">
        <f>YEAR(smart_dataset[[#This Row],[Date]])</f>
        <v>2024</v>
      </c>
      <c r="E753" s="1">
        <f>MONTH(smart_dataset[[#This Row],[Timestamp]])</f>
        <v>1</v>
      </c>
      <c r="F753" t="s">
        <v>16</v>
      </c>
      <c r="G753">
        <v>7.0556999999999999</v>
      </c>
      <c r="H753">
        <v>-122.6525</v>
      </c>
      <c r="I753">
        <v>380</v>
      </c>
      <c r="J753" t="s">
        <v>17</v>
      </c>
      <c r="K753">
        <v>27.1</v>
      </c>
      <c r="L753">
        <v>71.5</v>
      </c>
      <c r="M753" t="s">
        <v>28</v>
      </c>
      <c r="N753">
        <v>23</v>
      </c>
      <c r="O753">
        <v>373</v>
      </c>
      <c r="P753">
        <v>3</v>
      </c>
      <c r="Q753" t="s">
        <v>31</v>
      </c>
      <c r="R753">
        <v>97.1</v>
      </c>
      <c r="S753">
        <v>286</v>
      </c>
      <c r="T753">
        <v>1</v>
      </c>
      <c r="U753" t="str" cm="1">
        <f t="array" ref="U753">_xlfn.IFS(smart_dataset[[#This Row],[Waiting_Time]]&lt;=20,"Low",smart_dataset[[#This Row],[Waiting_Time]]&lt;=40,"Medium",TRUE,"High")</f>
        <v>Medium</v>
      </c>
      <c r="V753" t="str" cm="1">
        <f t="array" ref="V753">_xlfn.IFS(smart_dataset[[#This Row],[Temperature]]&lt;=20,"Cold",smart_dataset[[#This Row],[Temperature]]&lt;=28,"Normal",TRUE,"Hot")</f>
        <v>Normal</v>
      </c>
      <c r="W753" t="str" cm="1">
        <f t="array" ref="W753">_xlfn.IFS(smart_dataset[[#This Row],[Asset_Utilization]]&lt;=75,"Low",smart_dataset[[#This Row],[Asset_Utilization]]&lt;=90,"Medium",TRUE,"High")</f>
        <v>High</v>
      </c>
    </row>
    <row r="754" spans="1:23" hidden="1" x14ac:dyDescent="0.25">
      <c r="A754" s="1">
        <v>45644.058263888888</v>
      </c>
      <c r="B754" s="1">
        <f>INT(smart_dataset[[#This Row],[Timestamp]])</f>
        <v>45644</v>
      </c>
      <c r="C754" s="1">
        <f>MOD(smart_dataset[[#This Row],[Timestamp]],1)</f>
        <v>5.8263888888177462E-2</v>
      </c>
      <c r="D754" s="1">
        <f>YEAR(smart_dataset[[#This Row],[Date]])</f>
        <v>2024</v>
      </c>
      <c r="E754" s="1">
        <f>MONTH(smart_dataset[[#This Row],[Timestamp]])</f>
        <v>12</v>
      </c>
      <c r="F754" t="s">
        <v>34</v>
      </c>
      <c r="G754">
        <v>-1.0775999999999999</v>
      </c>
      <c r="H754">
        <v>51.907499999999999</v>
      </c>
      <c r="I754">
        <v>417</v>
      </c>
      <c r="J754" t="s">
        <v>21</v>
      </c>
      <c r="K754">
        <v>27</v>
      </c>
      <c r="L754">
        <v>62.8</v>
      </c>
      <c r="M754" t="s">
        <v>22</v>
      </c>
      <c r="N754">
        <v>33</v>
      </c>
      <c r="O754">
        <v>373</v>
      </c>
      <c r="P754">
        <v>1</v>
      </c>
      <c r="Q754" t="s">
        <v>23</v>
      </c>
      <c r="R754">
        <v>74.099999999999994</v>
      </c>
      <c r="S754">
        <v>122</v>
      </c>
      <c r="T754">
        <v>1</v>
      </c>
      <c r="U754" t="str" cm="1">
        <f t="array" ref="U754">_xlfn.IFS(smart_dataset[[#This Row],[Waiting_Time]]&lt;=20,"Low",smart_dataset[[#This Row],[Waiting_Time]]&lt;=40,"Medium",TRUE,"High")</f>
        <v>Medium</v>
      </c>
      <c r="V754" t="str" cm="1">
        <f t="array" ref="V754">_xlfn.IFS(smart_dataset[[#This Row],[Temperature]]&lt;=20,"Cold",smart_dataset[[#This Row],[Temperature]]&lt;=28,"Normal",TRUE,"Hot")</f>
        <v>Normal</v>
      </c>
      <c r="W754" t="str" cm="1">
        <f t="array" ref="W754">_xlfn.IFS(smart_dataset[[#This Row],[Asset_Utilization]]&lt;=75,"Low",smart_dataset[[#This Row],[Asset_Utilization]]&lt;=90,"Medium",TRUE,"High")</f>
        <v>Low</v>
      </c>
    </row>
    <row r="755" spans="1:23" hidden="1" x14ac:dyDescent="0.25">
      <c r="A755" s="1">
        <v>45644.611215277779</v>
      </c>
      <c r="B755" s="1">
        <f>INT(smart_dataset[[#This Row],[Timestamp]])</f>
        <v>45644</v>
      </c>
      <c r="C755" s="1">
        <f>MOD(smart_dataset[[#This Row],[Timestamp]],1)</f>
        <v>0.61121527777868323</v>
      </c>
      <c r="D755" s="1">
        <f>YEAR(smart_dataset[[#This Row],[Date]])</f>
        <v>2024</v>
      </c>
      <c r="E755" s="1">
        <f>MONTH(smart_dataset[[#This Row],[Timestamp]])</f>
        <v>12</v>
      </c>
      <c r="F755" t="s">
        <v>35</v>
      </c>
      <c r="G755">
        <v>-81.573300000000003</v>
      </c>
      <c r="H755">
        <v>-17.378699999999998</v>
      </c>
      <c r="I755">
        <v>169</v>
      </c>
      <c r="J755" t="s">
        <v>17</v>
      </c>
      <c r="K755">
        <v>28.4</v>
      </c>
      <c r="L755">
        <v>74.400000000000006</v>
      </c>
      <c r="M755" t="s">
        <v>22</v>
      </c>
      <c r="N755">
        <v>53</v>
      </c>
      <c r="O755">
        <v>342</v>
      </c>
      <c r="P755">
        <v>6</v>
      </c>
      <c r="Q755" t="s">
        <v>27</v>
      </c>
      <c r="R755">
        <v>98.1</v>
      </c>
      <c r="S755">
        <v>179</v>
      </c>
      <c r="T755">
        <v>1</v>
      </c>
      <c r="U755" t="str" cm="1">
        <f t="array" ref="U755">_xlfn.IFS(smart_dataset[[#This Row],[Waiting_Time]]&lt;=20,"Low",smart_dataset[[#This Row],[Waiting_Time]]&lt;=40,"Medium",TRUE,"High")</f>
        <v>High</v>
      </c>
      <c r="V755" t="str" cm="1">
        <f t="array" ref="V755">_xlfn.IFS(smart_dataset[[#This Row],[Temperature]]&lt;=20,"Cold",smart_dataset[[#This Row],[Temperature]]&lt;=28,"Normal",TRUE,"Hot")</f>
        <v>Hot</v>
      </c>
      <c r="W755" t="str" cm="1">
        <f t="array" ref="W755">_xlfn.IFS(smart_dataset[[#This Row],[Asset_Utilization]]&lt;=75,"Low",smart_dataset[[#This Row],[Asset_Utilization]]&lt;=90,"Medium",TRUE,"High")</f>
        <v>High</v>
      </c>
    </row>
    <row r="756" spans="1:23" x14ac:dyDescent="0.25">
      <c r="A756" s="1">
        <v>45355.378217592595</v>
      </c>
      <c r="B756" s="1">
        <f>INT(smart_dataset[[#This Row],[Timestamp]])</f>
        <v>45355</v>
      </c>
      <c r="C756" s="7">
        <f>MOD(smart_dataset[[#This Row],[Timestamp]],1)</f>
        <v>0.37821759259531973</v>
      </c>
      <c r="D756">
        <f>YEAR(smart_dataset[[#This Row],[Date]])</f>
        <v>2024</v>
      </c>
      <c r="E756">
        <f>MONTH(smart_dataset[[#This Row],[Timestamp]])</f>
        <v>3</v>
      </c>
      <c r="F756" t="s">
        <v>16</v>
      </c>
      <c r="G756">
        <v>75.210899999999995</v>
      </c>
      <c r="H756">
        <v>170.33709999999999</v>
      </c>
      <c r="I756">
        <v>382</v>
      </c>
      <c r="J756" t="s">
        <v>17</v>
      </c>
      <c r="K756">
        <v>22.2</v>
      </c>
      <c r="L756">
        <v>63.2</v>
      </c>
      <c r="M756" t="s">
        <v>28</v>
      </c>
      <c r="N756">
        <v>12</v>
      </c>
      <c r="O756">
        <v>467</v>
      </c>
      <c r="P756">
        <v>6</v>
      </c>
      <c r="Q756" t="s">
        <v>19</v>
      </c>
      <c r="R756">
        <v>80.599999999999994</v>
      </c>
      <c r="S756">
        <v>210</v>
      </c>
      <c r="T756">
        <v>1</v>
      </c>
      <c r="U756" t="str" cm="1">
        <f t="array" ref="U756">_xlfn.IFS(smart_dataset[[#This Row],[Waiting_Time]]&lt;=20,"Low",smart_dataset[[#This Row],[Waiting_Time]]&lt;=40,"Medium",TRUE,"High")</f>
        <v>Low</v>
      </c>
      <c r="V756" t="str" cm="1">
        <f t="array" ref="V756">_xlfn.IFS(smart_dataset[[#This Row],[Temperature]]&lt;=20,"Cold",smart_dataset[[#This Row],[Temperature]]&lt;=28,"Normal",TRUE,"Hot")</f>
        <v>Normal</v>
      </c>
      <c r="W756" t="str" cm="1">
        <f t="array" ref="W756">_xlfn.IFS(smart_dataset[[#This Row],[Asset_Utilization]]&lt;=75,"Low",smart_dataset[[#This Row],[Asset_Utilization]]&lt;=90,"Medium",TRUE,"High")</f>
        <v>Medium</v>
      </c>
    </row>
    <row r="757" spans="1:23" hidden="1" x14ac:dyDescent="0.25">
      <c r="A757" s="1">
        <v>45604.089143518519</v>
      </c>
      <c r="B757" s="1">
        <f>INT(smart_dataset[[#This Row],[Timestamp]])</f>
        <v>45604</v>
      </c>
      <c r="C757" s="1">
        <f>MOD(smart_dataset[[#This Row],[Timestamp]],1)</f>
        <v>8.9143518518540077E-2</v>
      </c>
      <c r="D757" s="1">
        <f>YEAR(smart_dataset[[#This Row],[Date]])</f>
        <v>2024</v>
      </c>
      <c r="E757" s="1">
        <f>MONTH(smart_dataset[[#This Row],[Timestamp]])</f>
        <v>11</v>
      </c>
      <c r="F757" t="s">
        <v>20</v>
      </c>
      <c r="G757">
        <v>-21.428799999999999</v>
      </c>
      <c r="H757">
        <v>-164.29150000000001</v>
      </c>
      <c r="I757">
        <v>404</v>
      </c>
      <c r="J757" t="s">
        <v>17</v>
      </c>
      <c r="K757">
        <v>18.8</v>
      </c>
      <c r="L757">
        <v>69.3</v>
      </c>
      <c r="M757" t="s">
        <v>18</v>
      </c>
      <c r="N757">
        <v>59</v>
      </c>
      <c r="O757">
        <v>307</v>
      </c>
      <c r="P757">
        <v>10</v>
      </c>
      <c r="Q757" t="s">
        <v>23</v>
      </c>
      <c r="R757">
        <v>67.7</v>
      </c>
      <c r="S757">
        <v>223</v>
      </c>
      <c r="T757">
        <v>1</v>
      </c>
      <c r="U757" t="str" cm="1">
        <f t="array" ref="U757">_xlfn.IFS(smart_dataset[[#This Row],[Waiting_Time]]&lt;=20,"Low",smart_dataset[[#This Row],[Waiting_Time]]&lt;=40,"Medium",TRUE,"High")</f>
        <v>High</v>
      </c>
      <c r="V757" t="str" cm="1">
        <f t="array" ref="V757">_xlfn.IFS(smart_dataset[[#This Row],[Temperature]]&lt;=20,"Cold",smart_dataset[[#This Row],[Temperature]]&lt;=28,"Normal",TRUE,"Hot")</f>
        <v>Cold</v>
      </c>
      <c r="W757" t="str" cm="1">
        <f t="array" ref="W757">_xlfn.IFS(smart_dataset[[#This Row],[Asset_Utilization]]&lt;=75,"Low",smart_dataset[[#This Row],[Asset_Utilization]]&lt;=90,"Medium",TRUE,"High")</f>
        <v>Low</v>
      </c>
    </row>
    <row r="758" spans="1:23" hidden="1" x14ac:dyDescent="0.25">
      <c r="A758" s="1">
        <v>45434.147349537037</v>
      </c>
      <c r="B758" s="1">
        <f>INT(smart_dataset[[#This Row],[Timestamp]])</f>
        <v>45434</v>
      </c>
      <c r="C758" s="1">
        <f>MOD(smart_dataset[[#This Row],[Timestamp]],1)</f>
        <v>0.14734953703737119</v>
      </c>
      <c r="D758" s="1">
        <f>YEAR(smart_dataset[[#This Row],[Date]])</f>
        <v>2024</v>
      </c>
      <c r="E758" s="1">
        <f>MONTH(smart_dataset[[#This Row],[Timestamp]])</f>
        <v>5</v>
      </c>
      <c r="F758" t="s">
        <v>32</v>
      </c>
      <c r="G758">
        <v>-49.145000000000003</v>
      </c>
      <c r="H758">
        <v>-120.0898</v>
      </c>
      <c r="I758">
        <v>399</v>
      </c>
      <c r="J758" t="s">
        <v>17</v>
      </c>
      <c r="K758">
        <v>20.100000000000001</v>
      </c>
      <c r="L758">
        <v>74.2</v>
      </c>
      <c r="M758" t="s">
        <v>18</v>
      </c>
      <c r="N758">
        <v>54</v>
      </c>
      <c r="O758">
        <v>317</v>
      </c>
      <c r="P758">
        <v>8</v>
      </c>
      <c r="Q758" t="s">
        <v>31</v>
      </c>
      <c r="R758">
        <v>88.2</v>
      </c>
      <c r="S758">
        <v>143</v>
      </c>
      <c r="T758">
        <v>1</v>
      </c>
      <c r="U758" t="str" cm="1">
        <f t="array" ref="U758">_xlfn.IFS(smart_dataset[[#This Row],[Waiting_Time]]&lt;=20,"Low",smart_dataset[[#This Row],[Waiting_Time]]&lt;=40,"Medium",TRUE,"High")</f>
        <v>High</v>
      </c>
      <c r="V758" t="str" cm="1">
        <f t="array" ref="V758">_xlfn.IFS(smart_dataset[[#This Row],[Temperature]]&lt;=20,"Cold",smart_dataset[[#This Row],[Temperature]]&lt;=28,"Normal",TRUE,"Hot")</f>
        <v>Normal</v>
      </c>
      <c r="W758" t="str" cm="1">
        <f t="array" ref="W758">_xlfn.IFS(smart_dataset[[#This Row],[Asset_Utilization]]&lt;=75,"Low",smart_dataset[[#This Row],[Asset_Utilization]]&lt;=90,"Medium",TRUE,"High")</f>
        <v>Medium</v>
      </c>
    </row>
    <row r="759" spans="1:23" x14ac:dyDescent="0.25">
      <c r="A759" s="1">
        <v>45489.102870370371</v>
      </c>
      <c r="B759" s="1">
        <f>INT(smart_dataset[[#This Row],[Timestamp]])</f>
        <v>45489</v>
      </c>
      <c r="C759" s="7">
        <f>MOD(smart_dataset[[#This Row],[Timestamp]],1)</f>
        <v>0.1028703703705105</v>
      </c>
      <c r="D759">
        <f>YEAR(smart_dataset[[#This Row],[Date]])</f>
        <v>2024</v>
      </c>
      <c r="E759">
        <f>MONTH(smart_dataset[[#This Row],[Timestamp]])</f>
        <v>7</v>
      </c>
      <c r="F759" t="s">
        <v>35</v>
      </c>
      <c r="G759">
        <v>-87.383499999999998</v>
      </c>
      <c r="H759">
        <v>60.460900000000002</v>
      </c>
      <c r="I759">
        <v>271</v>
      </c>
      <c r="J759" t="s">
        <v>26</v>
      </c>
      <c r="K759">
        <v>24.6</v>
      </c>
      <c r="L759">
        <v>73</v>
      </c>
      <c r="M759" t="s">
        <v>18</v>
      </c>
      <c r="N759">
        <v>53</v>
      </c>
      <c r="O759">
        <v>382</v>
      </c>
      <c r="P759">
        <v>3</v>
      </c>
      <c r="Q759" t="s">
        <v>19</v>
      </c>
      <c r="R759">
        <v>94.1</v>
      </c>
      <c r="S759">
        <v>166</v>
      </c>
      <c r="T759">
        <v>0</v>
      </c>
      <c r="U759" t="str" cm="1">
        <f t="array" ref="U759">_xlfn.IFS(smart_dataset[[#This Row],[Waiting_Time]]&lt;=20,"Low",smart_dataset[[#This Row],[Waiting_Time]]&lt;=40,"Medium",TRUE,"High")</f>
        <v>High</v>
      </c>
      <c r="V759" t="str" cm="1">
        <f t="array" ref="V759">_xlfn.IFS(smart_dataset[[#This Row],[Temperature]]&lt;=20,"Cold",smart_dataset[[#This Row],[Temperature]]&lt;=28,"Normal",TRUE,"Hot")</f>
        <v>Normal</v>
      </c>
      <c r="W759" t="str" cm="1">
        <f t="array" ref="W759">_xlfn.IFS(smart_dataset[[#This Row],[Asset_Utilization]]&lt;=75,"Low",smart_dataset[[#This Row],[Asset_Utilization]]&lt;=90,"Medium",TRUE,"High")</f>
        <v>High</v>
      </c>
    </row>
    <row r="760" spans="1:23" x14ac:dyDescent="0.25">
      <c r="A760" s="1">
        <v>45311.879224537035</v>
      </c>
      <c r="B760" s="1">
        <f>INT(smart_dataset[[#This Row],[Timestamp]])</f>
        <v>45311</v>
      </c>
      <c r="C760" s="7">
        <f>MOD(smart_dataset[[#This Row],[Timestamp]],1)</f>
        <v>0.87922453703504289</v>
      </c>
      <c r="D760">
        <f>YEAR(smart_dataset[[#This Row],[Date]])</f>
        <v>2024</v>
      </c>
      <c r="E760">
        <f>MONTH(smart_dataset[[#This Row],[Timestamp]])</f>
        <v>1</v>
      </c>
      <c r="F760" t="s">
        <v>35</v>
      </c>
      <c r="G760">
        <v>69.641300000000001</v>
      </c>
      <c r="H760">
        <v>1.4327000000000001</v>
      </c>
      <c r="I760">
        <v>332</v>
      </c>
      <c r="J760" t="s">
        <v>17</v>
      </c>
      <c r="K760">
        <v>18.8</v>
      </c>
      <c r="L760">
        <v>74.7</v>
      </c>
      <c r="M760" t="s">
        <v>22</v>
      </c>
      <c r="N760">
        <v>16</v>
      </c>
      <c r="O760">
        <v>279</v>
      </c>
      <c r="P760">
        <v>2</v>
      </c>
      <c r="Q760" t="s">
        <v>19</v>
      </c>
      <c r="R760">
        <v>61.8</v>
      </c>
      <c r="S760">
        <v>289</v>
      </c>
      <c r="T760">
        <v>1</v>
      </c>
      <c r="U760" t="str" cm="1">
        <f t="array" ref="U760">_xlfn.IFS(smart_dataset[[#This Row],[Waiting_Time]]&lt;=20,"Low",smart_dataset[[#This Row],[Waiting_Time]]&lt;=40,"Medium",TRUE,"High")</f>
        <v>Low</v>
      </c>
      <c r="V760" t="str" cm="1">
        <f t="array" ref="V760">_xlfn.IFS(smart_dataset[[#This Row],[Temperature]]&lt;=20,"Cold",smart_dataset[[#This Row],[Temperature]]&lt;=28,"Normal",TRUE,"Hot")</f>
        <v>Cold</v>
      </c>
      <c r="W760" t="str" cm="1">
        <f t="array" ref="W760">_xlfn.IFS(smart_dataset[[#This Row],[Asset_Utilization]]&lt;=75,"Low",smart_dataset[[#This Row],[Asset_Utilization]]&lt;=90,"Medium",TRUE,"High")</f>
        <v>Low</v>
      </c>
    </row>
    <row r="761" spans="1:23" hidden="1" x14ac:dyDescent="0.25">
      <c r="A761" s="1">
        <v>45398.127175925925</v>
      </c>
      <c r="B761" s="1">
        <f>INT(smart_dataset[[#This Row],[Timestamp]])</f>
        <v>45398</v>
      </c>
      <c r="C761" s="1">
        <f>MOD(smart_dataset[[#This Row],[Timestamp]],1)</f>
        <v>0.12717592592525762</v>
      </c>
      <c r="D761" s="1">
        <f>YEAR(smart_dataset[[#This Row],[Date]])</f>
        <v>2024</v>
      </c>
      <c r="E761" s="1">
        <f>MONTH(smart_dataset[[#This Row],[Timestamp]])</f>
        <v>4</v>
      </c>
      <c r="F761" t="s">
        <v>34</v>
      </c>
      <c r="G761">
        <v>19.9466</v>
      </c>
      <c r="H761">
        <v>-104.4665</v>
      </c>
      <c r="I761">
        <v>445</v>
      </c>
      <c r="J761" t="s">
        <v>26</v>
      </c>
      <c r="K761">
        <v>25.7</v>
      </c>
      <c r="L761">
        <v>50.8</v>
      </c>
      <c r="M761" t="s">
        <v>22</v>
      </c>
      <c r="N761">
        <v>28</v>
      </c>
      <c r="O761">
        <v>414</v>
      </c>
      <c r="P761">
        <v>2</v>
      </c>
      <c r="Q761" t="s">
        <v>23</v>
      </c>
      <c r="R761">
        <v>75.5</v>
      </c>
      <c r="S761">
        <v>140</v>
      </c>
      <c r="T761">
        <v>1</v>
      </c>
      <c r="U761" t="str" cm="1">
        <f t="array" ref="U761">_xlfn.IFS(smart_dataset[[#This Row],[Waiting_Time]]&lt;=20,"Low",smart_dataset[[#This Row],[Waiting_Time]]&lt;=40,"Medium",TRUE,"High")</f>
        <v>Medium</v>
      </c>
      <c r="V761" t="str" cm="1">
        <f t="array" ref="V761">_xlfn.IFS(smart_dataset[[#This Row],[Temperature]]&lt;=20,"Cold",smart_dataset[[#This Row],[Temperature]]&lt;=28,"Normal",TRUE,"Hot")</f>
        <v>Normal</v>
      </c>
      <c r="W761" t="str" cm="1">
        <f t="array" ref="W761">_xlfn.IFS(smart_dataset[[#This Row],[Asset_Utilization]]&lt;=75,"Low",smart_dataset[[#This Row],[Asset_Utilization]]&lt;=90,"Medium",TRUE,"High")</f>
        <v>Medium</v>
      </c>
    </row>
    <row r="762" spans="1:23" hidden="1" x14ac:dyDescent="0.25">
      <c r="A762" s="1">
        <v>45329.203020833331</v>
      </c>
      <c r="B762" s="1">
        <f>INT(smart_dataset[[#This Row],[Timestamp]])</f>
        <v>45329</v>
      </c>
      <c r="C762" s="1">
        <f>MOD(smart_dataset[[#This Row],[Timestamp]],1)</f>
        <v>0.203020833330811</v>
      </c>
      <c r="D762" s="1">
        <f>YEAR(smart_dataset[[#This Row],[Date]])</f>
        <v>2024</v>
      </c>
      <c r="E762" s="1">
        <f>MONTH(smart_dataset[[#This Row],[Timestamp]])</f>
        <v>2</v>
      </c>
      <c r="F762" t="s">
        <v>20</v>
      </c>
      <c r="G762">
        <v>19.557300000000001</v>
      </c>
      <c r="H762">
        <v>171.86969999999999</v>
      </c>
      <c r="I762">
        <v>426</v>
      </c>
      <c r="J762" t="s">
        <v>21</v>
      </c>
      <c r="K762">
        <v>23.6</v>
      </c>
      <c r="L762">
        <v>58</v>
      </c>
      <c r="M762" t="s">
        <v>22</v>
      </c>
      <c r="N762">
        <v>47</v>
      </c>
      <c r="O762">
        <v>263</v>
      </c>
      <c r="P762">
        <v>1</v>
      </c>
      <c r="Q762" t="s">
        <v>27</v>
      </c>
      <c r="R762">
        <v>92.9</v>
      </c>
      <c r="S762">
        <v>136</v>
      </c>
      <c r="T762">
        <v>1</v>
      </c>
      <c r="U762" t="str" cm="1">
        <f t="array" ref="U762">_xlfn.IFS(smart_dataset[[#This Row],[Waiting_Time]]&lt;=20,"Low",smart_dataset[[#This Row],[Waiting_Time]]&lt;=40,"Medium",TRUE,"High")</f>
        <v>High</v>
      </c>
      <c r="V762" t="str" cm="1">
        <f t="array" ref="V762">_xlfn.IFS(smart_dataset[[#This Row],[Temperature]]&lt;=20,"Cold",smart_dataset[[#This Row],[Temperature]]&lt;=28,"Normal",TRUE,"Hot")</f>
        <v>Normal</v>
      </c>
      <c r="W762" t="str" cm="1">
        <f t="array" ref="W762">_xlfn.IFS(smart_dataset[[#This Row],[Asset_Utilization]]&lt;=75,"Low",smart_dataset[[#This Row],[Asset_Utilization]]&lt;=90,"Medium",TRUE,"High")</f>
        <v>High</v>
      </c>
    </row>
    <row r="763" spans="1:23" x14ac:dyDescent="0.25">
      <c r="A763" s="1">
        <v>45307.173773148148</v>
      </c>
      <c r="B763" s="1">
        <f>INT(smart_dataset[[#This Row],[Timestamp]])</f>
        <v>45307</v>
      </c>
      <c r="C763" s="7">
        <f>MOD(smart_dataset[[#This Row],[Timestamp]],1)</f>
        <v>0.17377314814802958</v>
      </c>
      <c r="D763">
        <f>YEAR(smart_dataset[[#This Row],[Date]])</f>
        <v>2024</v>
      </c>
      <c r="E763">
        <f>MONTH(smart_dataset[[#This Row],[Timestamp]])</f>
        <v>1</v>
      </c>
      <c r="F763" t="s">
        <v>20</v>
      </c>
      <c r="G763">
        <v>-46.9621</v>
      </c>
      <c r="H763">
        <v>87.697199999999995</v>
      </c>
      <c r="I763">
        <v>419</v>
      </c>
      <c r="J763" t="s">
        <v>21</v>
      </c>
      <c r="K763">
        <v>27</v>
      </c>
      <c r="L763">
        <v>56.7</v>
      </c>
      <c r="M763" t="s">
        <v>18</v>
      </c>
      <c r="N763">
        <v>25</v>
      </c>
      <c r="O763">
        <v>378</v>
      </c>
      <c r="P763">
        <v>2</v>
      </c>
      <c r="Q763" t="s">
        <v>19</v>
      </c>
      <c r="R763">
        <v>74.3</v>
      </c>
      <c r="S763">
        <v>212</v>
      </c>
      <c r="T763">
        <v>0</v>
      </c>
      <c r="U763" t="str" cm="1">
        <f t="array" ref="U763">_xlfn.IFS(smart_dataset[[#This Row],[Waiting_Time]]&lt;=20,"Low",smart_dataset[[#This Row],[Waiting_Time]]&lt;=40,"Medium",TRUE,"High")</f>
        <v>Medium</v>
      </c>
      <c r="V763" t="str" cm="1">
        <f t="array" ref="V763">_xlfn.IFS(smart_dataset[[#This Row],[Temperature]]&lt;=20,"Cold",smart_dataset[[#This Row],[Temperature]]&lt;=28,"Normal",TRUE,"Hot")</f>
        <v>Normal</v>
      </c>
      <c r="W763" t="str" cm="1">
        <f t="array" ref="W763">_xlfn.IFS(smart_dataset[[#This Row],[Asset_Utilization]]&lt;=75,"Low",smart_dataset[[#This Row],[Asset_Utilization]]&lt;=90,"Medium",TRUE,"High")</f>
        <v>Low</v>
      </c>
    </row>
    <row r="764" spans="1:23" hidden="1" x14ac:dyDescent="0.25">
      <c r="A764" s="1">
        <v>45303.097673611112</v>
      </c>
      <c r="B764" s="1">
        <f>INT(smart_dataset[[#This Row],[Timestamp]])</f>
        <v>45303</v>
      </c>
      <c r="C764" s="1">
        <f>MOD(smart_dataset[[#This Row],[Timestamp]],1)</f>
        <v>9.76736111115315E-2</v>
      </c>
      <c r="D764" s="1">
        <f>YEAR(smart_dataset[[#This Row],[Date]])</f>
        <v>2024</v>
      </c>
      <c r="E764" s="1">
        <f>MONTH(smart_dataset[[#This Row],[Timestamp]])</f>
        <v>1</v>
      </c>
      <c r="F764" t="s">
        <v>29</v>
      </c>
      <c r="G764">
        <v>-34.443300000000001</v>
      </c>
      <c r="H764">
        <v>-4.0669000000000004</v>
      </c>
      <c r="I764">
        <v>128</v>
      </c>
      <c r="J764" t="s">
        <v>17</v>
      </c>
      <c r="K764">
        <v>29</v>
      </c>
      <c r="L764">
        <v>71</v>
      </c>
      <c r="M764" t="s">
        <v>18</v>
      </c>
      <c r="N764">
        <v>12</v>
      </c>
      <c r="O764">
        <v>404</v>
      </c>
      <c r="P764">
        <v>8</v>
      </c>
      <c r="Q764" t="s">
        <v>27</v>
      </c>
      <c r="R764">
        <v>81.3</v>
      </c>
      <c r="S764">
        <v>272</v>
      </c>
      <c r="T764">
        <v>1</v>
      </c>
      <c r="U764" t="str" cm="1">
        <f t="array" ref="U764">_xlfn.IFS(smart_dataset[[#This Row],[Waiting_Time]]&lt;=20,"Low",smart_dataset[[#This Row],[Waiting_Time]]&lt;=40,"Medium",TRUE,"High")</f>
        <v>Low</v>
      </c>
      <c r="V764" t="str" cm="1">
        <f t="array" ref="V764">_xlfn.IFS(smart_dataset[[#This Row],[Temperature]]&lt;=20,"Cold",smart_dataset[[#This Row],[Temperature]]&lt;=28,"Normal",TRUE,"Hot")</f>
        <v>Hot</v>
      </c>
      <c r="W764" t="str" cm="1">
        <f t="array" ref="W764">_xlfn.IFS(smart_dataset[[#This Row],[Asset_Utilization]]&lt;=75,"Low",smart_dataset[[#This Row],[Asset_Utilization]]&lt;=90,"Medium",TRUE,"High")</f>
        <v>Medium</v>
      </c>
    </row>
    <row r="765" spans="1:23" x14ac:dyDescent="0.25">
      <c r="A765" s="1">
        <v>45581.864849537036</v>
      </c>
      <c r="B765" s="1">
        <f>INT(smart_dataset[[#This Row],[Timestamp]])</f>
        <v>45581</v>
      </c>
      <c r="C765" s="7">
        <f>MOD(smart_dataset[[#This Row],[Timestamp]],1)</f>
        <v>0.86484953703620704</v>
      </c>
      <c r="D765">
        <f>YEAR(smart_dataset[[#This Row],[Date]])</f>
        <v>2024</v>
      </c>
      <c r="E765">
        <f>MONTH(smart_dataset[[#This Row],[Timestamp]])</f>
        <v>10</v>
      </c>
      <c r="F765" t="s">
        <v>25</v>
      </c>
      <c r="G765">
        <v>-7.8198999999999996</v>
      </c>
      <c r="H765">
        <v>-78.215000000000003</v>
      </c>
      <c r="I765">
        <v>200</v>
      </c>
      <c r="J765" t="s">
        <v>21</v>
      </c>
      <c r="K765">
        <v>19.2</v>
      </c>
      <c r="L765">
        <v>67.7</v>
      </c>
      <c r="M765" t="s">
        <v>22</v>
      </c>
      <c r="N765">
        <v>11</v>
      </c>
      <c r="O765">
        <v>349</v>
      </c>
      <c r="P765">
        <v>6</v>
      </c>
      <c r="Q765" t="s">
        <v>19</v>
      </c>
      <c r="R765">
        <v>73.599999999999994</v>
      </c>
      <c r="S765">
        <v>299</v>
      </c>
      <c r="T765">
        <v>1</v>
      </c>
      <c r="U765" t="str" cm="1">
        <f t="array" ref="U765">_xlfn.IFS(smart_dataset[[#This Row],[Waiting_Time]]&lt;=20,"Low",smart_dataset[[#This Row],[Waiting_Time]]&lt;=40,"Medium",TRUE,"High")</f>
        <v>Low</v>
      </c>
      <c r="V765" t="str" cm="1">
        <f t="array" ref="V765">_xlfn.IFS(smart_dataset[[#This Row],[Temperature]]&lt;=20,"Cold",smart_dataset[[#This Row],[Temperature]]&lt;=28,"Normal",TRUE,"Hot")</f>
        <v>Cold</v>
      </c>
      <c r="W765" t="str" cm="1">
        <f t="array" ref="W765">_xlfn.IFS(smart_dataset[[#This Row],[Asset_Utilization]]&lt;=75,"Low",smart_dataset[[#This Row],[Asset_Utilization]]&lt;=90,"Medium",TRUE,"High")</f>
        <v>Low</v>
      </c>
    </row>
    <row r="766" spans="1:23" x14ac:dyDescent="0.25">
      <c r="A766" s="1">
        <v>45505.386296296296</v>
      </c>
      <c r="B766" s="1">
        <f>INT(smart_dataset[[#This Row],[Timestamp]])</f>
        <v>45505</v>
      </c>
      <c r="C766" s="7">
        <f>MOD(smart_dataset[[#This Row],[Timestamp]],1)</f>
        <v>0.38629629629576812</v>
      </c>
      <c r="D766">
        <f>YEAR(smart_dataset[[#This Row],[Date]])</f>
        <v>2024</v>
      </c>
      <c r="E766">
        <f>MONTH(smart_dataset[[#This Row],[Timestamp]])</f>
        <v>8</v>
      </c>
      <c r="F766" t="s">
        <v>32</v>
      </c>
      <c r="G766">
        <v>11.661099999999999</v>
      </c>
      <c r="H766">
        <v>44.750500000000002</v>
      </c>
      <c r="I766">
        <v>434</v>
      </c>
      <c r="J766" t="s">
        <v>26</v>
      </c>
      <c r="K766">
        <v>29.4</v>
      </c>
      <c r="L766">
        <v>76.3</v>
      </c>
      <c r="M766" t="s">
        <v>22</v>
      </c>
      <c r="N766">
        <v>30</v>
      </c>
      <c r="O766">
        <v>166</v>
      </c>
      <c r="P766">
        <v>1</v>
      </c>
      <c r="Q766" t="s">
        <v>19</v>
      </c>
      <c r="R766">
        <v>94.6</v>
      </c>
      <c r="S766">
        <v>220</v>
      </c>
      <c r="T766">
        <v>1</v>
      </c>
      <c r="U766" t="str" cm="1">
        <f t="array" ref="U766">_xlfn.IFS(smart_dataset[[#This Row],[Waiting_Time]]&lt;=20,"Low",smart_dataset[[#This Row],[Waiting_Time]]&lt;=40,"Medium",TRUE,"High")</f>
        <v>Medium</v>
      </c>
      <c r="V766" t="str" cm="1">
        <f t="array" ref="V766">_xlfn.IFS(smart_dataset[[#This Row],[Temperature]]&lt;=20,"Cold",smart_dataset[[#This Row],[Temperature]]&lt;=28,"Normal",TRUE,"Hot")</f>
        <v>Hot</v>
      </c>
      <c r="W766" t="str" cm="1">
        <f t="array" ref="W766">_xlfn.IFS(smart_dataset[[#This Row],[Asset_Utilization]]&lt;=75,"Low",smart_dataset[[#This Row],[Asset_Utilization]]&lt;=90,"Medium",TRUE,"High")</f>
        <v>High</v>
      </c>
    </row>
    <row r="767" spans="1:23" x14ac:dyDescent="0.25">
      <c r="A767" s="1">
        <v>45304.880312499998</v>
      </c>
      <c r="B767" s="1">
        <f>INT(smart_dataset[[#This Row],[Timestamp]])</f>
        <v>45304</v>
      </c>
      <c r="C767" s="7">
        <f>MOD(smart_dataset[[#This Row],[Timestamp]],1)</f>
        <v>0.88031249999767169</v>
      </c>
      <c r="D767">
        <f>YEAR(smart_dataset[[#This Row],[Date]])</f>
        <v>2024</v>
      </c>
      <c r="E767">
        <f>MONTH(smart_dataset[[#This Row],[Timestamp]])</f>
        <v>1</v>
      </c>
      <c r="F767" t="s">
        <v>35</v>
      </c>
      <c r="G767">
        <v>-12.4175</v>
      </c>
      <c r="H767">
        <v>135.98660000000001</v>
      </c>
      <c r="I767">
        <v>339</v>
      </c>
      <c r="J767" t="s">
        <v>17</v>
      </c>
      <c r="K767">
        <v>26.4</v>
      </c>
      <c r="L767">
        <v>73.8</v>
      </c>
      <c r="M767" t="s">
        <v>28</v>
      </c>
      <c r="N767">
        <v>58</v>
      </c>
      <c r="O767">
        <v>488</v>
      </c>
      <c r="P767">
        <v>3</v>
      </c>
      <c r="Q767" t="s">
        <v>19</v>
      </c>
      <c r="R767">
        <v>89.3</v>
      </c>
      <c r="S767">
        <v>299</v>
      </c>
      <c r="T767">
        <v>1</v>
      </c>
      <c r="U767" t="str" cm="1">
        <f t="array" ref="U767">_xlfn.IFS(smart_dataset[[#This Row],[Waiting_Time]]&lt;=20,"Low",smart_dataset[[#This Row],[Waiting_Time]]&lt;=40,"Medium",TRUE,"High")</f>
        <v>High</v>
      </c>
      <c r="V767" t="str" cm="1">
        <f t="array" ref="V767">_xlfn.IFS(smart_dataset[[#This Row],[Temperature]]&lt;=20,"Cold",smart_dataset[[#This Row],[Temperature]]&lt;=28,"Normal",TRUE,"Hot")</f>
        <v>Normal</v>
      </c>
      <c r="W767" t="str" cm="1">
        <f t="array" ref="W767">_xlfn.IFS(smart_dataset[[#This Row],[Asset_Utilization]]&lt;=75,"Low",smart_dataset[[#This Row],[Asset_Utilization]]&lt;=90,"Medium",TRUE,"High")</f>
        <v>Medium</v>
      </c>
    </row>
    <row r="768" spans="1:23" hidden="1" x14ac:dyDescent="0.25">
      <c r="A768" s="1">
        <v>45378.190254629626</v>
      </c>
      <c r="B768" s="1">
        <f>INT(smart_dataset[[#This Row],[Timestamp]])</f>
        <v>45378</v>
      </c>
      <c r="C768" s="1">
        <f>MOD(smart_dataset[[#This Row],[Timestamp]],1)</f>
        <v>0.19025462962599704</v>
      </c>
      <c r="D768" s="1">
        <f>YEAR(smart_dataset[[#This Row],[Date]])</f>
        <v>2024</v>
      </c>
      <c r="E768" s="1">
        <f>MONTH(smart_dataset[[#This Row],[Timestamp]])</f>
        <v>3</v>
      </c>
      <c r="F768" t="s">
        <v>24</v>
      </c>
      <c r="G768">
        <v>-79.345100000000002</v>
      </c>
      <c r="H768">
        <v>-52.515099999999997</v>
      </c>
      <c r="I768">
        <v>224</v>
      </c>
      <c r="J768" t="s">
        <v>26</v>
      </c>
      <c r="K768">
        <v>19</v>
      </c>
      <c r="L768">
        <v>79.900000000000006</v>
      </c>
      <c r="M768" t="s">
        <v>22</v>
      </c>
      <c r="N768">
        <v>17</v>
      </c>
      <c r="O768">
        <v>139</v>
      </c>
      <c r="P768">
        <v>4</v>
      </c>
      <c r="Q768" t="s">
        <v>23</v>
      </c>
      <c r="R768">
        <v>96.1</v>
      </c>
      <c r="S768">
        <v>279</v>
      </c>
      <c r="T768">
        <v>1</v>
      </c>
      <c r="U768" t="str" cm="1">
        <f t="array" ref="U768">_xlfn.IFS(smart_dataset[[#This Row],[Waiting_Time]]&lt;=20,"Low",smart_dataset[[#This Row],[Waiting_Time]]&lt;=40,"Medium",TRUE,"High")</f>
        <v>Low</v>
      </c>
      <c r="V768" t="str" cm="1">
        <f t="array" ref="V768">_xlfn.IFS(smart_dataset[[#This Row],[Temperature]]&lt;=20,"Cold",smart_dataset[[#This Row],[Temperature]]&lt;=28,"Normal",TRUE,"Hot")</f>
        <v>Cold</v>
      </c>
      <c r="W768" t="str" cm="1">
        <f t="array" ref="W768">_xlfn.IFS(smart_dataset[[#This Row],[Asset_Utilization]]&lt;=75,"Low",smart_dataset[[#This Row],[Asset_Utilization]]&lt;=90,"Medium",TRUE,"High")</f>
        <v>High</v>
      </c>
    </row>
    <row r="769" spans="1:23" hidden="1" x14ac:dyDescent="0.25">
      <c r="A769" s="1">
        <v>45366.617199074077</v>
      </c>
      <c r="B769" s="1">
        <f>INT(smart_dataset[[#This Row],[Timestamp]])</f>
        <v>45366</v>
      </c>
      <c r="C769" s="1">
        <f>MOD(smart_dataset[[#This Row],[Timestamp]],1)</f>
        <v>0.61719907407677965</v>
      </c>
      <c r="D769" s="1">
        <f>YEAR(smart_dataset[[#This Row],[Date]])</f>
        <v>2024</v>
      </c>
      <c r="E769" s="1">
        <f>MONTH(smart_dataset[[#This Row],[Timestamp]])</f>
        <v>3</v>
      </c>
      <c r="F769" t="s">
        <v>24</v>
      </c>
      <c r="G769">
        <v>24.421600000000002</v>
      </c>
      <c r="H769">
        <v>-7.0648999999999997</v>
      </c>
      <c r="I769">
        <v>387</v>
      </c>
      <c r="J769" t="s">
        <v>17</v>
      </c>
      <c r="K769">
        <v>18.399999999999999</v>
      </c>
      <c r="L769">
        <v>79.5</v>
      </c>
      <c r="M769" t="s">
        <v>28</v>
      </c>
      <c r="N769">
        <v>17</v>
      </c>
      <c r="O769">
        <v>456</v>
      </c>
      <c r="P769">
        <v>2</v>
      </c>
      <c r="Q769" t="s">
        <v>23</v>
      </c>
      <c r="R769">
        <v>65.900000000000006</v>
      </c>
      <c r="S769">
        <v>155</v>
      </c>
      <c r="T769">
        <v>1</v>
      </c>
      <c r="U769" t="str" cm="1">
        <f t="array" ref="U769">_xlfn.IFS(smart_dataset[[#This Row],[Waiting_Time]]&lt;=20,"Low",smart_dataset[[#This Row],[Waiting_Time]]&lt;=40,"Medium",TRUE,"High")</f>
        <v>Low</v>
      </c>
      <c r="V769" t="str" cm="1">
        <f t="array" ref="V769">_xlfn.IFS(smart_dataset[[#This Row],[Temperature]]&lt;=20,"Cold",smart_dataset[[#This Row],[Temperature]]&lt;=28,"Normal",TRUE,"Hot")</f>
        <v>Cold</v>
      </c>
      <c r="W769" t="str" cm="1">
        <f t="array" ref="W769">_xlfn.IFS(smart_dataset[[#This Row],[Asset_Utilization]]&lt;=75,"Low",smart_dataset[[#This Row],[Asset_Utilization]]&lt;=90,"Medium",TRUE,"High")</f>
        <v>Low</v>
      </c>
    </row>
    <row r="770" spans="1:23" hidden="1" x14ac:dyDescent="0.25">
      <c r="A770" s="1">
        <v>45407.421631944446</v>
      </c>
      <c r="B770" s="1">
        <f>INT(smart_dataset[[#This Row],[Timestamp]])</f>
        <v>45407</v>
      </c>
      <c r="C770" s="1">
        <f>MOD(smart_dataset[[#This Row],[Timestamp]],1)</f>
        <v>0.42163194444583496</v>
      </c>
      <c r="D770" s="1">
        <f>YEAR(smart_dataset[[#This Row],[Date]])</f>
        <v>2024</v>
      </c>
      <c r="E770" s="1">
        <f>MONTH(smart_dataset[[#This Row],[Timestamp]])</f>
        <v>4</v>
      </c>
      <c r="F770" t="s">
        <v>32</v>
      </c>
      <c r="G770">
        <v>71.7196</v>
      </c>
      <c r="H770">
        <v>-107.34269999999999</v>
      </c>
      <c r="I770">
        <v>146</v>
      </c>
      <c r="J770" t="s">
        <v>17</v>
      </c>
      <c r="K770">
        <v>26</v>
      </c>
      <c r="L770">
        <v>57.2</v>
      </c>
      <c r="M770" t="s">
        <v>28</v>
      </c>
      <c r="N770">
        <v>47</v>
      </c>
      <c r="O770">
        <v>188</v>
      </c>
      <c r="P770">
        <v>4</v>
      </c>
      <c r="Q770" t="s">
        <v>31</v>
      </c>
      <c r="R770">
        <v>76</v>
      </c>
      <c r="S770">
        <v>131</v>
      </c>
      <c r="T770">
        <v>1</v>
      </c>
      <c r="U770" t="str" cm="1">
        <f t="array" ref="U770">_xlfn.IFS(smart_dataset[[#This Row],[Waiting_Time]]&lt;=20,"Low",smart_dataset[[#This Row],[Waiting_Time]]&lt;=40,"Medium",TRUE,"High")</f>
        <v>High</v>
      </c>
      <c r="V770" t="str" cm="1">
        <f t="array" ref="V770">_xlfn.IFS(smart_dataset[[#This Row],[Temperature]]&lt;=20,"Cold",smart_dataset[[#This Row],[Temperature]]&lt;=28,"Normal",TRUE,"Hot")</f>
        <v>Normal</v>
      </c>
      <c r="W770" t="str" cm="1">
        <f t="array" ref="W770">_xlfn.IFS(smart_dataset[[#This Row],[Asset_Utilization]]&lt;=75,"Low",smart_dataset[[#This Row],[Asset_Utilization]]&lt;=90,"Medium",TRUE,"High")</f>
        <v>Medium</v>
      </c>
    </row>
    <row r="771" spans="1:23" hidden="1" x14ac:dyDescent="0.25">
      <c r="A771" s="1">
        <v>45524.061203703706</v>
      </c>
      <c r="B771" s="1">
        <f>INT(smart_dataset[[#This Row],[Timestamp]])</f>
        <v>45524</v>
      </c>
      <c r="C771" s="1">
        <f>MOD(smart_dataset[[#This Row],[Timestamp]],1)</f>
        <v>6.1203703706269152E-2</v>
      </c>
      <c r="D771" s="1">
        <f>YEAR(smart_dataset[[#This Row],[Date]])</f>
        <v>2024</v>
      </c>
      <c r="E771" s="1">
        <f>MONTH(smart_dataset[[#This Row],[Timestamp]])</f>
        <v>8</v>
      </c>
      <c r="F771" t="s">
        <v>29</v>
      </c>
      <c r="G771">
        <v>-69.658500000000004</v>
      </c>
      <c r="H771">
        <v>23.632300000000001</v>
      </c>
      <c r="I771">
        <v>177</v>
      </c>
      <c r="J771" t="s">
        <v>21</v>
      </c>
      <c r="K771">
        <v>18.600000000000001</v>
      </c>
      <c r="L771">
        <v>74.5</v>
      </c>
      <c r="M771" t="s">
        <v>22</v>
      </c>
      <c r="N771">
        <v>16</v>
      </c>
      <c r="O771">
        <v>429</v>
      </c>
      <c r="P771">
        <v>1</v>
      </c>
      <c r="Q771" t="s">
        <v>27</v>
      </c>
      <c r="R771">
        <v>72.400000000000006</v>
      </c>
      <c r="S771">
        <v>132</v>
      </c>
      <c r="T771">
        <v>1</v>
      </c>
      <c r="U771" t="str" cm="1">
        <f t="array" ref="U771">_xlfn.IFS(smart_dataset[[#This Row],[Waiting_Time]]&lt;=20,"Low",smart_dataset[[#This Row],[Waiting_Time]]&lt;=40,"Medium",TRUE,"High")</f>
        <v>Low</v>
      </c>
      <c r="V771" t="str" cm="1">
        <f t="array" ref="V771">_xlfn.IFS(smart_dataset[[#This Row],[Temperature]]&lt;=20,"Cold",smart_dataset[[#This Row],[Temperature]]&lt;=28,"Normal",TRUE,"Hot")</f>
        <v>Cold</v>
      </c>
      <c r="W771" t="str" cm="1">
        <f t="array" ref="W771">_xlfn.IFS(smart_dataset[[#This Row],[Asset_Utilization]]&lt;=75,"Low",smart_dataset[[#This Row],[Asset_Utilization]]&lt;=90,"Medium",TRUE,"High")</f>
        <v>Low</v>
      </c>
    </row>
    <row r="772" spans="1:23" hidden="1" x14ac:dyDescent="0.25">
      <c r="A772" s="1">
        <v>45475.576608796298</v>
      </c>
      <c r="B772" s="1">
        <f>INT(smart_dataset[[#This Row],[Timestamp]])</f>
        <v>45475</v>
      </c>
      <c r="C772" s="1">
        <f>MOD(smart_dataset[[#This Row],[Timestamp]],1)</f>
        <v>0.57660879629838746</v>
      </c>
      <c r="D772" s="1">
        <f>YEAR(smart_dataset[[#This Row],[Date]])</f>
        <v>2024</v>
      </c>
      <c r="E772" s="1">
        <f>MONTH(smart_dataset[[#This Row],[Timestamp]])</f>
        <v>7</v>
      </c>
      <c r="F772" t="s">
        <v>35</v>
      </c>
      <c r="G772">
        <v>67.364999999999995</v>
      </c>
      <c r="H772">
        <v>71.5047</v>
      </c>
      <c r="I772">
        <v>316</v>
      </c>
      <c r="J772" t="s">
        <v>17</v>
      </c>
      <c r="K772">
        <v>26.4</v>
      </c>
      <c r="L772">
        <v>60</v>
      </c>
      <c r="M772" t="s">
        <v>18</v>
      </c>
      <c r="N772">
        <v>36</v>
      </c>
      <c r="O772">
        <v>274</v>
      </c>
      <c r="P772">
        <v>1</v>
      </c>
      <c r="Q772" t="s">
        <v>23</v>
      </c>
      <c r="R772">
        <v>68.2</v>
      </c>
      <c r="S772">
        <v>218</v>
      </c>
      <c r="T772">
        <v>1</v>
      </c>
      <c r="U772" t="str" cm="1">
        <f t="array" ref="U772">_xlfn.IFS(smart_dataset[[#This Row],[Waiting_Time]]&lt;=20,"Low",smart_dataset[[#This Row],[Waiting_Time]]&lt;=40,"Medium",TRUE,"High")</f>
        <v>Medium</v>
      </c>
      <c r="V772" t="str" cm="1">
        <f t="array" ref="V772">_xlfn.IFS(smart_dataset[[#This Row],[Temperature]]&lt;=20,"Cold",smart_dataset[[#This Row],[Temperature]]&lt;=28,"Normal",TRUE,"Hot")</f>
        <v>Normal</v>
      </c>
      <c r="W772" t="str" cm="1">
        <f t="array" ref="W772">_xlfn.IFS(smart_dataset[[#This Row],[Asset_Utilization]]&lt;=75,"Low",smart_dataset[[#This Row],[Asset_Utilization]]&lt;=90,"Medium",TRUE,"High")</f>
        <v>Low</v>
      </c>
    </row>
    <row r="773" spans="1:23" x14ac:dyDescent="0.25">
      <c r="A773" s="1">
        <v>45479.545636574076</v>
      </c>
      <c r="B773" s="1">
        <f>INT(smart_dataset[[#This Row],[Timestamp]])</f>
        <v>45479</v>
      </c>
      <c r="C773" s="7">
        <f>MOD(smart_dataset[[#This Row],[Timestamp]],1)</f>
        <v>0.5456365740756155</v>
      </c>
      <c r="D773">
        <f>YEAR(smart_dataset[[#This Row],[Date]])</f>
        <v>2024</v>
      </c>
      <c r="E773">
        <f>MONTH(smart_dataset[[#This Row],[Timestamp]])</f>
        <v>7</v>
      </c>
      <c r="F773" t="s">
        <v>25</v>
      </c>
      <c r="G773">
        <v>-31.961099999999998</v>
      </c>
      <c r="H773">
        <v>-75.809200000000004</v>
      </c>
      <c r="I773">
        <v>458</v>
      </c>
      <c r="J773" t="s">
        <v>21</v>
      </c>
      <c r="K773">
        <v>25</v>
      </c>
      <c r="L773">
        <v>79.599999999999994</v>
      </c>
      <c r="M773" t="s">
        <v>22</v>
      </c>
      <c r="N773">
        <v>56</v>
      </c>
      <c r="O773">
        <v>303</v>
      </c>
      <c r="P773">
        <v>1</v>
      </c>
      <c r="Q773" t="s">
        <v>19</v>
      </c>
      <c r="R773">
        <v>73.8</v>
      </c>
      <c r="S773">
        <v>206</v>
      </c>
      <c r="T773">
        <v>1</v>
      </c>
      <c r="U773" t="str" cm="1">
        <f t="array" ref="U773">_xlfn.IFS(smart_dataset[[#This Row],[Waiting_Time]]&lt;=20,"Low",smart_dataset[[#This Row],[Waiting_Time]]&lt;=40,"Medium",TRUE,"High")</f>
        <v>High</v>
      </c>
      <c r="V773" t="str" cm="1">
        <f t="array" ref="V773">_xlfn.IFS(smart_dataset[[#This Row],[Temperature]]&lt;=20,"Cold",smart_dataset[[#This Row],[Temperature]]&lt;=28,"Normal",TRUE,"Hot")</f>
        <v>Normal</v>
      </c>
      <c r="W773" t="str" cm="1">
        <f t="array" ref="W773">_xlfn.IFS(smart_dataset[[#This Row],[Asset_Utilization]]&lt;=75,"Low",smart_dataset[[#This Row],[Asset_Utilization]]&lt;=90,"Medium",TRUE,"High")</f>
        <v>Low</v>
      </c>
    </row>
    <row r="774" spans="1:23" hidden="1" x14ac:dyDescent="0.25">
      <c r="A774" s="1">
        <v>45459.4841087963</v>
      </c>
      <c r="B774" s="1">
        <f>INT(smart_dataset[[#This Row],[Timestamp]])</f>
        <v>45459</v>
      </c>
      <c r="C774" s="1">
        <f>MOD(smart_dataset[[#This Row],[Timestamp]],1)</f>
        <v>0.48410879629955161</v>
      </c>
      <c r="D774" s="1">
        <f>YEAR(smart_dataset[[#This Row],[Date]])</f>
        <v>2024</v>
      </c>
      <c r="E774" s="1">
        <f>MONTH(smart_dataset[[#This Row],[Timestamp]])</f>
        <v>6</v>
      </c>
      <c r="F774" t="s">
        <v>29</v>
      </c>
      <c r="G774">
        <v>-82.481200000000001</v>
      </c>
      <c r="H774">
        <v>139.05799999999999</v>
      </c>
      <c r="I774">
        <v>481</v>
      </c>
      <c r="J774" t="s">
        <v>26</v>
      </c>
      <c r="K774">
        <v>24</v>
      </c>
      <c r="L774">
        <v>72.5</v>
      </c>
      <c r="M774" t="s">
        <v>18</v>
      </c>
      <c r="N774">
        <v>34</v>
      </c>
      <c r="O774">
        <v>152</v>
      </c>
      <c r="P774">
        <v>4</v>
      </c>
      <c r="Q774" t="s">
        <v>31</v>
      </c>
      <c r="R774">
        <v>79.8</v>
      </c>
      <c r="S774">
        <v>299</v>
      </c>
      <c r="T774">
        <v>0</v>
      </c>
      <c r="U774" t="str" cm="1">
        <f t="array" ref="U774">_xlfn.IFS(smart_dataset[[#This Row],[Waiting_Time]]&lt;=20,"Low",smart_dataset[[#This Row],[Waiting_Time]]&lt;=40,"Medium",TRUE,"High")</f>
        <v>Medium</v>
      </c>
      <c r="V774" t="str" cm="1">
        <f t="array" ref="V774">_xlfn.IFS(smart_dataset[[#This Row],[Temperature]]&lt;=20,"Cold",smart_dataset[[#This Row],[Temperature]]&lt;=28,"Normal",TRUE,"Hot")</f>
        <v>Normal</v>
      </c>
      <c r="W774" t="str" cm="1">
        <f t="array" ref="W774">_xlfn.IFS(smart_dataset[[#This Row],[Asset_Utilization]]&lt;=75,"Low",smart_dataset[[#This Row],[Asset_Utilization]]&lt;=90,"Medium",TRUE,"High")</f>
        <v>Medium</v>
      </c>
    </row>
    <row r="775" spans="1:23" hidden="1" x14ac:dyDescent="0.25">
      <c r="A775" s="1">
        <v>45455.405960648146</v>
      </c>
      <c r="B775" s="1">
        <f>INT(smart_dataset[[#This Row],[Timestamp]])</f>
        <v>45455</v>
      </c>
      <c r="C775" s="1">
        <f>MOD(smart_dataset[[#This Row],[Timestamp]],1)</f>
        <v>0.40596064814599231</v>
      </c>
      <c r="D775" s="1">
        <f>YEAR(smart_dataset[[#This Row],[Date]])</f>
        <v>2024</v>
      </c>
      <c r="E775" s="1">
        <f>MONTH(smart_dataset[[#This Row],[Timestamp]])</f>
        <v>6</v>
      </c>
      <c r="F775" t="s">
        <v>34</v>
      </c>
      <c r="G775">
        <v>25.325399999999998</v>
      </c>
      <c r="H775">
        <v>132.62639999999999</v>
      </c>
      <c r="I775">
        <v>231</v>
      </c>
      <c r="J775" t="s">
        <v>26</v>
      </c>
      <c r="K775">
        <v>19.399999999999999</v>
      </c>
      <c r="L775">
        <v>66.599999999999994</v>
      </c>
      <c r="M775" t="s">
        <v>22</v>
      </c>
      <c r="N775">
        <v>32</v>
      </c>
      <c r="O775">
        <v>289</v>
      </c>
      <c r="P775">
        <v>8</v>
      </c>
      <c r="Q775" t="s">
        <v>31</v>
      </c>
      <c r="R775">
        <v>77.599999999999994</v>
      </c>
      <c r="S775">
        <v>240</v>
      </c>
      <c r="T775">
        <v>1</v>
      </c>
      <c r="U775" t="str" cm="1">
        <f t="array" ref="U775">_xlfn.IFS(smart_dataset[[#This Row],[Waiting_Time]]&lt;=20,"Low",smart_dataset[[#This Row],[Waiting_Time]]&lt;=40,"Medium",TRUE,"High")</f>
        <v>Medium</v>
      </c>
      <c r="V775" t="str" cm="1">
        <f t="array" ref="V775">_xlfn.IFS(smart_dataset[[#This Row],[Temperature]]&lt;=20,"Cold",smart_dataset[[#This Row],[Temperature]]&lt;=28,"Normal",TRUE,"Hot")</f>
        <v>Cold</v>
      </c>
      <c r="W775" t="str" cm="1">
        <f t="array" ref="W775">_xlfn.IFS(smart_dataset[[#This Row],[Asset_Utilization]]&lt;=75,"Low",smart_dataset[[#This Row],[Asset_Utilization]]&lt;=90,"Medium",TRUE,"High")</f>
        <v>Medium</v>
      </c>
    </row>
    <row r="776" spans="1:23" x14ac:dyDescent="0.25">
      <c r="A776" s="1">
        <v>45493.835868055554</v>
      </c>
      <c r="B776" s="1">
        <f>INT(smart_dataset[[#This Row],[Timestamp]])</f>
        <v>45493</v>
      </c>
      <c r="C776" s="7">
        <f>MOD(smart_dataset[[#This Row],[Timestamp]],1)</f>
        <v>0.835868055553874</v>
      </c>
      <c r="D776">
        <f>YEAR(smart_dataset[[#This Row],[Date]])</f>
        <v>2024</v>
      </c>
      <c r="E776">
        <f>MONTH(smart_dataset[[#This Row],[Timestamp]])</f>
        <v>7</v>
      </c>
      <c r="F776" t="s">
        <v>34</v>
      </c>
      <c r="G776">
        <v>40.740099999999998</v>
      </c>
      <c r="H776">
        <v>110.47369999999999</v>
      </c>
      <c r="I776">
        <v>129</v>
      </c>
      <c r="J776" t="s">
        <v>26</v>
      </c>
      <c r="K776">
        <v>19.2</v>
      </c>
      <c r="L776">
        <v>77.900000000000006</v>
      </c>
      <c r="M776" t="s">
        <v>18</v>
      </c>
      <c r="N776">
        <v>11</v>
      </c>
      <c r="O776">
        <v>448</v>
      </c>
      <c r="P776">
        <v>4</v>
      </c>
      <c r="Q776" t="s">
        <v>19</v>
      </c>
      <c r="R776">
        <v>68.900000000000006</v>
      </c>
      <c r="S776">
        <v>132</v>
      </c>
      <c r="T776">
        <v>0</v>
      </c>
      <c r="U776" t="str" cm="1">
        <f t="array" ref="U776">_xlfn.IFS(smart_dataset[[#This Row],[Waiting_Time]]&lt;=20,"Low",smart_dataset[[#This Row],[Waiting_Time]]&lt;=40,"Medium",TRUE,"High")</f>
        <v>Low</v>
      </c>
      <c r="V776" t="str" cm="1">
        <f t="array" ref="V776">_xlfn.IFS(smart_dataset[[#This Row],[Temperature]]&lt;=20,"Cold",smart_dataset[[#This Row],[Temperature]]&lt;=28,"Normal",TRUE,"Hot")</f>
        <v>Cold</v>
      </c>
      <c r="W776" t="str" cm="1">
        <f t="array" ref="W776">_xlfn.IFS(smart_dataset[[#This Row],[Asset_Utilization]]&lt;=75,"Low",smart_dataset[[#This Row],[Asset_Utilization]]&lt;=90,"Medium",TRUE,"High")</f>
        <v>Low</v>
      </c>
    </row>
    <row r="777" spans="1:23" hidden="1" x14ac:dyDescent="0.25">
      <c r="A777" s="1">
        <v>45581.611898148149</v>
      </c>
      <c r="B777" s="1">
        <f>INT(smart_dataset[[#This Row],[Timestamp]])</f>
        <v>45581</v>
      </c>
      <c r="C777" s="1">
        <f>MOD(smart_dataset[[#This Row],[Timestamp]],1)</f>
        <v>0.61189814814861165</v>
      </c>
      <c r="D777" s="1">
        <f>YEAR(smart_dataset[[#This Row],[Date]])</f>
        <v>2024</v>
      </c>
      <c r="E777" s="1">
        <f>MONTH(smart_dataset[[#This Row],[Timestamp]])</f>
        <v>10</v>
      </c>
      <c r="F777" t="s">
        <v>35</v>
      </c>
      <c r="G777">
        <v>-53.779000000000003</v>
      </c>
      <c r="H777">
        <v>30.886299999999999</v>
      </c>
      <c r="I777">
        <v>398</v>
      </c>
      <c r="J777" t="s">
        <v>26</v>
      </c>
      <c r="K777">
        <v>29.1</v>
      </c>
      <c r="L777">
        <v>75.3</v>
      </c>
      <c r="M777" t="s">
        <v>18</v>
      </c>
      <c r="N777">
        <v>58</v>
      </c>
      <c r="O777">
        <v>172</v>
      </c>
      <c r="P777">
        <v>1</v>
      </c>
      <c r="Q777" t="s">
        <v>27</v>
      </c>
      <c r="R777">
        <v>99.3</v>
      </c>
      <c r="S777">
        <v>194</v>
      </c>
      <c r="T777">
        <v>0</v>
      </c>
      <c r="U777" t="str" cm="1">
        <f t="array" ref="U777">_xlfn.IFS(smart_dataset[[#This Row],[Waiting_Time]]&lt;=20,"Low",smart_dataset[[#This Row],[Waiting_Time]]&lt;=40,"Medium",TRUE,"High")</f>
        <v>High</v>
      </c>
      <c r="V777" t="str" cm="1">
        <f t="array" ref="V777">_xlfn.IFS(smart_dataset[[#This Row],[Temperature]]&lt;=20,"Cold",smart_dataset[[#This Row],[Temperature]]&lt;=28,"Normal",TRUE,"Hot")</f>
        <v>Hot</v>
      </c>
      <c r="W777" t="str" cm="1">
        <f t="array" ref="W777">_xlfn.IFS(smart_dataset[[#This Row],[Asset_Utilization]]&lt;=75,"Low",smart_dataset[[#This Row],[Asset_Utilization]]&lt;=90,"Medium",TRUE,"High")</f>
        <v>High</v>
      </c>
    </row>
    <row r="778" spans="1:23" hidden="1" x14ac:dyDescent="0.25">
      <c r="A778" s="1">
        <v>45537.137025462966</v>
      </c>
      <c r="B778" s="1">
        <f>INT(smart_dataset[[#This Row],[Timestamp]])</f>
        <v>45537</v>
      </c>
      <c r="C778" s="1">
        <f>MOD(smart_dataset[[#This Row],[Timestamp]],1)</f>
        <v>0.13702546296553919</v>
      </c>
      <c r="D778" s="1">
        <f>YEAR(smart_dataset[[#This Row],[Date]])</f>
        <v>2024</v>
      </c>
      <c r="E778" s="1">
        <f>MONTH(smart_dataset[[#This Row],[Timestamp]])</f>
        <v>9</v>
      </c>
      <c r="F778" t="s">
        <v>34</v>
      </c>
      <c r="G778">
        <v>-39.379100000000001</v>
      </c>
      <c r="H778">
        <v>-53.131599999999999</v>
      </c>
      <c r="I778">
        <v>149</v>
      </c>
      <c r="J778" t="s">
        <v>17</v>
      </c>
      <c r="K778">
        <v>19.8</v>
      </c>
      <c r="L778">
        <v>51.3</v>
      </c>
      <c r="M778" t="s">
        <v>22</v>
      </c>
      <c r="N778">
        <v>24</v>
      </c>
      <c r="O778">
        <v>386</v>
      </c>
      <c r="P778">
        <v>6</v>
      </c>
      <c r="Q778" t="s">
        <v>31</v>
      </c>
      <c r="R778">
        <v>87.2</v>
      </c>
      <c r="S778">
        <v>208</v>
      </c>
      <c r="T778">
        <v>1</v>
      </c>
      <c r="U778" t="str" cm="1">
        <f t="array" ref="U778">_xlfn.IFS(smart_dataset[[#This Row],[Waiting_Time]]&lt;=20,"Low",smart_dataset[[#This Row],[Waiting_Time]]&lt;=40,"Medium",TRUE,"High")</f>
        <v>Medium</v>
      </c>
      <c r="V778" t="str" cm="1">
        <f t="array" ref="V778">_xlfn.IFS(smart_dataset[[#This Row],[Temperature]]&lt;=20,"Cold",smart_dataset[[#This Row],[Temperature]]&lt;=28,"Normal",TRUE,"Hot")</f>
        <v>Cold</v>
      </c>
      <c r="W778" t="str" cm="1">
        <f t="array" ref="W778">_xlfn.IFS(smart_dataset[[#This Row],[Asset_Utilization]]&lt;=75,"Low",smart_dataset[[#This Row],[Asset_Utilization]]&lt;=90,"Medium",TRUE,"High")</f>
        <v>Medium</v>
      </c>
    </row>
    <row r="779" spans="1:23" hidden="1" x14ac:dyDescent="0.25">
      <c r="A779" s="1">
        <v>45493.684918981482</v>
      </c>
      <c r="B779" s="1">
        <f>INT(smart_dataset[[#This Row],[Timestamp]])</f>
        <v>45493</v>
      </c>
      <c r="C779" s="1">
        <f>MOD(smart_dataset[[#This Row],[Timestamp]],1)</f>
        <v>0.684918981482042</v>
      </c>
      <c r="D779" s="1">
        <f>YEAR(smart_dataset[[#This Row],[Date]])</f>
        <v>2024</v>
      </c>
      <c r="E779" s="1">
        <f>MONTH(smart_dataset[[#This Row],[Timestamp]])</f>
        <v>7</v>
      </c>
      <c r="F779" t="s">
        <v>34</v>
      </c>
      <c r="G779">
        <v>46.278799999999997</v>
      </c>
      <c r="H779">
        <v>41.345300000000002</v>
      </c>
      <c r="I779">
        <v>338</v>
      </c>
      <c r="J779" t="s">
        <v>21</v>
      </c>
      <c r="K779">
        <v>20.6</v>
      </c>
      <c r="L779">
        <v>65</v>
      </c>
      <c r="M779" t="s">
        <v>18</v>
      </c>
      <c r="N779">
        <v>56</v>
      </c>
      <c r="O779">
        <v>421</v>
      </c>
      <c r="P779">
        <v>2</v>
      </c>
      <c r="Q779" t="s">
        <v>31</v>
      </c>
      <c r="R779">
        <v>86.9</v>
      </c>
      <c r="S779">
        <v>142</v>
      </c>
      <c r="T779">
        <v>0</v>
      </c>
      <c r="U779" t="str" cm="1">
        <f t="array" ref="U779">_xlfn.IFS(smart_dataset[[#This Row],[Waiting_Time]]&lt;=20,"Low",smart_dataset[[#This Row],[Waiting_Time]]&lt;=40,"Medium",TRUE,"High")</f>
        <v>High</v>
      </c>
      <c r="V779" t="str" cm="1">
        <f t="array" ref="V779">_xlfn.IFS(smart_dataset[[#This Row],[Temperature]]&lt;=20,"Cold",smart_dataset[[#This Row],[Temperature]]&lt;=28,"Normal",TRUE,"Hot")</f>
        <v>Normal</v>
      </c>
      <c r="W779" t="str" cm="1">
        <f t="array" ref="W779">_xlfn.IFS(smart_dataset[[#This Row],[Asset_Utilization]]&lt;=75,"Low",smart_dataset[[#This Row],[Asset_Utilization]]&lt;=90,"Medium",TRUE,"High")</f>
        <v>Medium</v>
      </c>
    </row>
    <row r="780" spans="1:23" hidden="1" x14ac:dyDescent="0.25">
      <c r="A780" s="1">
        <v>45523.003611111111</v>
      </c>
      <c r="B780" s="1">
        <f>INT(smart_dataset[[#This Row],[Timestamp]])</f>
        <v>45523</v>
      </c>
      <c r="C780" s="1">
        <f>MOD(smart_dataset[[#This Row],[Timestamp]],1)</f>
        <v>3.6111111112404615E-3</v>
      </c>
      <c r="D780" s="1">
        <f>YEAR(smart_dataset[[#This Row],[Date]])</f>
        <v>2024</v>
      </c>
      <c r="E780" s="1">
        <f>MONTH(smart_dataset[[#This Row],[Timestamp]])</f>
        <v>8</v>
      </c>
      <c r="F780" t="s">
        <v>16</v>
      </c>
      <c r="G780">
        <v>-65.919899999999998</v>
      </c>
      <c r="H780">
        <v>-160.22919999999999</v>
      </c>
      <c r="I780">
        <v>252</v>
      </c>
      <c r="J780" t="s">
        <v>21</v>
      </c>
      <c r="K780">
        <v>27.1</v>
      </c>
      <c r="L780">
        <v>59.8</v>
      </c>
      <c r="M780" t="s">
        <v>18</v>
      </c>
      <c r="N780">
        <v>53</v>
      </c>
      <c r="O780">
        <v>457</v>
      </c>
      <c r="P780">
        <v>8</v>
      </c>
      <c r="Q780" t="s">
        <v>27</v>
      </c>
      <c r="R780">
        <v>95.4</v>
      </c>
      <c r="S780">
        <v>273</v>
      </c>
      <c r="T780">
        <v>0</v>
      </c>
      <c r="U780" t="str" cm="1">
        <f t="array" ref="U780">_xlfn.IFS(smart_dataset[[#This Row],[Waiting_Time]]&lt;=20,"Low",smart_dataset[[#This Row],[Waiting_Time]]&lt;=40,"Medium",TRUE,"High")</f>
        <v>High</v>
      </c>
      <c r="V780" t="str" cm="1">
        <f t="array" ref="V780">_xlfn.IFS(smart_dataset[[#This Row],[Temperature]]&lt;=20,"Cold",smart_dataset[[#This Row],[Temperature]]&lt;=28,"Normal",TRUE,"Hot")</f>
        <v>Normal</v>
      </c>
      <c r="W780" t="str" cm="1">
        <f t="array" ref="W780">_xlfn.IFS(smart_dataset[[#This Row],[Asset_Utilization]]&lt;=75,"Low",smart_dataset[[#This Row],[Asset_Utilization]]&lt;=90,"Medium",TRUE,"High")</f>
        <v>High</v>
      </c>
    </row>
    <row r="781" spans="1:23" hidden="1" x14ac:dyDescent="0.25">
      <c r="A781" s="1">
        <v>45355.430451388886</v>
      </c>
      <c r="B781" s="1">
        <f>INT(smart_dataset[[#This Row],[Timestamp]])</f>
        <v>45355</v>
      </c>
      <c r="C781" s="1">
        <f>MOD(smart_dataset[[#This Row],[Timestamp]],1)</f>
        <v>0.43045138888555812</v>
      </c>
      <c r="D781" s="1">
        <f>YEAR(smart_dataset[[#This Row],[Date]])</f>
        <v>2024</v>
      </c>
      <c r="E781" s="1">
        <f>MONTH(smart_dataset[[#This Row],[Timestamp]])</f>
        <v>3</v>
      </c>
      <c r="F781" t="s">
        <v>34</v>
      </c>
      <c r="G781">
        <v>-32.270699999999998</v>
      </c>
      <c r="H781">
        <v>98.147199999999998</v>
      </c>
      <c r="I781">
        <v>330</v>
      </c>
      <c r="J781" t="s">
        <v>26</v>
      </c>
      <c r="K781">
        <v>26.5</v>
      </c>
      <c r="L781">
        <v>59.2</v>
      </c>
      <c r="M781" t="s">
        <v>28</v>
      </c>
      <c r="N781">
        <v>51</v>
      </c>
      <c r="O781">
        <v>274</v>
      </c>
      <c r="P781">
        <v>3</v>
      </c>
      <c r="Q781" t="s">
        <v>27</v>
      </c>
      <c r="R781">
        <v>69.099999999999994</v>
      </c>
      <c r="S781">
        <v>139</v>
      </c>
      <c r="T781">
        <v>0</v>
      </c>
      <c r="U781" t="str" cm="1">
        <f t="array" ref="U781">_xlfn.IFS(smart_dataset[[#This Row],[Waiting_Time]]&lt;=20,"Low",smart_dataset[[#This Row],[Waiting_Time]]&lt;=40,"Medium",TRUE,"High")</f>
        <v>High</v>
      </c>
      <c r="V781" t="str" cm="1">
        <f t="array" ref="V781">_xlfn.IFS(smart_dataset[[#This Row],[Temperature]]&lt;=20,"Cold",smart_dataset[[#This Row],[Temperature]]&lt;=28,"Normal",TRUE,"Hot")</f>
        <v>Normal</v>
      </c>
      <c r="W781" t="str" cm="1">
        <f t="array" ref="W781">_xlfn.IFS(smart_dataset[[#This Row],[Asset_Utilization]]&lt;=75,"Low",smart_dataset[[#This Row],[Asset_Utilization]]&lt;=90,"Medium",TRUE,"High")</f>
        <v>Low</v>
      </c>
    </row>
    <row r="782" spans="1:23" hidden="1" x14ac:dyDescent="0.25">
      <c r="A782" s="1">
        <v>45566.321493055555</v>
      </c>
      <c r="B782" s="1">
        <f>INT(smart_dataset[[#This Row],[Timestamp]])</f>
        <v>45566</v>
      </c>
      <c r="C782" s="1">
        <f>MOD(smart_dataset[[#This Row],[Timestamp]],1)</f>
        <v>0.32149305555503815</v>
      </c>
      <c r="D782" s="1">
        <f>YEAR(smart_dataset[[#This Row],[Date]])</f>
        <v>2024</v>
      </c>
      <c r="E782" s="1">
        <f>MONTH(smart_dataset[[#This Row],[Timestamp]])</f>
        <v>10</v>
      </c>
      <c r="F782" t="s">
        <v>34</v>
      </c>
      <c r="G782">
        <v>73.391999999999996</v>
      </c>
      <c r="H782">
        <v>-62.313800000000001</v>
      </c>
      <c r="I782">
        <v>464</v>
      </c>
      <c r="J782" t="s">
        <v>17</v>
      </c>
      <c r="K782">
        <v>28.2</v>
      </c>
      <c r="L782">
        <v>61.4</v>
      </c>
      <c r="M782" t="s">
        <v>22</v>
      </c>
      <c r="N782">
        <v>20</v>
      </c>
      <c r="O782">
        <v>177</v>
      </c>
      <c r="P782">
        <v>3</v>
      </c>
      <c r="Q782" t="s">
        <v>23</v>
      </c>
      <c r="R782">
        <v>60.3</v>
      </c>
      <c r="S782">
        <v>279</v>
      </c>
      <c r="T782">
        <v>1</v>
      </c>
      <c r="U782" t="str" cm="1">
        <f t="array" ref="U782">_xlfn.IFS(smart_dataset[[#This Row],[Waiting_Time]]&lt;=20,"Low",smart_dataset[[#This Row],[Waiting_Time]]&lt;=40,"Medium",TRUE,"High")</f>
        <v>Low</v>
      </c>
      <c r="V782" t="str" cm="1">
        <f t="array" ref="V782">_xlfn.IFS(smart_dataset[[#This Row],[Temperature]]&lt;=20,"Cold",smart_dataset[[#This Row],[Temperature]]&lt;=28,"Normal",TRUE,"Hot")</f>
        <v>Hot</v>
      </c>
      <c r="W782" t="str" cm="1">
        <f t="array" ref="W782">_xlfn.IFS(smart_dataset[[#This Row],[Asset_Utilization]]&lt;=75,"Low",smart_dataset[[#This Row],[Asset_Utilization]]&lt;=90,"Medium",TRUE,"High")</f>
        <v>Low</v>
      </c>
    </row>
    <row r="783" spans="1:23" hidden="1" x14ac:dyDescent="0.25">
      <c r="A783" s="1">
        <v>45324.535891203705</v>
      </c>
      <c r="B783" s="1">
        <f>INT(smart_dataset[[#This Row],[Timestamp]])</f>
        <v>45324</v>
      </c>
      <c r="C783" s="1">
        <f>MOD(smart_dataset[[#This Row],[Timestamp]],1)</f>
        <v>0.53589120370452292</v>
      </c>
      <c r="D783" s="1">
        <f>YEAR(smart_dataset[[#This Row],[Date]])</f>
        <v>2024</v>
      </c>
      <c r="E783" s="1">
        <f>MONTH(smart_dataset[[#This Row],[Timestamp]])</f>
        <v>2</v>
      </c>
      <c r="F783" t="s">
        <v>32</v>
      </c>
      <c r="G783">
        <v>77.767799999999994</v>
      </c>
      <c r="H783">
        <v>-165.1979</v>
      </c>
      <c r="I783">
        <v>141</v>
      </c>
      <c r="J783" t="s">
        <v>17</v>
      </c>
      <c r="K783">
        <v>27.7</v>
      </c>
      <c r="L783">
        <v>55</v>
      </c>
      <c r="M783" t="s">
        <v>28</v>
      </c>
      <c r="N783">
        <v>12</v>
      </c>
      <c r="O783">
        <v>432</v>
      </c>
      <c r="P783">
        <v>10</v>
      </c>
      <c r="Q783" t="s">
        <v>31</v>
      </c>
      <c r="R783">
        <v>87.5</v>
      </c>
      <c r="S783">
        <v>278</v>
      </c>
      <c r="T783">
        <v>1</v>
      </c>
      <c r="U783" t="str" cm="1">
        <f t="array" ref="U783">_xlfn.IFS(smart_dataset[[#This Row],[Waiting_Time]]&lt;=20,"Low",smart_dataset[[#This Row],[Waiting_Time]]&lt;=40,"Medium",TRUE,"High")</f>
        <v>Low</v>
      </c>
      <c r="V783" t="str" cm="1">
        <f t="array" ref="V783">_xlfn.IFS(smart_dataset[[#This Row],[Temperature]]&lt;=20,"Cold",smart_dataset[[#This Row],[Temperature]]&lt;=28,"Normal",TRUE,"Hot")</f>
        <v>Normal</v>
      </c>
      <c r="W783" t="str" cm="1">
        <f t="array" ref="W783">_xlfn.IFS(smart_dataset[[#This Row],[Asset_Utilization]]&lt;=75,"Low",smart_dataset[[#This Row],[Asset_Utilization]]&lt;=90,"Medium",TRUE,"High")</f>
        <v>Medium</v>
      </c>
    </row>
    <row r="784" spans="1:23" hidden="1" x14ac:dyDescent="0.25">
      <c r="A784" s="1">
        <v>45596.266979166663</v>
      </c>
      <c r="B784" s="1">
        <f>INT(smart_dataset[[#This Row],[Timestamp]])</f>
        <v>45596</v>
      </c>
      <c r="C784" s="1">
        <f>MOD(smart_dataset[[#This Row],[Timestamp]],1)</f>
        <v>0.26697916666307719</v>
      </c>
      <c r="D784" s="1">
        <f>YEAR(smart_dataset[[#This Row],[Date]])</f>
        <v>2024</v>
      </c>
      <c r="E784" s="1">
        <f>MONTH(smart_dataset[[#This Row],[Timestamp]])</f>
        <v>10</v>
      </c>
      <c r="F784" t="s">
        <v>34</v>
      </c>
      <c r="G784">
        <v>-2.8228</v>
      </c>
      <c r="H784">
        <v>75.2804</v>
      </c>
      <c r="I784">
        <v>463</v>
      </c>
      <c r="J784" t="s">
        <v>21</v>
      </c>
      <c r="K784">
        <v>19.5</v>
      </c>
      <c r="L784">
        <v>64.400000000000006</v>
      </c>
      <c r="M784" t="s">
        <v>18</v>
      </c>
      <c r="N784">
        <v>32</v>
      </c>
      <c r="O784">
        <v>244</v>
      </c>
      <c r="P784">
        <v>1</v>
      </c>
      <c r="Q784" t="s">
        <v>27</v>
      </c>
      <c r="R784">
        <v>69.8</v>
      </c>
      <c r="S784">
        <v>294</v>
      </c>
      <c r="T784">
        <v>0</v>
      </c>
      <c r="U784" t="str" cm="1">
        <f t="array" ref="U784">_xlfn.IFS(smart_dataset[[#This Row],[Waiting_Time]]&lt;=20,"Low",smart_dataset[[#This Row],[Waiting_Time]]&lt;=40,"Medium",TRUE,"High")</f>
        <v>Medium</v>
      </c>
      <c r="V784" t="str" cm="1">
        <f t="array" ref="V784">_xlfn.IFS(smart_dataset[[#This Row],[Temperature]]&lt;=20,"Cold",smart_dataset[[#This Row],[Temperature]]&lt;=28,"Normal",TRUE,"Hot")</f>
        <v>Cold</v>
      </c>
      <c r="W784" t="str" cm="1">
        <f t="array" ref="W784">_xlfn.IFS(smart_dataset[[#This Row],[Asset_Utilization]]&lt;=75,"Low",smart_dataset[[#This Row],[Asset_Utilization]]&lt;=90,"Medium",TRUE,"High")</f>
        <v>Low</v>
      </c>
    </row>
    <row r="785" spans="1:23" hidden="1" x14ac:dyDescent="0.25">
      <c r="A785" s="1">
        <v>45627.195231481484</v>
      </c>
      <c r="B785" s="1">
        <f>INT(smart_dataset[[#This Row],[Timestamp]])</f>
        <v>45627</v>
      </c>
      <c r="C785" s="1">
        <f>MOD(smart_dataset[[#This Row],[Timestamp]],1)</f>
        <v>0.19523148148437031</v>
      </c>
      <c r="D785" s="1">
        <f>YEAR(smart_dataset[[#This Row],[Date]])</f>
        <v>2024</v>
      </c>
      <c r="E785" s="1">
        <f>MONTH(smart_dataset[[#This Row],[Timestamp]])</f>
        <v>12</v>
      </c>
      <c r="F785" t="s">
        <v>32</v>
      </c>
      <c r="G785">
        <v>-74.278000000000006</v>
      </c>
      <c r="H785">
        <v>137.45599999999999</v>
      </c>
      <c r="I785">
        <v>223</v>
      </c>
      <c r="J785" t="s">
        <v>21</v>
      </c>
      <c r="K785">
        <v>25.2</v>
      </c>
      <c r="L785">
        <v>54.1</v>
      </c>
      <c r="M785" t="s">
        <v>18</v>
      </c>
      <c r="N785">
        <v>45</v>
      </c>
      <c r="O785">
        <v>121</v>
      </c>
      <c r="P785">
        <v>1</v>
      </c>
      <c r="Q785" t="s">
        <v>31</v>
      </c>
      <c r="R785">
        <v>85.9</v>
      </c>
      <c r="S785">
        <v>153</v>
      </c>
      <c r="T785">
        <v>0</v>
      </c>
      <c r="U785" t="str" cm="1">
        <f t="array" ref="U785">_xlfn.IFS(smart_dataset[[#This Row],[Waiting_Time]]&lt;=20,"Low",smart_dataset[[#This Row],[Waiting_Time]]&lt;=40,"Medium",TRUE,"High")</f>
        <v>High</v>
      </c>
      <c r="V785" t="str" cm="1">
        <f t="array" ref="V785">_xlfn.IFS(smart_dataset[[#This Row],[Temperature]]&lt;=20,"Cold",smart_dataset[[#This Row],[Temperature]]&lt;=28,"Normal",TRUE,"Hot")</f>
        <v>Normal</v>
      </c>
      <c r="W785" t="str" cm="1">
        <f t="array" ref="W785">_xlfn.IFS(smart_dataset[[#This Row],[Asset_Utilization]]&lt;=75,"Low",smart_dataset[[#This Row],[Asset_Utilization]]&lt;=90,"Medium",TRUE,"High")</f>
        <v>Medium</v>
      </c>
    </row>
    <row r="786" spans="1:23" hidden="1" x14ac:dyDescent="0.25">
      <c r="A786" s="1">
        <v>45366.09578703704</v>
      </c>
      <c r="B786" s="1">
        <f>INT(smart_dataset[[#This Row],[Timestamp]])</f>
        <v>45366</v>
      </c>
      <c r="C786" s="1">
        <f>MOD(smart_dataset[[#This Row],[Timestamp]],1)</f>
        <v>9.5787037040281575E-2</v>
      </c>
      <c r="D786" s="1">
        <f>YEAR(smart_dataset[[#This Row],[Date]])</f>
        <v>2024</v>
      </c>
      <c r="E786" s="1">
        <f>MONTH(smart_dataset[[#This Row],[Timestamp]])</f>
        <v>3</v>
      </c>
      <c r="F786" t="s">
        <v>24</v>
      </c>
      <c r="G786">
        <v>-21.579699999999999</v>
      </c>
      <c r="H786">
        <v>129.75989999999999</v>
      </c>
      <c r="I786">
        <v>301</v>
      </c>
      <c r="J786" t="s">
        <v>21</v>
      </c>
      <c r="K786">
        <v>18.5</v>
      </c>
      <c r="L786">
        <v>75.3</v>
      </c>
      <c r="M786" t="s">
        <v>28</v>
      </c>
      <c r="N786">
        <v>39</v>
      </c>
      <c r="O786">
        <v>140</v>
      </c>
      <c r="P786">
        <v>6</v>
      </c>
      <c r="Q786" t="s">
        <v>23</v>
      </c>
      <c r="R786">
        <v>78.5</v>
      </c>
      <c r="S786">
        <v>208</v>
      </c>
      <c r="T786">
        <v>0</v>
      </c>
      <c r="U786" t="str" cm="1">
        <f t="array" ref="U786">_xlfn.IFS(smart_dataset[[#This Row],[Waiting_Time]]&lt;=20,"Low",smart_dataset[[#This Row],[Waiting_Time]]&lt;=40,"Medium",TRUE,"High")</f>
        <v>Medium</v>
      </c>
      <c r="V786" t="str" cm="1">
        <f t="array" ref="V786">_xlfn.IFS(smart_dataset[[#This Row],[Temperature]]&lt;=20,"Cold",smart_dataset[[#This Row],[Temperature]]&lt;=28,"Normal",TRUE,"Hot")</f>
        <v>Cold</v>
      </c>
      <c r="W786" t="str" cm="1">
        <f t="array" ref="W786">_xlfn.IFS(smart_dataset[[#This Row],[Asset_Utilization]]&lt;=75,"Low",smart_dataset[[#This Row],[Asset_Utilization]]&lt;=90,"Medium",TRUE,"High")</f>
        <v>Medium</v>
      </c>
    </row>
    <row r="787" spans="1:23" hidden="1" x14ac:dyDescent="0.25">
      <c r="A787" s="1">
        <v>45356.953055555554</v>
      </c>
      <c r="B787" s="1">
        <f>INT(smart_dataset[[#This Row],[Timestamp]])</f>
        <v>45356</v>
      </c>
      <c r="C787" s="1">
        <f>MOD(smart_dataset[[#This Row],[Timestamp]],1)</f>
        <v>0.953055555553874</v>
      </c>
      <c r="D787" s="1">
        <f>YEAR(smart_dataset[[#This Row],[Date]])</f>
        <v>2024</v>
      </c>
      <c r="E787" s="1">
        <f>MONTH(smart_dataset[[#This Row],[Timestamp]])</f>
        <v>3</v>
      </c>
      <c r="F787" t="s">
        <v>24</v>
      </c>
      <c r="G787">
        <v>35.952100000000002</v>
      </c>
      <c r="H787">
        <v>5.7750000000000004</v>
      </c>
      <c r="I787">
        <v>195</v>
      </c>
      <c r="J787" t="s">
        <v>26</v>
      </c>
      <c r="K787">
        <v>26.9</v>
      </c>
      <c r="L787">
        <v>79.8</v>
      </c>
      <c r="M787" t="s">
        <v>28</v>
      </c>
      <c r="N787">
        <v>57</v>
      </c>
      <c r="O787">
        <v>190</v>
      </c>
      <c r="P787">
        <v>2</v>
      </c>
      <c r="Q787" t="s">
        <v>27</v>
      </c>
      <c r="R787">
        <v>60.6</v>
      </c>
      <c r="S787">
        <v>235</v>
      </c>
      <c r="T787">
        <v>0</v>
      </c>
      <c r="U787" t="str" cm="1">
        <f t="array" ref="U787">_xlfn.IFS(smart_dataset[[#This Row],[Waiting_Time]]&lt;=20,"Low",smart_dataset[[#This Row],[Waiting_Time]]&lt;=40,"Medium",TRUE,"High")</f>
        <v>High</v>
      </c>
      <c r="V787" t="str" cm="1">
        <f t="array" ref="V787">_xlfn.IFS(smart_dataset[[#This Row],[Temperature]]&lt;=20,"Cold",smart_dataset[[#This Row],[Temperature]]&lt;=28,"Normal",TRUE,"Hot")</f>
        <v>Normal</v>
      </c>
      <c r="W787" t="str" cm="1">
        <f t="array" ref="W787">_xlfn.IFS(smart_dataset[[#This Row],[Asset_Utilization]]&lt;=75,"Low",smart_dataset[[#This Row],[Asset_Utilization]]&lt;=90,"Medium",TRUE,"High")</f>
        <v>Low</v>
      </c>
    </row>
    <row r="788" spans="1:23" hidden="1" x14ac:dyDescent="0.25">
      <c r="A788" s="1">
        <v>45591.990960648145</v>
      </c>
      <c r="B788" s="1">
        <f>INT(smart_dataset[[#This Row],[Timestamp]])</f>
        <v>45591</v>
      </c>
      <c r="C788" s="1">
        <f>MOD(smart_dataset[[#This Row],[Timestamp]],1)</f>
        <v>0.99096064814511919</v>
      </c>
      <c r="D788" s="1">
        <f>YEAR(smart_dataset[[#This Row],[Date]])</f>
        <v>2024</v>
      </c>
      <c r="E788" s="1">
        <f>MONTH(smart_dataset[[#This Row],[Timestamp]])</f>
        <v>10</v>
      </c>
      <c r="F788" t="s">
        <v>16</v>
      </c>
      <c r="G788">
        <v>-8.7266999999999992</v>
      </c>
      <c r="H788">
        <v>-140.39879999999999</v>
      </c>
      <c r="I788">
        <v>310</v>
      </c>
      <c r="J788" t="s">
        <v>26</v>
      </c>
      <c r="K788">
        <v>23.8</v>
      </c>
      <c r="L788">
        <v>72.400000000000006</v>
      </c>
      <c r="M788" t="s">
        <v>28</v>
      </c>
      <c r="N788">
        <v>53</v>
      </c>
      <c r="O788">
        <v>277</v>
      </c>
      <c r="P788">
        <v>4</v>
      </c>
      <c r="Q788" t="s">
        <v>31</v>
      </c>
      <c r="R788">
        <v>91.3</v>
      </c>
      <c r="S788">
        <v>122</v>
      </c>
      <c r="T788">
        <v>0</v>
      </c>
      <c r="U788" t="str" cm="1">
        <f t="array" ref="U788">_xlfn.IFS(smart_dataset[[#This Row],[Waiting_Time]]&lt;=20,"Low",smart_dataset[[#This Row],[Waiting_Time]]&lt;=40,"Medium",TRUE,"High")</f>
        <v>High</v>
      </c>
      <c r="V788" t="str" cm="1">
        <f t="array" ref="V788">_xlfn.IFS(smart_dataset[[#This Row],[Temperature]]&lt;=20,"Cold",smart_dataset[[#This Row],[Temperature]]&lt;=28,"Normal",TRUE,"Hot")</f>
        <v>Normal</v>
      </c>
      <c r="W788" t="str" cm="1">
        <f t="array" ref="W788">_xlfn.IFS(smart_dataset[[#This Row],[Asset_Utilization]]&lt;=75,"Low",smart_dataset[[#This Row],[Asset_Utilization]]&lt;=90,"Medium",TRUE,"High")</f>
        <v>High</v>
      </c>
    </row>
    <row r="789" spans="1:23" hidden="1" x14ac:dyDescent="0.25">
      <c r="A789" s="1">
        <v>45368.716307870367</v>
      </c>
      <c r="B789" s="1">
        <f>INT(smart_dataset[[#This Row],[Timestamp]])</f>
        <v>45368</v>
      </c>
      <c r="C789" s="1">
        <f>MOD(smart_dataset[[#This Row],[Timestamp]],1)</f>
        <v>0.71630787036701804</v>
      </c>
      <c r="D789" s="1">
        <f>YEAR(smart_dataset[[#This Row],[Date]])</f>
        <v>2024</v>
      </c>
      <c r="E789" s="1">
        <f>MONTH(smart_dataset[[#This Row],[Timestamp]])</f>
        <v>3</v>
      </c>
      <c r="F789" t="s">
        <v>30</v>
      </c>
      <c r="G789">
        <v>-56.121899999999997</v>
      </c>
      <c r="H789">
        <v>135.42349999999999</v>
      </c>
      <c r="I789">
        <v>100</v>
      </c>
      <c r="J789" t="s">
        <v>21</v>
      </c>
      <c r="K789">
        <v>23.6</v>
      </c>
      <c r="L789">
        <v>64.3</v>
      </c>
      <c r="M789" t="s">
        <v>18</v>
      </c>
      <c r="N789">
        <v>29</v>
      </c>
      <c r="O789">
        <v>276</v>
      </c>
      <c r="P789">
        <v>5</v>
      </c>
      <c r="Q789" t="s">
        <v>31</v>
      </c>
      <c r="R789">
        <v>89.1</v>
      </c>
      <c r="S789">
        <v>198</v>
      </c>
      <c r="T789">
        <v>0</v>
      </c>
      <c r="U789" t="str" cm="1">
        <f t="array" ref="U789">_xlfn.IFS(smart_dataset[[#This Row],[Waiting_Time]]&lt;=20,"Low",smart_dataset[[#This Row],[Waiting_Time]]&lt;=40,"Medium",TRUE,"High")</f>
        <v>Medium</v>
      </c>
      <c r="V789" t="str" cm="1">
        <f t="array" ref="V789">_xlfn.IFS(smart_dataset[[#This Row],[Temperature]]&lt;=20,"Cold",smart_dataset[[#This Row],[Temperature]]&lt;=28,"Normal",TRUE,"Hot")</f>
        <v>Normal</v>
      </c>
      <c r="W789" t="str" cm="1">
        <f t="array" ref="W789">_xlfn.IFS(smart_dataset[[#This Row],[Asset_Utilization]]&lt;=75,"Low",smart_dataset[[#This Row],[Asset_Utilization]]&lt;=90,"Medium",TRUE,"High")</f>
        <v>Medium</v>
      </c>
    </row>
    <row r="790" spans="1:23" x14ac:dyDescent="0.25">
      <c r="A790" s="1">
        <v>45304.660729166666</v>
      </c>
      <c r="B790" s="1">
        <f>INT(smart_dataset[[#This Row],[Timestamp]])</f>
        <v>45304</v>
      </c>
      <c r="C790" s="7">
        <f>MOD(smart_dataset[[#This Row],[Timestamp]],1)</f>
        <v>0.66072916666598758</v>
      </c>
      <c r="D790">
        <f>YEAR(smart_dataset[[#This Row],[Date]])</f>
        <v>2024</v>
      </c>
      <c r="E790">
        <f>MONTH(smart_dataset[[#This Row],[Timestamp]])</f>
        <v>1</v>
      </c>
      <c r="F790" t="s">
        <v>35</v>
      </c>
      <c r="G790">
        <v>23.225899999999999</v>
      </c>
      <c r="H790">
        <v>110.6901</v>
      </c>
      <c r="I790">
        <v>147</v>
      </c>
      <c r="J790" t="s">
        <v>21</v>
      </c>
      <c r="K790">
        <v>18.7</v>
      </c>
      <c r="L790">
        <v>68.5</v>
      </c>
      <c r="M790" t="s">
        <v>22</v>
      </c>
      <c r="N790">
        <v>25</v>
      </c>
      <c r="O790">
        <v>439</v>
      </c>
      <c r="P790">
        <v>9</v>
      </c>
      <c r="Q790" t="s">
        <v>19</v>
      </c>
      <c r="R790">
        <v>75.2</v>
      </c>
      <c r="S790">
        <v>266</v>
      </c>
      <c r="T790">
        <v>1</v>
      </c>
      <c r="U790" t="str" cm="1">
        <f t="array" ref="U790">_xlfn.IFS(smart_dataset[[#This Row],[Waiting_Time]]&lt;=20,"Low",smart_dataset[[#This Row],[Waiting_Time]]&lt;=40,"Medium",TRUE,"High")</f>
        <v>Medium</v>
      </c>
      <c r="V790" t="str" cm="1">
        <f t="array" ref="V790">_xlfn.IFS(smart_dataset[[#This Row],[Temperature]]&lt;=20,"Cold",smart_dataset[[#This Row],[Temperature]]&lt;=28,"Normal",TRUE,"Hot")</f>
        <v>Cold</v>
      </c>
      <c r="W790" t="str" cm="1">
        <f t="array" ref="W790">_xlfn.IFS(smart_dataset[[#This Row],[Asset_Utilization]]&lt;=75,"Low",smart_dataset[[#This Row],[Asset_Utilization]]&lt;=90,"Medium",TRUE,"High")</f>
        <v>Medium</v>
      </c>
    </row>
    <row r="791" spans="1:23" hidden="1" x14ac:dyDescent="0.25">
      <c r="A791" s="1">
        <v>45442.959016203706</v>
      </c>
      <c r="B791" s="1">
        <f>INT(smart_dataset[[#This Row],[Timestamp]])</f>
        <v>45442</v>
      </c>
      <c r="C791" s="1">
        <f>MOD(smart_dataset[[#This Row],[Timestamp]],1)</f>
        <v>0.95901620370568708</v>
      </c>
      <c r="D791" s="1">
        <f>YEAR(smart_dataset[[#This Row],[Date]])</f>
        <v>2024</v>
      </c>
      <c r="E791" s="1">
        <f>MONTH(smart_dataset[[#This Row],[Timestamp]])</f>
        <v>5</v>
      </c>
      <c r="F791" t="s">
        <v>25</v>
      </c>
      <c r="G791">
        <v>-53.699300000000001</v>
      </c>
      <c r="H791">
        <v>79.009600000000006</v>
      </c>
      <c r="I791">
        <v>251</v>
      </c>
      <c r="J791" t="s">
        <v>17</v>
      </c>
      <c r="K791">
        <v>22.8</v>
      </c>
      <c r="L791">
        <v>62.9</v>
      </c>
      <c r="M791" t="s">
        <v>22</v>
      </c>
      <c r="N791">
        <v>52</v>
      </c>
      <c r="O791">
        <v>173</v>
      </c>
      <c r="P791">
        <v>3</v>
      </c>
      <c r="Q791" t="s">
        <v>31</v>
      </c>
      <c r="R791">
        <v>72.900000000000006</v>
      </c>
      <c r="S791">
        <v>268</v>
      </c>
      <c r="T791">
        <v>1</v>
      </c>
      <c r="U791" t="str" cm="1">
        <f t="array" ref="U791">_xlfn.IFS(smart_dataset[[#This Row],[Waiting_Time]]&lt;=20,"Low",smart_dataset[[#This Row],[Waiting_Time]]&lt;=40,"Medium",TRUE,"High")</f>
        <v>High</v>
      </c>
      <c r="V791" t="str" cm="1">
        <f t="array" ref="V791">_xlfn.IFS(smart_dataset[[#This Row],[Temperature]]&lt;=20,"Cold",smart_dataset[[#This Row],[Temperature]]&lt;=28,"Normal",TRUE,"Hot")</f>
        <v>Normal</v>
      </c>
      <c r="W791" t="str" cm="1">
        <f t="array" ref="W791">_xlfn.IFS(smart_dataset[[#This Row],[Asset_Utilization]]&lt;=75,"Low",smart_dataset[[#This Row],[Asset_Utilization]]&lt;=90,"Medium",TRUE,"High")</f>
        <v>Low</v>
      </c>
    </row>
    <row r="792" spans="1:23" hidden="1" x14ac:dyDescent="0.25">
      <c r="A792" s="1">
        <v>45504.95648148148</v>
      </c>
      <c r="B792" s="1">
        <f>INT(smart_dataset[[#This Row],[Timestamp]])</f>
        <v>45504</v>
      </c>
      <c r="C792" s="1">
        <f>MOD(smart_dataset[[#This Row],[Timestamp]],1)</f>
        <v>0.95648148148029577</v>
      </c>
      <c r="D792" s="1">
        <f>YEAR(smart_dataset[[#This Row],[Date]])</f>
        <v>2024</v>
      </c>
      <c r="E792" s="1">
        <f>MONTH(smart_dataset[[#This Row],[Timestamp]])</f>
        <v>7</v>
      </c>
      <c r="F792" t="s">
        <v>16</v>
      </c>
      <c r="G792">
        <v>-3.8220000000000001</v>
      </c>
      <c r="H792">
        <v>-40.316899999999997</v>
      </c>
      <c r="I792">
        <v>108</v>
      </c>
      <c r="J792" t="s">
        <v>26</v>
      </c>
      <c r="K792">
        <v>26.6</v>
      </c>
      <c r="L792">
        <v>61.7</v>
      </c>
      <c r="M792" t="s">
        <v>18</v>
      </c>
      <c r="N792">
        <v>47</v>
      </c>
      <c r="O792">
        <v>122</v>
      </c>
      <c r="P792">
        <v>7</v>
      </c>
      <c r="Q792" t="s">
        <v>23</v>
      </c>
      <c r="R792">
        <v>64.599999999999994</v>
      </c>
      <c r="S792">
        <v>116</v>
      </c>
      <c r="T792">
        <v>0</v>
      </c>
      <c r="U792" t="str" cm="1">
        <f t="array" ref="U792">_xlfn.IFS(smart_dataset[[#This Row],[Waiting_Time]]&lt;=20,"Low",smart_dataset[[#This Row],[Waiting_Time]]&lt;=40,"Medium",TRUE,"High")</f>
        <v>High</v>
      </c>
      <c r="V792" t="str" cm="1">
        <f t="array" ref="V792">_xlfn.IFS(smart_dataset[[#This Row],[Temperature]]&lt;=20,"Cold",smart_dataset[[#This Row],[Temperature]]&lt;=28,"Normal",TRUE,"Hot")</f>
        <v>Normal</v>
      </c>
      <c r="W792" t="str" cm="1">
        <f t="array" ref="W792">_xlfn.IFS(smart_dataset[[#This Row],[Asset_Utilization]]&lt;=75,"Low",smart_dataset[[#This Row],[Asset_Utilization]]&lt;=90,"Medium",TRUE,"High")</f>
        <v>Low</v>
      </c>
    </row>
    <row r="793" spans="1:23" hidden="1" x14ac:dyDescent="0.25">
      <c r="A793" s="1">
        <v>45456.199317129627</v>
      </c>
      <c r="B793" s="1">
        <f>INT(smart_dataset[[#This Row],[Timestamp]])</f>
        <v>45456</v>
      </c>
      <c r="C793" s="1">
        <f>MOD(smart_dataset[[#This Row],[Timestamp]],1)</f>
        <v>0.19931712962716119</v>
      </c>
      <c r="D793" s="1">
        <f>YEAR(smart_dataset[[#This Row],[Date]])</f>
        <v>2024</v>
      </c>
      <c r="E793" s="1">
        <f>MONTH(smart_dataset[[#This Row],[Timestamp]])</f>
        <v>6</v>
      </c>
      <c r="F793" t="s">
        <v>20</v>
      </c>
      <c r="G793">
        <v>-48.052999999999997</v>
      </c>
      <c r="H793">
        <v>-175.0849</v>
      </c>
      <c r="I793">
        <v>340</v>
      </c>
      <c r="J793" t="s">
        <v>21</v>
      </c>
      <c r="K793">
        <v>27.9</v>
      </c>
      <c r="L793">
        <v>69.099999999999994</v>
      </c>
      <c r="M793" t="s">
        <v>28</v>
      </c>
      <c r="N793">
        <v>32</v>
      </c>
      <c r="O793">
        <v>162</v>
      </c>
      <c r="P793">
        <v>2</v>
      </c>
      <c r="Q793" t="s">
        <v>23</v>
      </c>
      <c r="R793">
        <v>90.9</v>
      </c>
      <c r="S793">
        <v>300</v>
      </c>
      <c r="T793">
        <v>0</v>
      </c>
      <c r="U793" t="str" cm="1">
        <f t="array" ref="U793">_xlfn.IFS(smart_dataset[[#This Row],[Waiting_Time]]&lt;=20,"Low",smart_dataset[[#This Row],[Waiting_Time]]&lt;=40,"Medium",TRUE,"High")</f>
        <v>Medium</v>
      </c>
      <c r="V793" t="str" cm="1">
        <f t="array" ref="V793">_xlfn.IFS(smart_dataset[[#This Row],[Temperature]]&lt;=20,"Cold",smart_dataset[[#This Row],[Temperature]]&lt;=28,"Normal",TRUE,"Hot")</f>
        <v>Normal</v>
      </c>
      <c r="W793" t="str" cm="1">
        <f t="array" ref="W793">_xlfn.IFS(smart_dataset[[#This Row],[Asset_Utilization]]&lt;=75,"Low",smart_dataset[[#This Row],[Asset_Utilization]]&lt;=90,"Medium",TRUE,"High")</f>
        <v>High</v>
      </c>
    </row>
    <row r="794" spans="1:23" hidden="1" x14ac:dyDescent="0.25">
      <c r="A794" s="1">
        <v>45479.666226851848</v>
      </c>
      <c r="B794" s="1">
        <f>INT(smart_dataset[[#This Row],[Timestamp]])</f>
        <v>45479</v>
      </c>
      <c r="C794" s="1">
        <f>MOD(smart_dataset[[#This Row],[Timestamp]],1)</f>
        <v>0.66622685184847796</v>
      </c>
      <c r="D794" s="1">
        <f>YEAR(smart_dataset[[#This Row],[Date]])</f>
        <v>2024</v>
      </c>
      <c r="E794" s="1">
        <f>MONTH(smart_dataset[[#This Row],[Timestamp]])</f>
        <v>7</v>
      </c>
      <c r="F794" t="s">
        <v>33</v>
      </c>
      <c r="G794">
        <v>68.132000000000005</v>
      </c>
      <c r="H794">
        <v>-51.507100000000001</v>
      </c>
      <c r="I794">
        <v>167</v>
      </c>
      <c r="J794" t="s">
        <v>17</v>
      </c>
      <c r="K794">
        <v>21.6</v>
      </c>
      <c r="L794">
        <v>54.6</v>
      </c>
      <c r="M794" t="s">
        <v>28</v>
      </c>
      <c r="N794">
        <v>46</v>
      </c>
      <c r="O794">
        <v>240</v>
      </c>
      <c r="P794">
        <v>10</v>
      </c>
      <c r="Q794" t="s">
        <v>23</v>
      </c>
      <c r="R794">
        <v>60.5</v>
      </c>
      <c r="S794">
        <v>278</v>
      </c>
      <c r="T794">
        <v>1</v>
      </c>
      <c r="U794" t="str" cm="1">
        <f t="array" ref="U794">_xlfn.IFS(smart_dataset[[#This Row],[Waiting_Time]]&lt;=20,"Low",smart_dataset[[#This Row],[Waiting_Time]]&lt;=40,"Medium",TRUE,"High")</f>
        <v>High</v>
      </c>
      <c r="V794" t="str" cm="1">
        <f t="array" ref="V794">_xlfn.IFS(smart_dataset[[#This Row],[Temperature]]&lt;=20,"Cold",smart_dataset[[#This Row],[Temperature]]&lt;=28,"Normal",TRUE,"Hot")</f>
        <v>Normal</v>
      </c>
      <c r="W794" t="str" cm="1">
        <f t="array" ref="W794">_xlfn.IFS(smart_dataset[[#This Row],[Asset_Utilization]]&lt;=75,"Low",smart_dataset[[#This Row],[Asset_Utilization]]&lt;=90,"Medium",TRUE,"High")</f>
        <v>Low</v>
      </c>
    </row>
    <row r="795" spans="1:23" hidden="1" x14ac:dyDescent="0.25">
      <c r="A795" s="1">
        <v>45350.521273148152</v>
      </c>
      <c r="B795" s="1">
        <f>INT(smart_dataset[[#This Row],[Timestamp]])</f>
        <v>45350</v>
      </c>
      <c r="C795" s="1">
        <f>MOD(smart_dataset[[#This Row],[Timestamp]],1)</f>
        <v>0.52127314815152204</v>
      </c>
      <c r="D795" s="1">
        <f>YEAR(smart_dataset[[#This Row],[Date]])</f>
        <v>2024</v>
      </c>
      <c r="E795" s="1">
        <f>MONTH(smart_dataset[[#This Row],[Timestamp]])</f>
        <v>2</v>
      </c>
      <c r="F795" t="s">
        <v>33</v>
      </c>
      <c r="G795">
        <v>-80.428899999999999</v>
      </c>
      <c r="H795">
        <v>177.55799999999999</v>
      </c>
      <c r="I795">
        <v>488</v>
      </c>
      <c r="J795" t="s">
        <v>26</v>
      </c>
      <c r="K795">
        <v>24.9</v>
      </c>
      <c r="L795">
        <v>79.2</v>
      </c>
      <c r="M795" t="s">
        <v>22</v>
      </c>
      <c r="N795">
        <v>52</v>
      </c>
      <c r="O795">
        <v>290</v>
      </c>
      <c r="P795">
        <v>10</v>
      </c>
      <c r="Q795" t="s">
        <v>27</v>
      </c>
      <c r="R795">
        <v>82.5</v>
      </c>
      <c r="S795">
        <v>248</v>
      </c>
      <c r="T795">
        <v>1</v>
      </c>
      <c r="U795" t="str" cm="1">
        <f t="array" ref="U795">_xlfn.IFS(smart_dataset[[#This Row],[Waiting_Time]]&lt;=20,"Low",smart_dataset[[#This Row],[Waiting_Time]]&lt;=40,"Medium",TRUE,"High")</f>
        <v>High</v>
      </c>
      <c r="V795" t="str" cm="1">
        <f t="array" ref="V795">_xlfn.IFS(smart_dataset[[#This Row],[Temperature]]&lt;=20,"Cold",smart_dataset[[#This Row],[Temperature]]&lt;=28,"Normal",TRUE,"Hot")</f>
        <v>Normal</v>
      </c>
      <c r="W795" t="str" cm="1">
        <f t="array" ref="W795">_xlfn.IFS(smart_dataset[[#This Row],[Asset_Utilization]]&lt;=75,"Low",smart_dataset[[#This Row],[Asset_Utilization]]&lt;=90,"Medium",TRUE,"High")</f>
        <v>Medium</v>
      </c>
    </row>
    <row r="796" spans="1:23" x14ac:dyDescent="0.25">
      <c r="A796" s="1">
        <v>45373.281574074077</v>
      </c>
      <c r="B796" s="1">
        <f>INT(smart_dataset[[#This Row],[Timestamp]])</f>
        <v>45373</v>
      </c>
      <c r="C796" s="7">
        <f>MOD(smart_dataset[[#This Row],[Timestamp]],1)</f>
        <v>0.28157407407707069</v>
      </c>
      <c r="D796">
        <f>YEAR(smart_dataset[[#This Row],[Date]])</f>
        <v>2024</v>
      </c>
      <c r="E796">
        <f>MONTH(smart_dataset[[#This Row],[Timestamp]])</f>
        <v>3</v>
      </c>
      <c r="F796" t="s">
        <v>32</v>
      </c>
      <c r="G796">
        <v>42.952599999999997</v>
      </c>
      <c r="H796">
        <v>146.6224</v>
      </c>
      <c r="I796">
        <v>330</v>
      </c>
      <c r="J796" t="s">
        <v>26</v>
      </c>
      <c r="K796">
        <v>24.4</v>
      </c>
      <c r="L796">
        <v>79.5</v>
      </c>
      <c r="M796" t="s">
        <v>28</v>
      </c>
      <c r="N796">
        <v>19</v>
      </c>
      <c r="O796">
        <v>110</v>
      </c>
      <c r="P796">
        <v>7</v>
      </c>
      <c r="Q796" t="s">
        <v>19</v>
      </c>
      <c r="R796">
        <v>66.3</v>
      </c>
      <c r="S796">
        <v>109</v>
      </c>
      <c r="T796">
        <v>0</v>
      </c>
      <c r="U796" t="str" cm="1">
        <f t="array" ref="U796">_xlfn.IFS(smart_dataset[[#This Row],[Waiting_Time]]&lt;=20,"Low",smart_dataset[[#This Row],[Waiting_Time]]&lt;=40,"Medium",TRUE,"High")</f>
        <v>Low</v>
      </c>
      <c r="V796" t="str" cm="1">
        <f t="array" ref="V796">_xlfn.IFS(smart_dataset[[#This Row],[Temperature]]&lt;=20,"Cold",smart_dataset[[#This Row],[Temperature]]&lt;=28,"Normal",TRUE,"Hot")</f>
        <v>Normal</v>
      </c>
      <c r="W796" t="str" cm="1">
        <f t="array" ref="W796">_xlfn.IFS(smart_dataset[[#This Row],[Asset_Utilization]]&lt;=75,"Low",smart_dataset[[#This Row],[Asset_Utilization]]&lt;=90,"Medium",TRUE,"High")</f>
        <v>Low</v>
      </c>
    </row>
    <row r="797" spans="1:23" hidden="1" x14ac:dyDescent="0.25">
      <c r="A797" s="1">
        <v>45320.807372685187</v>
      </c>
      <c r="B797" s="1">
        <f>INT(smart_dataset[[#This Row],[Timestamp]])</f>
        <v>45320</v>
      </c>
      <c r="C797" s="1">
        <f>MOD(smart_dataset[[#This Row],[Timestamp]],1)</f>
        <v>0.807372685187147</v>
      </c>
      <c r="D797" s="1">
        <f>YEAR(smart_dataset[[#This Row],[Date]])</f>
        <v>2024</v>
      </c>
      <c r="E797" s="1">
        <f>MONTH(smart_dataset[[#This Row],[Timestamp]])</f>
        <v>1</v>
      </c>
      <c r="F797" t="s">
        <v>25</v>
      </c>
      <c r="G797">
        <v>-40.555599999999998</v>
      </c>
      <c r="H797">
        <v>55.0777</v>
      </c>
      <c r="I797">
        <v>177</v>
      </c>
      <c r="J797" t="s">
        <v>26</v>
      </c>
      <c r="K797">
        <v>25.6</v>
      </c>
      <c r="L797">
        <v>71.900000000000006</v>
      </c>
      <c r="M797" t="s">
        <v>18</v>
      </c>
      <c r="N797">
        <v>20</v>
      </c>
      <c r="O797">
        <v>193</v>
      </c>
      <c r="P797">
        <v>6</v>
      </c>
      <c r="Q797" t="s">
        <v>31</v>
      </c>
      <c r="R797">
        <v>95.5</v>
      </c>
      <c r="S797">
        <v>182</v>
      </c>
      <c r="T797">
        <v>0</v>
      </c>
      <c r="U797" t="str" cm="1">
        <f t="array" ref="U797">_xlfn.IFS(smart_dataset[[#This Row],[Waiting_Time]]&lt;=20,"Low",smart_dataset[[#This Row],[Waiting_Time]]&lt;=40,"Medium",TRUE,"High")</f>
        <v>Low</v>
      </c>
      <c r="V797" t="str" cm="1">
        <f t="array" ref="V797">_xlfn.IFS(smart_dataset[[#This Row],[Temperature]]&lt;=20,"Cold",smart_dataset[[#This Row],[Temperature]]&lt;=28,"Normal",TRUE,"Hot")</f>
        <v>Normal</v>
      </c>
      <c r="W797" t="str" cm="1">
        <f t="array" ref="W797">_xlfn.IFS(smart_dataset[[#This Row],[Asset_Utilization]]&lt;=75,"Low",smart_dataset[[#This Row],[Asset_Utilization]]&lt;=90,"Medium",TRUE,"High")</f>
        <v>High</v>
      </c>
    </row>
    <row r="798" spans="1:23" hidden="1" x14ac:dyDescent="0.25">
      <c r="A798" s="1">
        <v>45482.09103009259</v>
      </c>
      <c r="B798" s="1">
        <f>INT(smart_dataset[[#This Row],[Timestamp]])</f>
        <v>45482</v>
      </c>
      <c r="C798" s="1">
        <f>MOD(smart_dataset[[#This Row],[Timestamp]],1)</f>
        <v>9.1030092589790002E-2</v>
      </c>
      <c r="D798" s="1">
        <f>YEAR(smart_dataset[[#This Row],[Date]])</f>
        <v>2024</v>
      </c>
      <c r="E798" s="1">
        <f>MONTH(smart_dataset[[#This Row],[Timestamp]])</f>
        <v>7</v>
      </c>
      <c r="F798" t="s">
        <v>29</v>
      </c>
      <c r="G798">
        <v>-12.7845</v>
      </c>
      <c r="H798">
        <v>-147.2449</v>
      </c>
      <c r="I798">
        <v>132</v>
      </c>
      <c r="J798" t="s">
        <v>26</v>
      </c>
      <c r="K798">
        <v>22.9</v>
      </c>
      <c r="L798">
        <v>66.5</v>
      </c>
      <c r="M798" t="s">
        <v>28</v>
      </c>
      <c r="N798">
        <v>35</v>
      </c>
      <c r="O798">
        <v>209</v>
      </c>
      <c r="P798">
        <v>6</v>
      </c>
      <c r="Q798" t="s">
        <v>31</v>
      </c>
      <c r="R798">
        <v>94.3</v>
      </c>
      <c r="S798">
        <v>122</v>
      </c>
      <c r="T798">
        <v>0</v>
      </c>
      <c r="U798" t="str" cm="1">
        <f t="array" ref="U798">_xlfn.IFS(smart_dataset[[#This Row],[Waiting_Time]]&lt;=20,"Low",smart_dataset[[#This Row],[Waiting_Time]]&lt;=40,"Medium",TRUE,"High")</f>
        <v>Medium</v>
      </c>
      <c r="V798" t="str" cm="1">
        <f t="array" ref="V798">_xlfn.IFS(smart_dataset[[#This Row],[Temperature]]&lt;=20,"Cold",smart_dataset[[#This Row],[Temperature]]&lt;=28,"Normal",TRUE,"Hot")</f>
        <v>Normal</v>
      </c>
      <c r="W798" t="str" cm="1">
        <f t="array" ref="W798">_xlfn.IFS(smart_dataset[[#This Row],[Asset_Utilization]]&lt;=75,"Low",smart_dataset[[#This Row],[Asset_Utilization]]&lt;=90,"Medium",TRUE,"High")</f>
        <v>High</v>
      </c>
    </row>
    <row r="799" spans="1:23" hidden="1" x14ac:dyDescent="0.25">
      <c r="A799" s="1">
        <v>45463.562604166669</v>
      </c>
      <c r="B799" s="1">
        <f>INT(smart_dataset[[#This Row],[Timestamp]])</f>
        <v>45463</v>
      </c>
      <c r="C799" s="1">
        <f>MOD(smart_dataset[[#This Row],[Timestamp]],1)</f>
        <v>0.562604166669189</v>
      </c>
      <c r="D799" s="1">
        <f>YEAR(smart_dataset[[#This Row],[Date]])</f>
        <v>2024</v>
      </c>
      <c r="E799" s="1">
        <f>MONTH(smart_dataset[[#This Row],[Timestamp]])</f>
        <v>6</v>
      </c>
      <c r="F799" t="s">
        <v>20</v>
      </c>
      <c r="G799">
        <v>-63.630400000000002</v>
      </c>
      <c r="H799">
        <v>164.185</v>
      </c>
      <c r="I799">
        <v>208</v>
      </c>
      <c r="J799" t="s">
        <v>17</v>
      </c>
      <c r="K799">
        <v>22.5</v>
      </c>
      <c r="L799">
        <v>65.900000000000006</v>
      </c>
      <c r="M799" t="s">
        <v>22</v>
      </c>
      <c r="N799">
        <v>38</v>
      </c>
      <c r="O799">
        <v>462</v>
      </c>
      <c r="P799">
        <v>7</v>
      </c>
      <c r="Q799" t="s">
        <v>23</v>
      </c>
      <c r="R799">
        <v>83.1</v>
      </c>
      <c r="S799">
        <v>193</v>
      </c>
      <c r="T799">
        <v>1</v>
      </c>
      <c r="U799" t="str" cm="1">
        <f t="array" ref="U799">_xlfn.IFS(smart_dataset[[#This Row],[Waiting_Time]]&lt;=20,"Low",smart_dataset[[#This Row],[Waiting_Time]]&lt;=40,"Medium",TRUE,"High")</f>
        <v>Medium</v>
      </c>
      <c r="V799" t="str" cm="1">
        <f t="array" ref="V799">_xlfn.IFS(smart_dataset[[#This Row],[Temperature]]&lt;=20,"Cold",smart_dataset[[#This Row],[Temperature]]&lt;=28,"Normal",TRUE,"Hot")</f>
        <v>Normal</v>
      </c>
      <c r="W799" t="str" cm="1">
        <f t="array" ref="W799">_xlfn.IFS(smart_dataset[[#This Row],[Asset_Utilization]]&lt;=75,"Low",smart_dataset[[#This Row],[Asset_Utilization]]&lt;=90,"Medium",TRUE,"High")</f>
        <v>Medium</v>
      </c>
    </row>
    <row r="800" spans="1:23" hidden="1" x14ac:dyDescent="0.25">
      <c r="A800" s="1">
        <v>45444.029120370367</v>
      </c>
      <c r="B800" s="1">
        <f>INT(smart_dataset[[#This Row],[Timestamp]])</f>
        <v>45444</v>
      </c>
      <c r="C800" s="1">
        <f>MOD(smart_dataset[[#This Row],[Timestamp]],1)</f>
        <v>2.9120370367309079E-2</v>
      </c>
      <c r="D800" s="1">
        <f>YEAR(smart_dataset[[#This Row],[Date]])</f>
        <v>2024</v>
      </c>
      <c r="E800" s="1">
        <f>MONTH(smart_dataset[[#This Row],[Timestamp]])</f>
        <v>6</v>
      </c>
      <c r="F800" t="s">
        <v>20</v>
      </c>
      <c r="G800">
        <v>21.881599999999999</v>
      </c>
      <c r="H800">
        <v>128.79220000000001</v>
      </c>
      <c r="I800">
        <v>348</v>
      </c>
      <c r="J800" t="s">
        <v>17</v>
      </c>
      <c r="K800">
        <v>25.8</v>
      </c>
      <c r="L800">
        <v>62.9</v>
      </c>
      <c r="M800" t="s">
        <v>18</v>
      </c>
      <c r="N800">
        <v>24</v>
      </c>
      <c r="O800">
        <v>352</v>
      </c>
      <c r="P800">
        <v>6</v>
      </c>
      <c r="Q800" t="s">
        <v>23</v>
      </c>
      <c r="R800">
        <v>96.5</v>
      </c>
      <c r="S800">
        <v>164</v>
      </c>
      <c r="T800">
        <v>1</v>
      </c>
      <c r="U800" t="str" cm="1">
        <f t="array" ref="U800">_xlfn.IFS(smart_dataset[[#This Row],[Waiting_Time]]&lt;=20,"Low",smart_dataset[[#This Row],[Waiting_Time]]&lt;=40,"Medium",TRUE,"High")</f>
        <v>Medium</v>
      </c>
      <c r="V800" t="str" cm="1">
        <f t="array" ref="V800">_xlfn.IFS(smart_dataset[[#This Row],[Temperature]]&lt;=20,"Cold",smart_dataset[[#This Row],[Temperature]]&lt;=28,"Normal",TRUE,"Hot")</f>
        <v>Normal</v>
      </c>
      <c r="W800" t="str" cm="1">
        <f t="array" ref="W800">_xlfn.IFS(smart_dataset[[#This Row],[Asset_Utilization]]&lt;=75,"Low",smart_dataset[[#This Row],[Asset_Utilization]]&lt;=90,"Medium",TRUE,"High")</f>
        <v>High</v>
      </c>
    </row>
    <row r="801" spans="1:23" hidden="1" x14ac:dyDescent="0.25">
      <c r="A801" s="1">
        <v>45374.852430555555</v>
      </c>
      <c r="B801" s="1">
        <f>INT(smart_dataset[[#This Row],[Timestamp]])</f>
        <v>45374</v>
      </c>
      <c r="C801" s="1">
        <f>MOD(smart_dataset[[#This Row],[Timestamp]],1)</f>
        <v>0.85243055555474712</v>
      </c>
      <c r="D801" s="1">
        <f>YEAR(smart_dataset[[#This Row],[Date]])</f>
        <v>2024</v>
      </c>
      <c r="E801" s="1">
        <f>MONTH(smart_dataset[[#This Row],[Timestamp]])</f>
        <v>3</v>
      </c>
      <c r="F801" t="s">
        <v>29</v>
      </c>
      <c r="G801">
        <v>-85.9619</v>
      </c>
      <c r="H801">
        <v>103.5733</v>
      </c>
      <c r="I801">
        <v>156</v>
      </c>
      <c r="J801" t="s">
        <v>21</v>
      </c>
      <c r="K801">
        <v>19.399999999999999</v>
      </c>
      <c r="L801">
        <v>75.2</v>
      </c>
      <c r="M801" t="s">
        <v>22</v>
      </c>
      <c r="N801">
        <v>44</v>
      </c>
      <c r="O801">
        <v>135</v>
      </c>
      <c r="P801">
        <v>1</v>
      </c>
      <c r="Q801" t="s">
        <v>23</v>
      </c>
      <c r="R801">
        <v>66.599999999999994</v>
      </c>
      <c r="S801">
        <v>108</v>
      </c>
      <c r="T801">
        <v>1</v>
      </c>
      <c r="U801" t="str" cm="1">
        <f t="array" ref="U801">_xlfn.IFS(smart_dataset[[#This Row],[Waiting_Time]]&lt;=20,"Low",smart_dataset[[#This Row],[Waiting_Time]]&lt;=40,"Medium",TRUE,"High")</f>
        <v>High</v>
      </c>
      <c r="V801" t="str" cm="1">
        <f t="array" ref="V801">_xlfn.IFS(smart_dataset[[#This Row],[Temperature]]&lt;=20,"Cold",smart_dataset[[#This Row],[Temperature]]&lt;=28,"Normal",TRUE,"Hot")</f>
        <v>Cold</v>
      </c>
      <c r="W801" t="str" cm="1">
        <f t="array" ref="W801">_xlfn.IFS(smart_dataset[[#This Row],[Asset_Utilization]]&lt;=75,"Low",smart_dataset[[#This Row],[Asset_Utilization]]&lt;=90,"Medium",TRUE,"High")</f>
        <v>Low</v>
      </c>
    </row>
    <row r="802" spans="1:23" hidden="1" x14ac:dyDescent="0.25">
      <c r="A802" s="1">
        <v>45400.201539351852</v>
      </c>
      <c r="B802" s="1">
        <f>INT(smart_dataset[[#This Row],[Timestamp]])</f>
        <v>45400</v>
      </c>
      <c r="C802" s="1">
        <f>MOD(smart_dataset[[#This Row],[Timestamp]],1)</f>
        <v>0.20153935185226146</v>
      </c>
      <c r="D802" s="1">
        <f>YEAR(smart_dataset[[#This Row],[Date]])</f>
        <v>2024</v>
      </c>
      <c r="E802" s="1">
        <f>MONTH(smart_dataset[[#This Row],[Timestamp]])</f>
        <v>4</v>
      </c>
      <c r="F802" t="s">
        <v>34</v>
      </c>
      <c r="G802">
        <v>-36.615400000000001</v>
      </c>
      <c r="H802">
        <v>-46.300800000000002</v>
      </c>
      <c r="I802">
        <v>468</v>
      </c>
      <c r="J802" t="s">
        <v>26</v>
      </c>
      <c r="K802">
        <v>26.6</v>
      </c>
      <c r="L802">
        <v>59</v>
      </c>
      <c r="M802" t="s">
        <v>22</v>
      </c>
      <c r="N802">
        <v>16</v>
      </c>
      <c r="O802">
        <v>144</v>
      </c>
      <c r="P802">
        <v>4</v>
      </c>
      <c r="Q802" t="s">
        <v>23</v>
      </c>
      <c r="R802">
        <v>86.8</v>
      </c>
      <c r="S802">
        <v>276</v>
      </c>
      <c r="T802">
        <v>1</v>
      </c>
      <c r="U802" t="str" cm="1">
        <f t="array" ref="U802">_xlfn.IFS(smart_dataset[[#This Row],[Waiting_Time]]&lt;=20,"Low",smart_dataset[[#This Row],[Waiting_Time]]&lt;=40,"Medium",TRUE,"High")</f>
        <v>Low</v>
      </c>
      <c r="V802" t="str" cm="1">
        <f t="array" ref="V802">_xlfn.IFS(smart_dataset[[#This Row],[Temperature]]&lt;=20,"Cold",smart_dataset[[#This Row],[Temperature]]&lt;=28,"Normal",TRUE,"Hot")</f>
        <v>Normal</v>
      </c>
      <c r="W802" t="str" cm="1">
        <f t="array" ref="W802">_xlfn.IFS(smart_dataset[[#This Row],[Asset_Utilization]]&lt;=75,"Low",smart_dataset[[#This Row],[Asset_Utilization]]&lt;=90,"Medium",TRUE,"High")</f>
        <v>Medium</v>
      </c>
    </row>
    <row r="803" spans="1:23" hidden="1" x14ac:dyDescent="0.25">
      <c r="A803" s="1">
        <v>45469.392893518518</v>
      </c>
      <c r="B803" s="1">
        <f>INT(smart_dataset[[#This Row],[Timestamp]])</f>
        <v>45469</v>
      </c>
      <c r="C803" s="1">
        <f>MOD(smart_dataset[[#This Row],[Timestamp]],1)</f>
        <v>0.39289351851766696</v>
      </c>
      <c r="D803" s="1">
        <f>YEAR(smart_dataset[[#This Row],[Date]])</f>
        <v>2024</v>
      </c>
      <c r="E803" s="1">
        <f>MONTH(smart_dataset[[#This Row],[Timestamp]])</f>
        <v>6</v>
      </c>
      <c r="F803" t="s">
        <v>16</v>
      </c>
      <c r="G803">
        <v>-85.0916</v>
      </c>
      <c r="H803">
        <v>68.303899999999999</v>
      </c>
      <c r="I803">
        <v>142</v>
      </c>
      <c r="J803" t="s">
        <v>17</v>
      </c>
      <c r="K803">
        <v>28.4</v>
      </c>
      <c r="L803">
        <v>67.3</v>
      </c>
      <c r="M803" t="s">
        <v>18</v>
      </c>
      <c r="N803">
        <v>30</v>
      </c>
      <c r="O803">
        <v>181</v>
      </c>
      <c r="P803">
        <v>6</v>
      </c>
      <c r="Q803" t="s">
        <v>23</v>
      </c>
      <c r="R803">
        <v>84.3</v>
      </c>
      <c r="S803">
        <v>104</v>
      </c>
      <c r="T803">
        <v>1</v>
      </c>
      <c r="U803" t="str" cm="1">
        <f t="array" ref="U803">_xlfn.IFS(smart_dataset[[#This Row],[Waiting_Time]]&lt;=20,"Low",smart_dataset[[#This Row],[Waiting_Time]]&lt;=40,"Medium",TRUE,"High")</f>
        <v>Medium</v>
      </c>
      <c r="V803" t="str" cm="1">
        <f t="array" ref="V803">_xlfn.IFS(smart_dataset[[#This Row],[Temperature]]&lt;=20,"Cold",smart_dataset[[#This Row],[Temperature]]&lt;=28,"Normal",TRUE,"Hot")</f>
        <v>Hot</v>
      </c>
      <c r="W803" t="str" cm="1">
        <f t="array" ref="W803">_xlfn.IFS(smart_dataset[[#This Row],[Asset_Utilization]]&lt;=75,"Low",smart_dataset[[#This Row],[Asset_Utilization]]&lt;=90,"Medium",TRUE,"High")</f>
        <v>Medium</v>
      </c>
    </row>
    <row r="804" spans="1:23" hidden="1" x14ac:dyDescent="0.25">
      <c r="A804" s="1">
        <v>45326.047523148147</v>
      </c>
      <c r="B804" s="1">
        <f>INT(smart_dataset[[#This Row],[Timestamp]])</f>
        <v>45326</v>
      </c>
      <c r="C804" s="1">
        <f>MOD(smart_dataset[[#This Row],[Timestamp]],1)</f>
        <v>4.7523148146865424E-2</v>
      </c>
      <c r="D804" s="1">
        <f>YEAR(smart_dataset[[#This Row],[Date]])</f>
        <v>2024</v>
      </c>
      <c r="E804" s="1">
        <f>MONTH(smart_dataset[[#This Row],[Timestamp]])</f>
        <v>2</v>
      </c>
      <c r="F804" t="s">
        <v>24</v>
      </c>
      <c r="G804">
        <v>-13.6168</v>
      </c>
      <c r="H804">
        <v>-165.08250000000001</v>
      </c>
      <c r="I804">
        <v>349</v>
      </c>
      <c r="J804" t="s">
        <v>21</v>
      </c>
      <c r="K804">
        <v>21.1</v>
      </c>
      <c r="L804">
        <v>55.1</v>
      </c>
      <c r="M804" t="s">
        <v>22</v>
      </c>
      <c r="N804">
        <v>13</v>
      </c>
      <c r="O804">
        <v>453</v>
      </c>
      <c r="P804">
        <v>10</v>
      </c>
      <c r="Q804" t="s">
        <v>23</v>
      </c>
      <c r="R804">
        <v>65.099999999999994</v>
      </c>
      <c r="S804">
        <v>111</v>
      </c>
      <c r="T804">
        <v>1</v>
      </c>
      <c r="U804" t="str" cm="1">
        <f t="array" ref="U804">_xlfn.IFS(smart_dataset[[#This Row],[Waiting_Time]]&lt;=20,"Low",smart_dataset[[#This Row],[Waiting_Time]]&lt;=40,"Medium",TRUE,"High")</f>
        <v>Low</v>
      </c>
      <c r="V804" t="str" cm="1">
        <f t="array" ref="V804">_xlfn.IFS(smart_dataset[[#This Row],[Temperature]]&lt;=20,"Cold",smart_dataset[[#This Row],[Temperature]]&lt;=28,"Normal",TRUE,"Hot")</f>
        <v>Normal</v>
      </c>
      <c r="W804" t="str" cm="1">
        <f t="array" ref="W804">_xlfn.IFS(smart_dataset[[#This Row],[Asset_Utilization]]&lt;=75,"Low",smart_dataset[[#This Row],[Asset_Utilization]]&lt;=90,"Medium",TRUE,"High")</f>
        <v>Low</v>
      </c>
    </row>
    <row r="805" spans="1:23" hidden="1" x14ac:dyDescent="0.25">
      <c r="A805" s="1">
        <v>45383.685555555552</v>
      </c>
      <c r="B805" s="1">
        <f>INT(smart_dataset[[#This Row],[Timestamp]])</f>
        <v>45383</v>
      </c>
      <c r="C805" s="1">
        <f>MOD(smart_dataset[[#This Row],[Timestamp]],1)</f>
        <v>0.68555555555212777</v>
      </c>
      <c r="D805" s="1">
        <f>YEAR(smart_dataset[[#This Row],[Date]])</f>
        <v>2024</v>
      </c>
      <c r="E805" s="1">
        <f>MONTH(smart_dataset[[#This Row],[Timestamp]])</f>
        <v>4</v>
      </c>
      <c r="F805" t="s">
        <v>29</v>
      </c>
      <c r="G805">
        <v>42.603200000000001</v>
      </c>
      <c r="H805">
        <v>146.14850000000001</v>
      </c>
      <c r="I805">
        <v>226</v>
      </c>
      <c r="J805" t="s">
        <v>26</v>
      </c>
      <c r="K805">
        <v>23.9</v>
      </c>
      <c r="L805">
        <v>61.2</v>
      </c>
      <c r="M805" t="s">
        <v>22</v>
      </c>
      <c r="N805">
        <v>13</v>
      </c>
      <c r="O805">
        <v>211</v>
      </c>
      <c r="P805">
        <v>2</v>
      </c>
      <c r="Q805" t="s">
        <v>31</v>
      </c>
      <c r="R805">
        <v>67.5</v>
      </c>
      <c r="S805">
        <v>232</v>
      </c>
      <c r="T805">
        <v>1</v>
      </c>
      <c r="U805" t="str" cm="1">
        <f t="array" ref="U805">_xlfn.IFS(smart_dataset[[#This Row],[Waiting_Time]]&lt;=20,"Low",smart_dataset[[#This Row],[Waiting_Time]]&lt;=40,"Medium",TRUE,"High")</f>
        <v>Low</v>
      </c>
      <c r="V805" t="str" cm="1">
        <f t="array" ref="V805">_xlfn.IFS(smart_dataset[[#This Row],[Temperature]]&lt;=20,"Cold",smart_dataset[[#This Row],[Temperature]]&lt;=28,"Normal",TRUE,"Hot")</f>
        <v>Normal</v>
      </c>
      <c r="W805" t="str" cm="1">
        <f t="array" ref="W805">_xlfn.IFS(smart_dataset[[#This Row],[Asset_Utilization]]&lt;=75,"Low",smart_dataset[[#This Row],[Asset_Utilization]]&lt;=90,"Medium",TRUE,"High")</f>
        <v>Low</v>
      </c>
    </row>
    <row r="806" spans="1:23" hidden="1" x14ac:dyDescent="0.25">
      <c r="A806" s="1">
        <v>45518.89502314815</v>
      </c>
      <c r="B806" s="1">
        <f>INT(smart_dataset[[#This Row],[Timestamp]])</f>
        <v>45518</v>
      </c>
      <c r="C806" s="1">
        <f>MOD(smart_dataset[[#This Row],[Timestamp]],1)</f>
        <v>0.89502314815035788</v>
      </c>
      <c r="D806" s="1">
        <f>YEAR(smart_dataset[[#This Row],[Date]])</f>
        <v>2024</v>
      </c>
      <c r="E806" s="1">
        <f>MONTH(smart_dataset[[#This Row],[Timestamp]])</f>
        <v>8</v>
      </c>
      <c r="F806" t="s">
        <v>30</v>
      </c>
      <c r="G806">
        <v>86.819500000000005</v>
      </c>
      <c r="H806">
        <v>-21.078600000000002</v>
      </c>
      <c r="I806">
        <v>481</v>
      </c>
      <c r="J806" t="s">
        <v>21</v>
      </c>
      <c r="K806">
        <v>22.4</v>
      </c>
      <c r="L806">
        <v>77.900000000000006</v>
      </c>
      <c r="M806" t="s">
        <v>18</v>
      </c>
      <c r="N806">
        <v>25</v>
      </c>
      <c r="O806">
        <v>143</v>
      </c>
      <c r="P806">
        <v>8</v>
      </c>
      <c r="Q806" t="s">
        <v>27</v>
      </c>
      <c r="R806">
        <v>71.400000000000006</v>
      </c>
      <c r="S806">
        <v>124</v>
      </c>
      <c r="T806">
        <v>0</v>
      </c>
      <c r="U806" t="str" cm="1">
        <f t="array" ref="U806">_xlfn.IFS(smart_dataset[[#This Row],[Waiting_Time]]&lt;=20,"Low",smart_dataset[[#This Row],[Waiting_Time]]&lt;=40,"Medium",TRUE,"High")</f>
        <v>Medium</v>
      </c>
      <c r="V806" t="str" cm="1">
        <f t="array" ref="V806">_xlfn.IFS(smart_dataset[[#This Row],[Temperature]]&lt;=20,"Cold",smart_dataset[[#This Row],[Temperature]]&lt;=28,"Normal",TRUE,"Hot")</f>
        <v>Normal</v>
      </c>
      <c r="W806" t="str" cm="1">
        <f t="array" ref="W806">_xlfn.IFS(smart_dataset[[#This Row],[Asset_Utilization]]&lt;=75,"Low",smart_dataset[[#This Row],[Asset_Utilization]]&lt;=90,"Medium",TRUE,"High")</f>
        <v>Low</v>
      </c>
    </row>
    <row r="807" spans="1:23" hidden="1" x14ac:dyDescent="0.25">
      <c r="A807" s="1">
        <v>45568.765185185184</v>
      </c>
      <c r="B807" s="1">
        <f>INT(smart_dataset[[#This Row],[Timestamp]])</f>
        <v>45568</v>
      </c>
      <c r="C807" s="1">
        <f>MOD(smart_dataset[[#This Row],[Timestamp]],1)</f>
        <v>0.76518518518423662</v>
      </c>
      <c r="D807" s="1">
        <f>YEAR(smart_dataset[[#This Row],[Date]])</f>
        <v>2024</v>
      </c>
      <c r="E807" s="1">
        <f>MONTH(smart_dataset[[#This Row],[Timestamp]])</f>
        <v>10</v>
      </c>
      <c r="F807" t="s">
        <v>34</v>
      </c>
      <c r="G807">
        <v>-82.629400000000004</v>
      </c>
      <c r="H807">
        <v>-72.333200000000005</v>
      </c>
      <c r="I807">
        <v>448</v>
      </c>
      <c r="J807" t="s">
        <v>26</v>
      </c>
      <c r="K807">
        <v>20.100000000000001</v>
      </c>
      <c r="L807">
        <v>65.7</v>
      </c>
      <c r="M807" t="s">
        <v>28</v>
      </c>
      <c r="N807">
        <v>20</v>
      </c>
      <c r="O807">
        <v>180</v>
      </c>
      <c r="P807">
        <v>7</v>
      </c>
      <c r="Q807" t="s">
        <v>31</v>
      </c>
      <c r="R807">
        <v>61.7</v>
      </c>
      <c r="S807">
        <v>253</v>
      </c>
      <c r="T807">
        <v>0</v>
      </c>
      <c r="U807" t="str" cm="1">
        <f t="array" ref="U807">_xlfn.IFS(smart_dataset[[#This Row],[Waiting_Time]]&lt;=20,"Low",smart_dataset[[#This Row],[Waiting_Time]]&lt;=40,"Medium",TRUE,"High")</f>
        <v>Low</v>
      </c>
      <c r="V807" t="str" cm="1">
        <f t="array" ref="V807">_xlfn.IFS(smart_dataset[[#This Row],[Temperature]]&lt;=20,"Cold",smart_dataset[[#This Row],[Temperature]]&lt;=28,"Normal",TRUE,"Hot")</f>
        <v>Normal</v>
      </c>
      <c r="W807" t="str" cm="1">
        <f t="array" ref="W807">_xlfn.IFS(smart_dataset[[#This Row],[Asset_Utilization]]&lt;=75,"Low",smart_dataset[[#This Row],[Asset_Utilization]]&lt;=90,"Medium",TRUE,"High")</f>
        <v>Low</v>
      </c>
    </row>
    <row r="808" spans="1:23" hidden="1" x14ac:dyDescent="0.25">
      <c r="A808" s="1">
        <v>45376.515393518515</v>
      </c>
      <c r="B808" s="1">
        <f>INT(smart_dataset[[#This Row],[Timestamp]])</f>
        <v>45376</v>
      </c>
      <c r="C808" s="1">
        <f>MOD(smart_dataset[[#This Row],[Timestamp]],1)</f>
        <v>0.51539351851533866</v>
      </c>
      <c r="D808" s="1">
        <f>YEAR(smart_dataset[[#This Row],[Date]])</f>
        <v>2024</v>
      </c>
      <c r="E808" s="1">
        <f>MONTH(smart_dataset[[#This Row],[Timestamp]])</f>
        <v>3</v>
      </c>
      <c r="F808" t="s">
        <v>34</v>
      </c>
      <c r="G808">
        <v>41.972799999999999</v>
      </c>
      <c r="H808">
        <v>81.427400000000006</v>
      </c>
      <c r="I808">
        <v>441</v>
      </c>
      <c r="J808" t="s">
        <v>17</v>
      </c>
      <c r="K808">
        <v>18.899999999999999</v>
      </c>
      <c r="L808">
        <v>67</v>
      </c>
      <c r="M808" t="s">
        <v>18</v>
      </c>
      <c r="N808">
        <v>48</v>
      </c>
      <c r="O808">
        <v>359</v>
      </c>
      <c r="P808">
        <v>8</v>
      </c>
      <c r="Q808" t="s">
        <v>31</v>
      </c>
      <c r="R808">
        <v>76</v>
      </c>
      <c r="S808">
        <v>300</v>
      </c>
      <c r="T808">
        <v>1</v>
      </c>
      <c r="U808" t="str" cm="1">
        <f t="array" ref="U808">_xlfn.IFS(smart_dataset[[#This Row],[Waiting_Time]]&lt;=20,"Low",smart_dataset[[#This Row],[Waiting_Time]]&lt;=40,"Medium",TRUE,"High")</f>
        <v>High</v>
      </c>
      <c r="V808" t="str" cm="1">
        <f t="array" ref="V808">_xlfn.IFS(smart_dataset[[#This Row],[Temperature]]&lt;=20,"Cold",smart_dataset[[#This Row],[Temperature]]&lt;=28,"Normal",TRUE,"Hot")</f>
        <v>Cold</v>
      </c>
      <c r="W808" t="str" cm="1">
        <f t="array" ref="W808">_xlfn.IFS(smart_dataset[[#This Row],[Asset_Utilization]]&lt;=75,"Low",smart_dataset[[#This Row],[Asset_Utilization]]&lt;=90,"Medium",TRUE,"High")</f>
        <v>Medium</v>
      </c>
    </row>
    <row r="809" spans="1:23" hidden="1" x14ac:dyDescent="0.25">
      <c r="A809" s="1">
        <v>45547.949155092596</v>
      </c>
      <c r="B809" s="1">
        <f>INT(smart_dataset[[#This Row],[Timestamp]])</f>
        <v>45547</v>
      </c>
      <c r="C809" s="1">
        <f>MOD(smart_dataset[[#This Row],[Timestamp]],1)</f>
        <v>0.94915509259590181</v>
      </c>
      <c r="D809" s="1">
        <f>YEAR(smart_dataset[[#This Row],[Date]])</f>
        <v>2024</v>
      </c>
      <c r="E809" s="1">
        <f>MONTH(smart_dataset[[#This Row],[Timestamp]])</f>
        <v>9</v>
      </c>
      <c r="F809" t="s">
        <v>24</v>
      </c>
      <c r="G809">
        <v>-7.3863000000000003</v>
      </c>
      <c r="H809">
        <v>-44.8767</v>
      </c>
      <c r="I809">
        <v>470</v>
      </c>
      <c r="J809" t="s">
        <v>26</v>
      </c>
      <c r="K809">
        <v>25.1</v>
      </c>
      <c r="L809">
        <v>70.3</v>
      </c>
      <c r="M809" t="s">
        <v>22</v>
      </c>
      <c r="N809">
        <v>11</v>
      </c>
      <c r="O809">
        <v>417</v>
      </c>
      <c r="P809">
        <v>3</v>
      </c>
      <c r="Q809" t="s">
        <v>31</v>
      </c>
      <c r="R809">
        <v>76.5</v>
      </c>
      <c r="S809">
        <v>126</v>
      </c>
      <c r="T809">
        <v>1</v>
      </c>
      <c r="U809" t="str" cm="1">
        <f t="array" ref="U809">_xlfn.IFS(smart_dataset[[#This Row],[Waiting_Time]]&lt;=20,"Low",smart_dataset[[#This Row],[Waiting_Time]]&lt;=40,"Medium",TRUE,"High")</f>
        <v>Low</v>
      </c>
      <c r="V809" t="str" cm="1">
        <f t="array" ref="V809">_xlfn.IFS(smart_dataset[[#This Row],[Temperature]]&lt;=20,"Cold",smart_dataset[[#This Row],[Temperature]]&lt;=28,"Normal",TRUE,"Hot")</f>
        <v>Normal</v>
      </c>
      <c r="W809" t="str" cm="1">
        <f t="array" ref="W809">_xlfn.IFS(smart_dataset[[#This Row],[Asset_Utilization]]&lt;=75,"Low",smart_dataset[[#This Row],[Asset_Utilization]]&lt;=90,"Medium",TRUE,"High")</f>
        <v>Medium</v>
      </c>
    </row>
    <row r="810" spans="1:23" hidden="1" x14ac:dyDescent="0.25">
      <c r="A810" s="1">
        <v>45415.933946759258</v>
      </c>
      <c r="B810" s="1">
        <f>INT(smart_dataset[[#This Row],[Timestamp]])</f>
        <v>45415</v>
      </c>
      <c r="C810" s="1">
        <f>MOD(smart_dataset[[#This Row],[Timestamp]],1)</f>
        <v>0.93394675925810589</v>
      </c>
      <c r="D810" s="1">
        <f>YEAR(smart_dataset[[#This Row],[Date]])</f>
        <v>2024</v>
      </c>
      <c r="E810" s="1">
        <f>MONTH(smart_dataset[[#This Row],[Timestamp]])</f>
        <v>5</v>
      </c>
      <c r="F810" t="s">
        <v>24</v>
      </c>
      <c r="G810">
        <v>-21.257300000000001</v>
      </c>
      <c r="H810">
        <v>12.4574</v>
      </c>
      <c r="I810">
        <v>459</v>
      </c>
      <c r="J810" t="s">
        <v>21</v>
      </c>
      <c r="K810">
        <v>26.4</v>
      </c>
      <c r="L810">
        <v>50.6</v>
      </c>
      <c r="M810" t="s">
        <v>22</v>
      </c>
      <c r="N810">
        <v>17</v>
      </c>
      <c r="O810">
        <v>222</v>
      </c>
      <c r="P810">
        <v>9</v>
      </c>
      <c r="Q810" t="s">
        <v>27</v>
      </c>
      <c r="R810">
        <v>94.9</v>
      </c>
      <c r="S810">
        <v>265</v>
      </c>
      <c r="T810">
        <v>1</v>
      </c>
      <c r="U810" t="str" cm="1">
        <f t="array" ref="U810">_xlfn.IFS(smart_dataset[[#This Row],[Waiting_Time]]&lt;=20,"Low",smart_dataset[[#This Row],[Waiting_Time]]&lt;=40,"Medium",TRUE,"High")</f>
        <v>Low</v>
      </c>
      <c r="V810" t="str" cm="1">
        <f t="array" ref="V810">_xlfn.IFS(smart_dataset[[#This Row],[Temperature]]&lt;=20,"Cold",smart_dataset[[#This Row],[Temperature]]&lt;=28,"Normal",TRUE,"Hot")</f>
        <v>Normal</v>
      </c>
      <c r="W810" t="str" cm="1">
        <f t="array" ref="W810">_xlfn.IFS(smart_dataset[[#This Row],[Asset_Utilization]]&lt;=75,"Low",smart_dataset[[#This Row],[Asset_Utilization]]&lt;=90,"Medium",TRUE,"High")</f>
        <v>High</v>
      </c>
    </row>
    <row r="811" spans="1:23" hidden="1" x14ac:dyDescent="0.25">
      <c r="A811" s="1">
        <v>45439.414282407408</v>
      </c>
      <c r="B811" s="1">
        <f>INT(smart_dataset[[#This Row],[Timestamp]])</f>
        <v>45439</v>
      </c>
      <c r="C811" s="1">
        <f>MOD(smart_dataset[[#This Row],[Timestamp]],1)</f>
        <v>0.41428240740788169</v>
      </c>
      <c r="D811" s="1">
        <f>YEAR(smart_dataset[[#This Row],[Date]])</f>
        <v>2024</v>
      </c>
      <c r="E811" s="1">
        <f>MONTH(smart_dataset[[#This Row],[Timestamp]])</f>
        <v>5</v>
      </c>
      <c r="F811" t="s">
        <v>20</v>
      </c>
      <c r="G811">
        <v>-33.937800000000003</v>
      </c>
      <c r="H811">
        <v>-176.31020000000001</v>
      </c>
      <c r="I811">
        <v>324</v>
      </c>
      <c r="J811" t="s">
        <v>21</v>
      </c>
      <c r="K811">
        <v>27.7</v>
      </c>
      <c r="L811">
        <v>54.8</v>
      </c>
      <c r="M811" t="s">
        <v>28</v>
      </c>
      <c r="N811">
        <v>46</v>
      </c>
      <c r="O811">
        <v>344</v>
      </c>
      <c r="P811">
        <v>10</v>
      </c>
      <c r="Q811" t="s">
        <v>27</v>
      </c>
      <c r="R811">
        <v>70.7</v>
      </c>
      <c r="S811">
        <v>105</v>
      </c>
      <c r="T811">
        <v>0</v>
      </c>
      <c r="U811" t="str" cm="1">
        <f t="array" ref="U811">_xlfn.IFS(smart_dataset[[#This Row],[Waiting_Time]]&lt;=20,"Low",smart_dataset[[#This Row],[Waiting_Time]]&lt;=40,"Medium",TRUE,"High")</f>
        <v>High</v>
      </c>
      <c r="V811" t="str" cm="1">
        <f t="array" ref="V811">_xlfn.IFS(smart_dataset[[#This Row],[Temperature]]&lt;=20,"Cold",smart_dataset[[#This Row],[Temperature]]&lt;=28,"Normal",TRUE,"Hot")</f>
        <v>Normal</v>
      </c>
      <c r="W811" t="str" cm="1">
        <f t="array" ref="W811">_xlfn.IFS(smart_dataset[[#This Row],[Asset_Utilization]]&lt;=75,"Low",smart_dataset[[#This Row],[Asset_Utilization]]&lt;=90,"Medium",TRUE,"High")</f>
        <v>Low</v>
      </c>
    </row>
    <row r="812" spans="1:23" x14ac:dyDescent="0.25">
      <c r="A812" s="1">
        <v>45437.358055555553</v>
      </c>
      <c r="B812" s="1">
        <f>INT(smart_dataset[[#This Row],[Timestamp]])</f>
        <v>45437</v>
      </c>
      <c r="C812" s="7">
        <f>MOD(smart_dataset[[#This Row],[Timestamp]],1)</f>
        <v>0.35805555555270985</v>
      </c>
      <c r="D812">
        <f>YEAR(smart_dataset[[#This Row],[Date]])</f>
        <v>2024</v>
      </c>
      <c r="E812">
        <f>MONTH(smart_dataset[[#This Row],[Timestamp]])</f>
        <v>5</v>
      </c>
      <c r="F812" t="s">
        <v>32</v>
      </c>
      <c r="G812">
        <v>23.9115</v>
      </c>
      <c r="H812">
        <v>179.00460000000001</v>
      </c>
      <c r="I812">
        <v>194</v>
      </c>
      <c r="J812" t="s">
        <v>17</v>
      </c>
      <c r="K812">
        <v>24.9</v>
      </c>
      <c r="L812">
        <v>57.9</v>
      </c>
      <c r="M812" t="s">
        <v>18</v>
      </c>
      <c r="N812">
        <v>10</v>
      </c>
      <c r="O812">
        <v>220</v>
      </c>
      <c r="P812">
        <v>3</v>
      </c>
      <c r="Q812" t="s">
        <v>19</v>
      </c>
      <c r="R812">
        <v>77.3</v>
      </c>
      <c r="S812">
        <v>172</v>
      </c>
      <c r="T812">
        <v>1</v>
      </c>
      <c r="U812" t="str" cm="1">
        <f t="array" ref="U812">_xlfn.IFS(smart_dataset[[#This Row],[Waiting_Time]]&lt;=20,"Low",smart_dataset[[#This Row],[Waiting_Time]]&lt;=40,"Medium",TRUE,"High")</f>
        <v>Low</v>
      </c>
      <c r="V812" t="str" cm="1">
        <f t="array" ref="V812">_xlfn.IFS(smart_dataset[[#This Row],[Temperature]]&lt;=20,"Cold",smart_dataset[[#This Row],[Temperature]]&lt;=28,"Normal",TRUE,"Hot")</f>
        <v>Normal</v>
      </c>
      <c r="W812" t="str" cm="1">
        <f t="array" ref="W812">_xlfn.IFS(smart_dataset[[#This Row],[Asset_Utilization]]&lt;=75,"Low",smart_dataset[[#This Row],[Asset_Utilization]]&lt;=90,"Medium",TRUE,"High")</f>
        <v>Medium</v>
      </c>
    </row>
    <row r="813" spans="1:23" hidden="1" x14ac:dyDescent="0.25">
      <c r="A813" s="1">
        <v>45371.372002314813</v>
      </c>
      <c r="B813" s="1">
        <f>INT(smart_dataset[[#This Row],[Timestamp]])</f>
        <v>45371</v>
      </c>
      <c r="C813" s="1">
        <f>MOD(smart_dataset[[#This Row],[Timestamp]],1)</f>
        <v>0.37200231481256196</v>
      </c>
      <c r="D813" s="1">
        <f>YEAR(smart_dataset[[#This Row],[Date]])</f>
        <v>2024</v>
      </c>
      <c r="E813" s="1">
        <f>MONTH(smart_dataset[[#This Row],[Timestamp]])</f>
        <v>3</v>
      </c>
      <c r="F813" t="s">
        <v>25</v>
      </c>
      <c r="G813">
        <v>-80.519599999999997</v>
      </c>
      <c r="H813">
        <v>-2.9668000000000001</v>
      </c>
      <c r="I813">
        <v>334</v>
      </c>
      <c r="J813" t="s">
        <v>26</v>
      </c>
      <c r="K813">
        <v>22.8</v>
      </c>
      <c r="L813">
        <v>61.1</v>
      </c>
      <c r="M813" t="s">
        <v>28</v>
      </c>
      <c r="N813">
        <v>52</v>
      </c>
      <c r="O813">
        <v>389</v>
      </c>
      <c r="P813">
        <v>2</v>
      </c>
      <c r="Q813" t="s">
        <v>27</v>
      </c>
      <c r="R813">
        <v>88</v>
      </c>
      <c r="S813">
        <v>123</v>
      </c>
      <c r="T813">
        <v>0</v>
      </c>
      <c r="U813" t="str" cm="1">
        <f t="array" ref="U813">_xlfn.IFS(smart_dataset[[#This Row],[Waiting_Time]]&lt;=20,"Low",smart_dataset[[#This Row],[Waiting_Time]]&lt;=40,"Medium",TRUE,"High")</f>
        <v>High</v>
      </c>
      <c r="V813" t="str" cm="1">
        <f t="array" ref="V813">_xlfn.IFS(smart_dataset[[#This Row],[Temperature]]&lt;=20,"Cold",smart_dataset[[#This Row],[Temperature]]&lt;=28,"Normal",TRUE,"Hot")</f>
        <v>Normal</v>
      </c>
      <c r="W813" t="str" cm="1">
        <f t="array" ref="W813">_xlfn.IFS(smart_dataset[[#This Row],[Asset_Utilization]]&lt;=75,"Low",smart_dataset[[#This Row],[Asset_Utilization]]&lt;=90,"Medium",TRUE,"High")</f>
        <v>Medium</v>
      </c>
    </row>
    <row r="814" spans="1:23" hidden="1" x14ac:dyDescent="0.25">
      <c r="A814" s="1">
        <v>45435.648333333331</v>
      </c>
      <c r="B814" s="1">
        <f>INT(smart_dataset[[#This Row],[Timestamp]])</f>
        <v>45435</v>
      </c>
      <c r="C814" s="1">
        <f>MOD(smart_dataset[[#This Row],[Timestamp]],1)</f>
        <v>0.648333333330811</v>
      </c>
      <c r="D814" s="1">
        <f>YEAR(smart_dataset[[#This Row],[Date]])</f>
        <v>2024</v>
      </c>
      <c r="E814" s="1">
        <f>MONTH(smart_dataset[[#This Row],[Timestamp]])</f>
        <v>5</v>
      </c>
      <c r="F814" t="s">
        <v>30</v>
      </c>
      <c r="G814">
        <v>45.860300000000002</v>
      </c>
      <c r="H814">
        <v>148.47749999999999</v>
      </c>
      <c r="I814">
        <v>179</v>
      </c>
      <c r="J814" t="s">
        <v>26</v>
      </c>
      <c r="K814">
        <v>25.5</v>
      </c>
      <c r="L814">
        <v>75.8</v>
      </c>
      <c r="M814" t="s">
        <v>28</v>
      </c>
      <c r="N814">
        <v>19</v>
      </c>
      <c r="O814">
        <v>139</v>
      </c>
      <c r="P814">
        <v>9</v>
      </c>
      <c r="Q814" t="s">
        <v>27</v>
      </c>
      <c r="R814">
        <v>83.5</v>
      </c>
      <c r="S814">
        <v>282</v>
      </c>
      <c r="T814">
        <v>0</v>
      </c>
      <c r="U814" t="str" cm="1">
        <f t="array" ref="U814">_xlfn.IFS(smart_dataset[[#This Row],[Waiting_Time]]&lt;=20,"Low",smart_dataset[[#This Row],[Waiting_Time]]&lt;=40,"Medium",TRUE,"High")</f>
        <v>Low</v>
      </c>
      <c r="V814" t="str" cm="1">
        <f t="array" ref="V814">_xlfn.IFS(smart_dataset[[#This Row],[Temperature]]&lt;=20,"Cold",smart_dataset[[#This Row],[Temperature]]&lt;=28,"Normal",TRUE,"Hot")</f>
        <v>Normal</v>
      </c>
      <c r="W814" t="str" cm="1">
        <f t="array" ref="W814">_xlfn.IFS(smart_dataset[[#This Row],[Asset_Utilization]]&lt;=75,"Low",smart_dataset[[#This Row],[Asset_Utilization]]&lt;=90,"Medium",TRUE,"High")</f>
        <v>Medium</v>
      </c>
    </row>
    <row r="815" spans="1:23" hidden="1" x14ac:dyDescent="0.25">
      <c r="A815" s="1">
        <v>45584.998668981483</v>
      </c>
      <c r="B815" s="1">
        <f>INT(smart_dataset[[#This Row],[Timestamp]])</f>
        <v>45584</v>
      </c>
      <c r="C815" s="1">
        <f>MOD(smart_dataset[[#This Row],[Timestamp]],1)</f>
        <v>0.99866898148320615</v>
      </c>
      <c r="D815" s="1">
        <f>YEAR(smart_dataset[[#This Row],[Date]])</f>
        <v>2024</v>
      </c>
      <c r="E815" s="1">
        <f>MONTH(smart_dataset[[#This Row],[Timestamp]])</f>
        <v>10</v>
      </c>
      <c r="F815" t="s">
        <v>32</v>
      </c>
      <c r="G815">
        <v>60.049100000000003</v>
      </c>
      <c r="H815">
        <v>-175.50190000000001</v>
      </c>
      <c r="I815">
        <v>401</v>
      </c>
      <c r="J815" t="s">
        <v>17</v>
      </c>
      <c r="K815">
        <v>27.1</v>
      </c>
      <c r="L815">
        <v>67.2</v>
      </c>
      <c r="M815" t="s">
        <v>18</v>
      </c>
      <c r="N815">
        <v>51</v>
      </c>
      <c r="O815">
        <v>487</v>
      </c>
      <c r="P815">
        <v>3</v>
      </c>
      <c r="Q815" t="s">
        <v>23</v>
      </c>
      <c r="R815">
        <v>86.3</v>
      </c>
      <c r="S815">
        <v>238</v>
      </c>
      <c r="T815">
        <v>1</v>
      </c>
      <c r="U815" t="str" cm="1">
        <f t="array" ref="U815">_xlfn.IFS(smart_dataset[[#This Row],[Waiting_Time]]&lt;=20,"Low",smart_dataset[[#This Row],[Waiting_Time]]&lt;=40,"Medium",TRUE,"High")</f>
        <v>High</v>
      </c>
      <c r="V815" t="str" cm="1">
        <f t="array" ref="V815">_xlfn.IFS(smart_dataset[[#This Row],[Temperature]]&lt;=20,"Cold",smart_dataset[[#This Row],[Temperature]]&lt;=28,"Normal",TRUE,"Hot")</f>
        <v>Normal</v>
      </c>
      <c r="W815" t="str" cm="1">
        <f t="array" ref="W815">_xlfn.IFS(smart_dataset[[#This Row],[Asset_Utilization]]&lt;=75,"Low",smart_dataset[[#This Row],[Asset_Utilization]]&lt;=90,"Medium",TRUE,"High")</f>
        <v>Medium</v>
      </c>
    </row>
    <row r="816" spans="1:23" hidden="1" x14ac:dyDescent="0.25">
      <c r="A816" s="1">
        <v>45393.193935185183</v>
      </c>
      <c r="B816" s="1">
        <f>INT(smart_dataset[[#This Row],[Timestamp]])</f>
        <v>45393</v>
      </c>
      <c r="C816" s="1">
        <f>MOD(smart_dataset[[#This Row],[Timestamp]],1)</f>
        <v>0.1939351851833635</v>
      </c>
      <c r="D816" s="1">
        <f>YEAR(smart_dataset[[#This Row],[Date]])</f>
        <v>2024</v>
      </c>
      <c r="E816" s="1">
        <f>MONTH(smart_dataset[[#This Row],[Timestamp]])</f>
        <v>4</v>
      </c>
      <c r="F816" t="s">
        <v>24</v>
      </c>
      <c r="G816">
        <v>-33.952800000000003</v>
      </c>
      <c r="H816">
        <v>-54.220100000000002</v>
      </c>
      <c r="I816">
        <v>384</v>
      </c>
      <c r="J816" t="s">
        <v>21</v>
      </c>
      <c r="K816">
        <v>24.2</v>
      </c>
      <c r="L816">
        <v>72.5</v>
      </c>
      <c r="M816" t="s">
        <v>22</v>
      </c>
      <c r="N816">
        <v>50</v>
      </c>
      <c r="O816">
        <v>131</v>
      </c>
      <c r="P816">
        <v>3</v>
      </c>
      <c r="Q816" t="s">
        <v>23</v>
      </c>
      <c r="R816">
        <v>80.099999999999994</v>
      </c>
      <c r="S816">
        <v>141</v>
      </c>
      <c r="T816">
        <v>1</v>
      </c>
      <c r="U816" t="str" cm="1">
        <f t="array" ref="U816">_xlfn.IFS(smart_dataset[[#This Row],[Waiting_Time]]&lt;=20,"Low",smart_dataset[[#This Row],[Waiting_Time]]&lt;=40,"Medium",TRUE,"High")</f>
        <v>High</v>
      </c>
      <c r="V816" t="str" cm="1">
        <f t="array" ref="V816">_xlfn.IFS(smart_dataset[[#This Row],[Temperature]]&lt;=20,"Cold",smart_dataset[[#This Row],[Temperature]]&lt;=28,"Normal",TRUE,"Hot")</f>
        <v>Normal</v>
      </c>
      <c r="W816" t="str" cm="1">
        <f t="array" ref="W816">_xlfn.IFS(smart_dataset[[#This Row],[Asset_Utilization]]&lt;=75,"Low",smart_dataset[[#This Row],[Asset_Utilization]]&lt;=90,"Medium",TRUE,"High")</f>
        <v>Medium</v>
      </c>
    </row>
    <row r="817" spans="1:23" x14ac:dyDescent="0.25">
      <c r="A817" s="1">
        <v>45361.258483796293</v>
      </c>
      <c r="B817" s="1">
        <f>INT(smart_dataset[[#This Row],[Timestamp]])</f>
        <v>45361</v>
      </c>
      <c r="C817" s="7">
        <f>MOD(smart_dataset[[#This Row],[Timestamp]],1)</f>
        <v>0.25848379629314877</v>
      </c>
      <c r="D817">
        <f>YEAR(smart_dataset[[#This Row],[Date]])</f>
        <v>2024</v>
      </c>
      <c r="E817">
        <f>MONTH(smart_dataset[[#This Row],[Timestamp]])</f>
        <v>3</v>
      </c>
      <c r="F817" t="s">
        <v>25</v>
      </c>
      <c r="G817">
        <v>7.9549000000000003</v>
      </c>
      <c r="H817">
        <v>-109.2897</v>
      </c>
      <c r="I817">
        <v>434</v>
      </c>
      <c r="J817" t="s">
        <v>26</v>
      </c>
      <c r="K817">
        <v>22</v>
      </c>
      <c r="L817">
        <v>69.2</v>
      </c>
      <c r="M817" t="s">
        <v>22</v>
      </c>
      <c r="N817">
        <v>17</v>
      </c>
      <c r="O817">
        <v>233</v>
      </c>
      <c r="P817">
        <v>10</v>
      </c>
      <c r="Q817" t="s">
        <v>19</v>
      </c>
      <c r="R817">
        <v>63.4</v>
      </c>
      <c r="S817">
        <v>138</v>
      </c>
      <c r="T817">
        <v>1</v>
      </c>
      <c r="U817" t="str" cm="1">
        <f t="array" ref="U817">_xlfn.IFS(smart_dataset[[#This Row],[Waiting_Time]]&lt;=20,"Low",smart_dataset[[#This Row],[Waiting_Time]]&lt;=40,"Medium",TRUE,"High")</f>
        <v>Low</v>
      </c>
      <c r="V817" t="str" cm="1">
        <f t="array" ref="V817">_xlfn.IFS(smart_dataset[[#This Row],[Temperature]]&lt;=20,"Cold",smart_dataset[[#This Row],[Temperature]]&lt;=28,"Normal",TRUE,"Hot")</f>
        <v>Normal</v>
      </c>
      <c r="W817" t="str" cm="1">
        <f t="array" ref="W817">_xlfn.IFS(smart_dataset[[#This Row],[Asset_Utilization]]&lt;=75,"Low",smart_dataset[[#This Row],[Asset_Utilization]]&lt;=90,"Medium",TRUE,"High")</f>
        <v>Low</v>
      </c>
    </row>
    <row r="818" spans="1:23" hidden="1" x14ac:dyDescent="0.25">
      <c r="A818" s="1">
        <v>45654.448645833334</v>
      </c>
      <c r="B818" s="1">
        <f>INT(smart_dataset[[#This Row],[Timestamp]])</f>
        <v>45654</v>
      </c>
      <c r="C818" s="1">
        <f>MOD(smart_dataset[[#This Row],[Timestamp]],1)</f>
        <v>0.44864583333401242</v>
      </c>
      <c r="D818" s="1">
        <f>YEAR(smart_dataset[[#This Row],[Date]])</f>
        <v>2024</v>
      </c>
      <c r="E818" s="1">
        <f>MONTH(smart_dataset[[#This Row],[Timestamp]])</f>
        <v>12</v>
      </c>
      <c r="F818" t="s">
        <v>24</v>
      </c>
      <c r="G818">
        <v>-6.9237000000000002</v>
      </c>
      <c r="H818">
        <v>20.963100000000001</v>
      </c>
      <c r="I818">
        <v>366</v>
      </c>
      <c r="J818" t="s">
        <v>17</v>
      </c>
      <c r="K818">
        <v>18.7</v>
      </c>
      <c r="L818">
        <v>59.1</v>
      </c>
      <c r="M818" t="s">
        <v>18</v>
      </c>
      <c r="N818">
        <v>39</v>
      </c>
      <c r="O818">
        <v>466</v>
      </c>
      <c r="P818">
        <v>6</v>
      </c>
      <c r="Q818" t="s">
        <v>27</v>
      </c>
      <c r="R818">
        <v>82.7</v>
      </c>
      <c r="S818">
        <v>109</v>
      </c>
      <c r="T818">
        <v>1</v>
      </c>
      <c r="U818" t="str" cm="1">
        <f t="array" ref="U818">_xlfn.IFS(smart_dataset[[#This Row],[Waiting_Time]]&lt;=20,"Low",smart_dataset[[#This Row],[Waiting_Time]]&lt;=40,"Medium",TRUE,"High")</f>
        <v>Medium</v>
      </c>
      <c r="V818" t="str" cm="1">
        <f t="array" ref="V818">_xlfn.IFS(smart_dataset[[#This Row],[Temperature]]&lt;=20,"Cold",smart_dataset[[#This Row],[Temperature]]&lt;=28,"Normal",TRUE,"Hot")</f>
        <v>Cold</v>
      </c>
      <c r="W818" t="str" cm="1">
        <f t="array" ref="W818">_xlfn.IFS(smart_dataset[[#This Row],[Asset_Utilization]]&lt;=75,"Low",smart_dataset[[#This Row],[Asset_Utilization]]&lt;=90,"Medium",TRUE,"High")</f>
        <v>Medium</v>
      </c>
    </row>
    <row r="819" spans="1:23" x14ac:dyDescent="0.25">
      <c r="A819" s="1">
        <v>45418.307199074072</v>
      </c>
      <c r="B819" s="1">
        <f>INT(smart_dataset[[#This Row],[Timestamp]])</f>
        <v>45418</v>
      </c>
      <c r="C819" s="7">
        <f>MOD(smart_dataset[[#This Row],[Timestamp]],1)</f>
        <v>0.307199074071832</v>
      </c>
      <c r="D819">
        <f>YEAR(smart_dataset[[#This Row],[Date]])</f>
        <v>2024</v>
      </c>
      <c r="E819">
        <f>MONTH(smart_dataset[[#This Row],[Timestamp]])</f>
        <v>5</v>
      </c>
      <c r="F819" t="s">
        <v>33</v>
      </c>
      <c r="G819">
        <v>-80.588300000000004</v>
      </c>
      <c r="H819">
        <v>-167.46729999999999</v>
      </c>
      <c r="I819">
        <v>269</v>
      </c>
      <c r="J819" t="s">
        <v>21</v>
      </c>
      <c r="K819">
        <v>27.7</v>
      </c>
      <c r="L819">
        <v>57.5</v>
      </c>
      <c r="M819" t="s">
        <v>18</v>
      </c>
      <c r="N819">
        <v>54</v>
      </c>
      <c r="O819">
        <v>288</v>
      </c>
      <c r="P819">
        <v>6</v>
      </c>
      <c r="Q819" t="s">
        <v>19</v>
      </c>
      <c r="R819">
        <v>89.8</v>
      </c>
      <c r="S819">
        <v>116</v>
      </c>
      <c r="T819">
        <v>0</v>
      </c>
      <c r="U819" t="str" cm="1">
        <f t="array" ref="U819">_xlfn.IFS(smart_dataset[[#This Row],[Waiting_Time]]&lt;=20,"Low",smart_dataset[[#This Row],[Waiting_Time]]&lt;=40,"Medium",TRUE,"High")</f>
        <v>High</v>
      </c>
      <c r="V819" t="str" cm="1">
        <f t="array" ref="V819">_xlfn.IFS(smart_dataset[[#This Row],[Temperature]]&lt;=20,"Cold",smart_dataset[[#This Row],[Temperature]]&lt;=28,"Normal",TRUE,"Hot")</f>
        <v>Normal</v>
      </c>
      <c r="W819" t="str" cm="1">
        <f t="array" ref="W819">_xlfn.IFS(smart_dataset[[#This Row],[Asset_Utilization]]&lt;=75,"Low",smart_dataset[[#This Row],[Asset_Utilization]]&lt;=90,"Medium",TRUE,"High")</f>
        <v>Medium</v>
      </c>
    </row>
    <row r="820" spans="1:23" hidden="1" x14ac:dyDescent="0.25">
      <c r="A820" s="1">
        <v>45308.187106481484</v>
      </c>
      <c r="B820" s="1">
        <f>INT(smart_dataset[[#This Row],[Timestamp]])</f>
        <v>45308</v>
      </c>
      <c r="C820" s="1">
        <f>MOD(smart_dataset[[#This Row],[Timestamp]],1)</f>
        <v>0.18710648148407927</v>
      </c>
      <c r="D820" s="1">
        <f>YEAR(smart_dataset[[#This Row],[Date]])</f>
        <v>2024</v>
      </c>
      <c r="E820" s="1">
        <f>MONTH(smart_dataset[[#This Row],[Timestamp]])</f>
        <v>1</v>
      </c>
      <c r="F820" t="s">
        <v>35</v>
      </c>
      <c r="G820">
        <v>-60.356299999999997</v>
      </c>
      <c r="H820">
        <v>95.723200000000006</v>
      </c>
      <c r="I820">
        <v>292</v>
      </c>
      <c r="J820" t="s">
        <v>26</v>
      </c>
      <c r="K820">
        <v>22.7</v>
      </c>
      <c r="L820">
        <v>61</v>
      </c>
      <c r="M820" t="s">
        <v>28</v>
      </c>
      <c r="N820">
        <v>42</v>
      </c>
      <c r="O820">
        <v>358</v>
      </c>
      <c r="P820">
        <v>9</v>
      </c>
      <c r="Q820" t="s">
        <v>31</v>
      </c>
      <c r="R820">
        <v>77.7</v>
      </c>
      <c r="S820">
        <v>256</v>
      </c>
      <c r="T820">
        <v>0</v>
      </c>
      <c r="U820" t="str" cm="1">
        <f t="array" ref="U820">_xlfn.IFS(smart_dataset[[#This Row],[Waiting_Time]]&lt;=20,"Low",smart_dataset[[#This Row],[Waiting_Time]]&lt;=40,"Medium",TRUE,"High")</f>
        <v>High</v>
      </c>
      <c r="V820" t="str" cm="1">
        <f t="array" ref="V820">_xlfn.IFS(smart_dataset[[#This Row],[Temperature]]&lt;=20,"Cold",smart_dataset[[#This Row],[Temperature]]&lt;=28,"Normal",TRUE,"Hot")</f>
        <v>Normal</v>
      </c>
      <c r="W820" t="str" cm="1">
        <f t="array" ref="W820">_xlfn.IFS(smart_dataset[[#This Row],[Asset_Utilization]]&lt;=75,"Low",smart_dataset[[#This Row],[Asset_Utilization]]&lt;=90,"Medium",TRUE,"High")</f>
        <v>Medium</v>
      </c>
    </row>
    <row r="821" spans="1:23" hidden="1" x14ac:dyDescent="0.25">
      <c r="A821" s="1">
        <v>45563.07068287037</v>
      </c>
      <c r="B821" s="1">
        <f>INT(smart_dataset[[#This Row],[Timestamp]])</f>
        <v>45563</v>
      </c>
      <c r="C821" s="1">
        <f>MOD(smart_dataset[[#This Row],[Timestamp]],1)</f>
        <v>7.0682870369637385E-2</v>
      </c>
      <c r="D821" s="1">
        <f>YEAR(smart_dataset[[#This Row],[Date]])</f>
        <v>2024</v>
      </c>
      <c r="E821" s="1">
        <f>MONTH(smart_dataset[[#This Row],[Timestamp]])</f>
        <v>9</v>
      </c>
      <c r="F821" t="s">
        <v>20</v>
      </c>
      <c r="G821">
        <v>-83.320700000000002</v>
      </c>
      <c r="H821">
        <v>19.911899999999999</v>
      </c>
      <c r="I821">
        <v>288</v>
      </c>
      <c r="J821" t="s">
        <v>26</v>
      </c>
      <c r="K821">
        <v>25.4</v>
      </c>
      <c r="L821">
        <v>62</v>
      </c>
      <c r="M821" t="s">
        <v>28</v>
      </c>
      <c r="N821">
        <v>54</v>
      </c>
      <c r="O821">
        <v>154</v>
      </c>
      <c r="P821">
        <v>2</v>
      </c>
      <c r="Q821" t="s">
        <v>27</v>
      </c>
      <c r="R821">
        <v>71.900000000000006</v>
      </c>
      <c r="S821">
        <v>211</v>
      </c>
      <c r="T821">
        <v>0</v>
      </c>
      <c r="U821" t="str" cm="1">
        <f t="array" ref="U821">_xlfn.IFS(smart_dataset[[#This Row],[Waiting_Time]]&lt;=20,"Low",smart_dataset[[#This Row],[Waiting_Time]]&lt;=40,"Medium",TRUE,"High")</f>
        <v>High</v>
      </c>
      <c r="V821" t="str" cm="1">
        <f t="array" ref="V821">_xlfn.IFS(smart_dataset[[#This Row],[Temperature]]&lt;=20,"Cold",smart_dataset[[#This Row],[Temperature]]&lt;=28,"Normal",TRUE,"Hot")</f>
        <v>Normal</v>
      </c>
      <c r="W821" t="str" cm="1">
        <f t="array" ref="W821">_xlfn.IFS(smart_dataset[[#This Row],[Asset_Utilization]]&lt;=75,"Low",smart_dataset[[#This Row],[Asset_Utilization]]&lt;=90,"Medium",TRUE,"High")</f>
        <v>Low</v>
      </c>
    </row>
    <row r="822" spans="1:23" hidden="1" x14ac:dyDescent="0.25">
      <c r="A822" s="1">
        <v>45357.110949074071</v>
      </c>
      <c r="B822" s="1">
        <f>INT(smart_dataset[[#This Row],[Timestamp]])</f>
        <v>45357</v>
      </c>
      <c r="C822" s="1">
        <f>MOD(smart_dataset[[#This Row],[Timestamp]],1)</f>
        <v>0.11094907407095889</v>
      </c>
      <c r="D822" s="1">
        <f>YEAR(smart_dataset[[#This Row],[Date]])</f>
        <v>2024</v>
      </c>
      <c r="E822" s="1">
        <f>MONTH(smart_dataset[[#This Row],[Timestamp]])</f>
        <v>3</v>
      </c>
      <c r="F822" t="s">
        <v>32</v>
      </c>
      <c r="G822">
        <v>-54.496400000000001</v>
      </c>
      <c r="H822">
        <v>-93.860299999999995</v>
      </c>
      <c r="I822">
        <v>286</v>
      </c>
      <c r="J822" t="s">
        <v>26</v>
      </c>
      <c r="K822">
        <v>20.7</v>
      </c>
      <c r="L822">
        <v>59</v>
      </c>
      <c r="M822" t="s">
        <v>22</v>
      </c>
      <c r="N822">
        <v>43</v>
      </c>
      <c r="O822">
        <v>387</v>
      </c>
      <c r="P822">
        <v>4</v>
      </c>
      <c r="Q822" t="s">
        <v>27</v>
      </c>
      <c r="R822">
        <v>60.7</v>
      </c>
      <c r="S822">
        <v>134</v>
      </c>
      <c r="T822">
        <v>1</v>
      </c>
      <c r="U822" t="str" cm="1">
        <f t="array" ref="U822">_xlfn.IFS(smart_dataset[[#This Row],[Waiting_Time]]&lt;=20,"Low",smart_dataset[[#This Row],[Waiting_Time]]&lt;=40,"Medium",TRUE,"High")</f>
        <v>High</v>
      </c>
      <c r="V822" t="str" cm="1">
        <f t="array" ref="V822">_xlfn.IFS(smart_dataset[[#This Row],[Temperature]]&lt;=20,"Cold",smart_dataset[[#This Row],[Temperature]]&lt;=28,"Normal",TRUE,"Hot")</f>
        <v>Normal</v>
      </c>
      <c r="W822" t="str" cm="1">
        <f t="array" ref="W822">_xlfn.IFS(smart_dataset[[#This Row],[Asset_Utilization]]&lt;=75,"Low",smart_dataset[[#This Row],[Asset_Utilization]]&lt;=90,"Medium",TRUE,"High")</f>
        <v>Low</v>
      </c>
    </row>
    <row r="823" spans="1:23" hidden="1" x14ac:dyDescent="0.25">
      <c r="A823" s="1">
        <v>45520.246979166666</v>
      </c>
      <c r="B823" s="1">
        <f>INT(smart_dataset[[#This Row],[Timestamp]])</f>
        <v>45520</v>
      </c>
      <c r="C823" s="1">
        <f>MOD(smart_dataset[[#This Row],[Timestamp]],1)</f>
        <v>0.24697916666627862</v>
      </c>
      <c r="D823" s="1">
        <f>YEAR(smart_dataset[[#This Row],[Date]])</f>
        <v>2024</v>
      </c>
      <c r="E823" s="1">
        <f>MONTH(smart_dataset[[#This Row],[Timestamp]])</f>
        <v>8</v>
      </c>
      <c r="F823" t="s">
        <v>16</v>
      </c>
      <c r="G823">
        <v>66.539900000000003</v>
      </c>
      <c r="H823">
        <v>160.55099999999999</v>
      </c>
      <c r="I823">
        <v>155</v>
      </c>
      <c r="J823" t="s">
        <v>17</v>
      </c>
      <c r="K823">
        <v>24</v>
      </c>
      <c r="L823">
        <v>72.400000000000006</v>
      </c>
      <c r="M823" t="s">
        <v>18</v>
      </c>
      <c r="N823">
        <v>28</v>
      </c>
      <c r="O823">
        <v>398</v>
      </c>
      <c r="P823">
        <v>6</v>
      </c>
      <c r="Q823" t="s">
        <v>27</v>
      </c>
      <c r="R823">
        <v>63.8</v>
      </c>
      <c r="S823">
        <v>278</v>
      </c>
      <c r="T823">
        <v>1</v>
      </c>
      <c r="U823" t="str" cm="1">
        <f t="array" ref="U823">_xlfn.IFS(smart_dataset[[#This Row],[Waiting_Time]]&lt;=20,"Low",smart_dataset[[#This Row],[Waiting_Time]]&lt;=40,"Medium",TRUE,"High")</f>
        <v>Medium</v>
      </c>
      <c r="V823" t="str" cm="1">
        <f t="array" ref="V823">_xlfn.IFS(smart_dataset[[#This Row],[Temperature]]&lt;=20,"Cold",smart_dataset[[#This Row],[Temperature]]&lt;=28,"Normal",TRUE,"Hot")</f>
        <v>Normal</v>
      </c>
      <c r="W823" t="str" cm="1">
        <f t="array" ref="W823">_xlfn.IFS(smart_dataset[[#This Row],[Asset_Utilization]]&lt;=75,"Low",smart_dataset[[#This Row],[Asset_Utilization]]&lt;=90,"Medium",TRUE,"High")</f>
        <v>Low</v>
      </c>
    </row>
    <row r="824" spans="1:23" hidden="1" x14ac:dyDescent="0.25">
      <c r="A824" s="1">
        <v>45511.402696759258</v>
      </c>
      <c r="B824" s="1">
        <f>INT(smart_dataset[[#This Row],[Timestamp]])</f>
        <v>45511</v>
      </c>
      <c r="C824" s="1">
        <f>MOD(smart_dataset[[#This Row],[Timestamp]],1)</f>
        <v>0.40269675925810589</v>
      </c>
      <c r="D824" s="1">
        <f>YEAR(smart_dataset[[#This Row],[Date]])</f>
        <v>2024</v>
      </c>
      <c r="E824" s="1">
        <f>MONTH(smart_dataset[[#This Row],[Timestamp]])</f>
        <v>8</v>
      </c>
      <c r="F824" t="s">
        <v>32</v>
      </c>
      <c r="G824">
        <v>16.1144</v>
      </c>
      <c r="H824">
        <v>-24.411799999999999</v>
      </c>
      <c r="I824">
        <v>488</v>
      </c>
      <c r="J824" t="s">
        <v>26</v>
      </c>
      <c r="K824">
        <v>26.5</v>
      </c>
      <c r="L824">
        <v>66.599999999999994</v>
      </c>
      <c r="M824" t="s">
        <v>22</v>
      </c>
      <c r="N824">
        <v>41</v>
      </c>
      <c r="O824">
        <v>104</v>
      </c>
      <c r="P824">
        <v>1</v>
      </c>
      <c r="Q824" t="s">
        <v>31</v>
      </c>
      <c r="R824">
        <v>67.099999999999994</v>
      </c>
      <c r="S824">
        <v>151</v>
      </c>
      <c r="T824">
        <v>1</v>
      </c>
      <c r="U824" t="str" cm="1">
        <f t="array" ref="U824">_xlfn.IFS(smart_dataset[[#This Row],[Waiting_Time]]&lt;=20,"Low",smart_dataset[[#This Row],[Waiting_Time]]&lt;=40,"Medium",TRUE,"High")</f>
        <v>High</v>
      </c>
      <c r="V824" t="str" cm="1">
        <f t="array" ref="V824">_xlfn.IFS(smart_dataset[[#This Row],[Temperature]]&lt;=20,"Cold",smart_dataset[[#This Row],[Temperature]]&lt;=28,"Normal",TRUE,"Hot")</f>
        <v>Normal</v>
      </c>
      <c r="W824" t="str" cm="1">
        <f t="array" ref="W824">_xlfn.IFS(smart_dataset[[#This Row],[Asset_Utilization]]&lt;=75,"Low",smart_dataset[[#This Row],[Asset_Utilization]]&lt;=90,"Medium",TRUE,"High")</f>
        <v>Low</v>
      </c>
    </row>
    <row r="825" spans="1:23" hidden="1" x14ac:dyDescent="0.25">
      <c r="A825" s="1">
        <v>45412.858587962961</v>
      </c>
      <c r="B825" s="1">
        <f>INT(smart_dataset[[#This Row],[Timestamp]])</f>
        <v>45412</v>
      </c>
      <c r="C825" s="1">
        <f>MOD(smart_dataset[[#This Row],[Timestamp]],1)</f>
        <v>0.85858796296088258</v>
      </c>
      <c r="D825" s="1">
        <f>YEAR(smart_dataset[[#This Row],[Date]])</f>
        <v>2024</v>
      </c>
      <c r="E825" s="1">
        <f>MONTH(smart_dataset[[#This Row],[Timestamp]])</f>
        <v>4</v>
      </c>
      <c r="F825" t="s">
        <v>32</v>
      </c>
      <c r="G825">
        <v>-84.960099999999997</v>
      </c>
      <c r="H825">
        <v>17.499199999999998</v>
      </c>
      <c r="I825">
        <v>386</v>
      </c>
      <c r="J825" t="s">
        <v>21</v>
      </c>
      <c r="K825">
        <v>21.8</v>
      </c>
      <c r="L825">
        <v>79.7</v>
      </c>
      <c r="M825" t="s">
        <v>18</v>
      </c>
      <c r="N825">
        <v>15</v>
      </c>
      <c r="O825">
        <v>463</v>
      </c>
      <c r="P825">
        <v>1</v>
      </c>
      <c r="Q825" t="s">
        <v>27</v>
      </c>
      <c r="R825">
        <v>75</v>
      </c>
      <c r="S825">
        <v>224</v>
      </c>
      <c r="T825">
        <v>0</v>
      </c>
      <c r="U825" t="str" cm="1">
        <f t="array" ref="U825">_xlfn.IFS(smart_dataset[[#This Row],[Waiting_Time]]&lt;=20,"Low",smart_dataset[[#This Row],[Waiting_Time]]&lt;=40,"Medium",TRUE,"High")</f>
        <v>Low</v>
      </c>
      <c r="V825" t="str" cm="1">
        <f t="array" ref="V825">_xlfn.IFS(smart_dataset[[#This Row],[Temperature]]&lt;=20,"Cold",smart_dataset[[#This Row],[Temperature]]&lt;=28,"Normal",TRUE,"Hot")</f>
        <v>Normal</v>
      </c>
      <c r="W825" t="str" cm="1">
        <f t="array" ref="W825">_xlfn.IFS(smart_dataset[[#This Row],[Asset_Utilization]]&lt;=75,"Low",smart_dataset[[#This Row],[Asset_Utilization]]&lt;=90,"Medium",TRUE,"High")</f>
        <v>Low</v>
      </c>
    </row>
    <row r="826" spans="1:23" x14ac:dyDescent="0.25">
      <c r="A826" s="1">
        <v>45476.527002314811</v>
      </c>
      <c r="B826" s="1">
        <f>INT(smart_dataset[[#This Row],[Timestamp]])</f>
        <v>45476</v>
      </c>
      <c r="C826" s="7">
        <f>MOD(smart_dataset[[#This Row],[Timestamp]],1)</f>
        <v>0.52700231481139781</v>
      </c>
      <c r="D826">
        <f>YEAR(smart_dataset[[#This Row],[Date]])</f>
        <v>2024</v>
      </c>
      <c r="E826">
        <f>MONTH(smart_dataset[[#This Row],[Timestamp]])</f>
        <v>7</v>
      </c>
      <c r="F826" t="s">
        <v>33</v>
      </c>
      <c r="G826">
        <v>-62.644100000000002</v>
      </c>
      <c r="H826">
        <v>-34.444600000000001</v>
      </c>
      <c r="I826">
        <v>153</v>
      </c>
      <c r="J826" t="s">
        <v>26</v>
      </c>
      <c r="K826">
        <v>20.7</v>
      </c>
      <c r="L826">
        <v>55.3</v>
      </c>
      <c r="M826" t="s">
        <v>18</v>
      </c>
      <c r="N826">
        <v>55</v>
      </c>
      <c r="O826">
        <v>304</v>
      </c>
      <c r="P826">
        <v>8</v>
      </c>
      <c r="Q826" t="s">
        <v>19</v>
      </c>
      <c r="R826">
        <v>79.5</v>
      </c>
      <c r="S826">
        <v>147</v>
      </c>
      <c r="T826">
        <v>0</v>
      </c>
      <c r="U826" t="str" cm="1">
        <f t="array" ref="U826">_xlfn.IFS(smart_dataset[[#This Row],[Waiting_Time]]&lt;=20,"Low",smart_dataset[[#This Row],[Waiting_Time]]&lt;=40,"Medium",TRUE,"High")</f>
        <v>High</v>
      </c>
      <c r="V826" t="str" cm="1">
        <f t="array" ref="V826">_xlfn.IFS(smart_dataset[[#This Row],[Temperature]]&lt;=20,"Cold",smart_dataset[[#This Row],[Temperature]]&lt;=28,"Normal",TRUE,"Hot")</f>
        <v>Normal</v>
      </c>
      <c r="W826" t="str" cm="1">
        <f t="array" ref="W826">_xlfn.IFS(smart_dataset[[#This Row],[Asset_Utilization]]&lt;=75,"Low",smart_dataset[[#This Row],[Asset_Utilization]]&lt;=90,"Medium",TRUE,"High")</f>
        <v>Medium</v>
      </c>
    </row>
    <row r="827" spans="1:23" hidden="1" x14ac:dyDescent="0.25">
      <c r="A827" s="1">
        <v>45409.384039351855</v>
      </c>
      <c r="B827" s="1">
        <f>INT(smart_dataset[[#This Row],[Timestamp]])</f>
        <v>45409</v>
      </c>
      <c r="C827" s="1">
        <f>MOD(smart_dataset[[#This Row],[Timestamp]],1)</f>
        <v>0.38403935185488081</v>
      </c>
      <c r="D827" s="1">
        <f>YEAR(smart_dataset[[#This Row],[Date]])</f>
        <v>2024</v>
      </c>
      <c r="E827" s="1">
        <f>MONTH(smart_dataset[[#This Row],[Timestamp]])</f>
        <v>4</v>
      </c>
      <c r="F827" t="s">
        <v>34</v>
      </c>
      <c r="G827">
        <v>82.972700000000003</v>
      </c>
      <c r="H827">
        <v>171.14689999999999</v>
      </c>
      <c r="I827">
        <v>317</v>
      </c>
      <c r="J827" t="s">
        <v>17</v>
      </c>
      <c r="K827">
        <v>26.5</v>
      </c>
      <c r="L827">
        <v>52.7</v>
      </c>
      <c r="M827" t="s">
        <v>22</v>
      </c>
      <c r="N827">
        <v>37</v>
      </c>
      <c r="O827">
        <v>427</v>
      </c>
      <c r="P827">
        <v>2</v>
      </c>
      <c r="Q827" t="s">
        <v>27</v>
      </c>
      <c r="R827">
        <v>69.900000000000006</v>
      </c>
      <c r="S827">
        <v>233</v>
      </c>
      <c r="T827">
        <v>1</v>
      </c>
      <c r="U827" t="str" cm="1">
        <f t="array" ref="U827">_xlfn.IFS(smart_dataset[[#This Row],[Waiting_Time]]&lt;=20,"Low",smart_dataset[[#This Row],[Waiting_Time]]&lt;=40,"Medium",TRUE,"High")</f>
        <v>Medium</v>
      </c>
      <c r="V827" t="str" cm="1">
        <f t="array" ref="V827">_xlfn.IFS(smart_dataset[[#This Row],[Temperature]]&lt;=20,"Cold",smart_dataset[[#This Row],[Temperature]]&lt;=28,"Normal",TRUE,"Hot")</f>
        <v>Normal</v>
      </c>
      <c r="W827" t="str" cm="1">
        <f t="array" ref="W827">_xlfn.IFS(smart_dataset[[#This Row],[Asset_Utilization]]&lt;=75,"Low",smart_dataset[[#This Row],[Asset_Utilization]]&lt;=90,"Medium",TRUE,"High")</f>
        <v>Low</v>
      </c>
    </row>
    <row r="828" spans="1:23" hidden="1" x14ac:dyDescent="0.25">
      <c r="A828" s="1">
        <v>45637.682071759256</v>
      </c>
      <c r="B828" s="1">
        <f>INT(smart_dataset[[#This Row],[Timestamp]])</f>
        <v>45637</v>
      </c>
      <c r="C828" s="1">
        <f>MOD(smart_dataset[[#This Row],[Timestamp]],1)</f>
        <v>0.68207175925635966</v>
      </c>
      <c r="D828" s="1">
        <f>YEAR(smart_dataset[[#This Row],[Date]])</f>
        <v>2024</v>
      </c>
      <c r="E828" s="1">
        <f>MONTH(smart_dataset[[#This Row],[Timestamp]])</f>
        <v>12</v>
      </c>
      <c r="F828" t="s">
        <v>34</v>
      </c>
      <c r="G828">
        <v>-50.808100000000003</v>
      </c>
      <c r="H828">
        <v>11.3148</v>
      </c>
      <c r="I828">
        <v>281</v>
      </c>
      <c r="J828" t="s">
        <v>21</v>
      </c>
      <c r="K828">
        <v>28</v>
      </c>
      <c r="L828">
        <v>73.5</v>
      </c>
      <c r="M828" t="s">
        <v>18</v>
      </c>
      <c r="N828">
        <v>43</v>
      </c>
      <c r="O828">
        <v>390</v>
      </c>
      <c r="P828">
        <v>5</v>
      </c>
      <c r="Q828" t="s">
        <v>31</v>
      </c>
      <c r="R828">
        <v>86.4</v>
      </c>
      <c r="S828">
        <v>153</v>
      </c>
      <c r="T828">
        <v>0</v>
      </c>
      <c r="U828" t="str" cm="1">
        <f t="array" ref="U828">_xlfn.IFS(smart_dataset[[#This Row],[Waiting_Time]]&lt;=20,"Low",smart_dataset[[#This Row],[Waiting_Time]]&lt;=40,"Medium",TRUE,"High")</f>
        <v>High</v>
      </c>
      <c r="V828" t="str" cm="1">
        <f t="array" ref="V828">_xlfn.IFS(smart_dataset[[#This Row],[Temperature]]&lt;=20,"Cold",smart_dataset[[#This Row],[Temperature]]&lt;=28,"Normal",TRUE,"Hot")</f>
        <v>Normal</v>
      </c>
      <c r="W828" t="str" cm="1">
        <f t="array" ref="W828">_xlfn.IFS(smart_dataset[[#This Row],[Asset_Utilization]]&lt;=75,"Low",smart_dataset[[#This Row],[Asset_Utilization]]&lt;=90,"Medium",TRUE,"High")</f>
        <v>Medium</v>
      </c>
    </row>
    <row r="829" spans="1:23" hidden="1" x14ac:dyDescent="0.25">
      <c r="A829" s="1">
        <v>45412.813715277778</v>
      </c>
      <c r="B829" s="1">
        <f>INT(smart_dataset[[#This Row],[Timestamp]])</f>
        <v>45412</v>
      </c>
      <c r="C829" s="1">
        <f>MOD(smart_dataset[[#This Row],[Timestamp]],1)</f>
        <v>0.81371527777810115</v>
      </c>
      <c r="D829" s="1">
        <f>YEAR(smart_dataset[[#This Row],[Date]])</f>
        <v>2024</v>
      </c>
      <c r="E829" s="1">
        <f>MONTH(smart_dataset[[#This Row],[Timestamp]])</f>
        <v>4</v>
      </c>
      <c r="F829" t="s">
        <v>32</v>
      </c>
      <c r="G829">
        <v>67.861199999999997</v>
      </c>
      <c r="H829">
        <v>174.7961</v>
      </c>
      <c r="I829">
        <v>473</v>
      </c>
      <c r="J829" t="s">
        <v>17</v>
      </c>
      <c r="K829">
        <v>24.8</v>
      </c>
      <c r="L829">
        <v>61.7</v>
      </c>
      <c r="M829" t="s">
        <v>22</v>
      </c>
      <c r="N829">
        <v>19</v>
      </c>
      <c r="O829">
        <v>360</v>
      </c>
      <c r="P829">
        <v>10</v>
      </c>
      <c r="Q829" t="s">
        <v>23</v>
      </c>
      <c r="R829">
        <v>97.3</v>
      </c>
      <c r="S829">
        <v>186</v>
      </c>
      <c r="T829">
        <v>1</v>
      </c>
      <c r="U829" t="str" cm="1">
        <f t="array" ref="U829">_xlfn.IFS(smart_dataset[[#This Row],[Waiting_Time]]&lt;=20,"Low",smart_dataset[[#This Row],[Waiting_Time]]&lt;=40,"Medium",TRUE,"High")</f>
        <v>Low</v>
      </c>
      <c r="V829" t="str" cm="1">
        <f t="array" ref="V829">_xlfn.IFS(smart_dataset[[#This Row],[Temperature]]&lt;=20,"Cold",smart_dataset[[#This Row],[Temperature]]&lt;=28,"Normal",TRUE,"Hot")</f>
        <v>Normal</v>
      </c>
      <c r="W829" t="str" cm="1">
        <f t="array" ref="W829">_xlfn.IFS(smart_dataset[[#This Row],[Asset_Utilization]]&lt;=75,"Low",smart_dataset[[#This Row],[Asset_Utilization]]&lt;=90,"Medium",TRUE,"High")</f>
        <v>High</v>
      </c>
    </row>
    <row r="830" spans="1:23" x14ac:dyDescent="0.25">
      <c r="A830" s="1">
        <v>45377.653368055559</v>
      </c>
      <c r="B830" s="1">
        <f>INT(smart_dataset[[#This Row],[Timestamp]])</f>
        <v>45377</v>
      </c>
      <c r="C830" s="7">
        <f>MOD(smart_dataset[[#This Row],[Timestamp]],1)</f>
        <v>0.65336805555853061</v>
      </c>
      <c r="D830">
        <f>YEAR(smart_dataset[[#This Row],[Date]])</f>
        <v>2024</v>
      </c>
      <c r="E830">
        <f>MONTH(smart_dataset[[#This Row],[Timestamp]])</f>
        <v>3</v>
      </c>
      <c r="F830" t="s">
        <v>16</v>
      </c>
      <c r="G830">
        <v>52.041499999999999</v>
      </c>
      <c r="H830">
        <v>-64.640299999999996</v>
      </c>
      <c r="I830">
        <v>221</v>
      </c>
      <c r="J830" t="s">
        <v>26</v>
      </c>
      <c r="K830">
        <v>25.2</v>
      </c>
      <c r="L830">
        <v>68.5</v>
      </c>
      <c r="M830" t="s">
        <v>18</v>
      </c>
      <c r="N830">
        <v>41</v>
      </c>
      <c r="O830">
        <v>101</v>
      </c>
      <c r="P830">
        <v>9</v>
      </c>
      <c r="Q830" t="s">
        <v>19</v>
      </c>
      <c r="R830">
        <v>99.3</v>
      </c>
      <c r="S830">
        <v>287</v>
      </c>
      <c r="T830">
        <v>0</v>
      </c>
      <c r="U830" t="str" cm="1">
        <f t="array" ref="U830">_xlfn.IFS(smart_dataset[[#This Row],[Waiting_Time]]&lt;=20,"Low",smart_dataset[[#This Row],[Waiting_Time]]&lt;=40,"Medium",TRUE,"High")</f>
        <v>High</v>
      </c>
      <c r="V830" t="str" cm="1">
        <f t="array" ref="V830">_xlfn.IFS(smart_dataset[[#This Row],[Temperature]]&lt;=20,"Cold",smart_dataset[[#This Row],[Temperature]]&lt;=28,"Normal",TRUE,"Hot")</f>
        <v>Normal</v>
      </c>
      <c r="W830" t="str" cm="1">
        <f t="array" ref="W830">_xlfn.IFS(smart_dataset[[#This Row],[Asset_Utilization]]&lt;=75,"Low",smart_dataset[[#This Row],[Asset_Utilization]]&lt;=90,"Medium",TRUE,"High")</f>
        <v>High</v>
      </c>
    </row>
    <row r="831" spans="1:23" x14ac:dyDescent="0.25">
      <c r="A831" s="1">
        <v>45341.975034722222</v>
      </c>
      <c r="B831" s="1">
        <f>INT(smart_dataset[[#This Row],[Timestamp]])</f>
        <v>45341</v>
      </c>
      <c r="C831" s="7">
        <f>MOD(smart_dataset[[#This Row],[Timestamp]],1)</f>
        <v>0.97503472222160781</v>
      </c>
      <c r="D831">
        <f>YEAR(smart_dataset[[#This Row],[Date]])</f>
        <v>2024</v>
      </c>
      <c r="E831">
        <f>MONTH(smart_dataset[[#This Row],[Timestamp]])</f>
        <v>2</v>
      </c>
      <c r="F831" t="s">
        <v>30</v>
      </c>
      <c r="G831">
        <v>-74.900300000000001</v>
      </c>
      <c r="H831">
        <v>146.07650000000001</v>
      </c>
      <c r="I831">
        <v>276</v>
      </c>
      <c r="J831" t="s">
        <v>21</v>
      </c>
      <c r="K831">
        <v>29.2</v>
      </c>
      <c r="L831">
        <v>77.099999999999994</v>
      </c>
      <c r="M831" t="s">
        <v>28</v>
      </c>
      <c r="N831">
        <v>39</v>
      </c>
      <c r="O831">
        <v>483</v>
      </c>
      <c r="P831">
        <v>7</v>
      </c>
      <c r="Q831" t="s">
        <v>19</v>
      </c>
      <c r="R831">
        <v>71.5</v>
      </c>
      <c r="S831">
        <v>157</v>
      </c>
      <c r="T831">
        <v>0</v>
      </c>
      <c r="U831" t="str" cm="1">
        <f t="array" ref="U831">_xlfn.IFS(smart_dataset[[#This Row],[Waiting_Time]]&lt;=20,"Low",smart_dataset[[#This Row],[Waiting_Time]]&lt;=40,"Medium",TRUE,"High")</f>
        <v>Medium</v>
      </c>
      <c r="V831" t="str" cm="1">
        <f t="array" ref="V831">_xlfn.IFS(smart_dataset[[#This Row],[Temperature]]&lt;=20,"Cold",smart_dataset[[#This Row],[Temperature]]&lt;=28,"Normal",TRUE,"Hot")</f>
        <v>Hot</v>
      </c>
      <c r="W831" t="str" cm="1">
        <f t="array" ref="W831">_xlfn.IFS(smart_dataset[[#This Row],[Asset_Utilization]]&lt;=75,"Low",smart_dataset[[#This Row],[Asset_Utilization]]&lt;=90,"Medium",TRUE,"High")</f>
        <v>Low</v>
      </c>
    </row>
    <row r="832" spans="1:23" hidden="1" x14ac:dyDescent="0.25">
      <c r="A832" s="1">
        <v>45550.047476851854</v>
      </c>
      <c r="B832" s="1">
        <f>INT(smart_dataset[[#This Row],[Timestamp]])</f>
        <v>45550</v>
      </c>
      <c r="C832" s="1">
        <f>MOD(smart_dataset[[#This Row],[Timestamp]],1)</f>
        <v>4.7476851854298729E-2</v>
      </c>
      <c r="D832" s="1">
        <f>YEAR(smart_dataset[[#This Row],[Date]])</f>
        <v>2024</v>
      </c>
      <c r="E832" s="1">
        <f>MONTH(smart_dataset[[#This Row],[Timestamp]])</f>
        <v>9</v>
      </c>
      <c r="F832" t="s">
        <v>34</v>
      </c>
      <c r="G832">
        <v>-10.741400000000001</v>
      </c>
      <c r="H832">
        <v>-56.584899999999998</v>
      </c>
      <c r="I832">
        <v>331</v>
      </c>
      <c r="J832" t="s">
        <v>26</v>
      </c>
      <c r="K832">
        <v>21.6</v>
      </c>
      <c r="L832">
        <v>61.2</v>
      </c>
      <c r="M832" t="s">
        <v>22</v>
      </c>
      <c r="N832">
        <v>24</v>
      </c>
      <c r="O832">
        <v>450</v>
      </c>
      <c r="P832">
        <v>8</v>
      </c>
      <c r="Q832" t="s">
        <v>27</v>
      </c>
      <c r="R832">
        <v>64.400000000000006</v>
      </c>
      <c r="S832">
        <v>123</v>
      </c>
      <c r="T832">
        <v>1</v>
      </c>
      <c r="U832" t="str" cm="1">
        <f t="array" ref="U832">_xlfn.IFS(smart_dataset[[#This Row],[Waiting_Time]]&lt;=20,"Low",smart_dataset[[#This Row],[Waiting_Time]]&lt;=40,"Medium",TRUE,"High")</f>
        <v>Medium</v>
      </c>
      <c r="V832" t="str" cm="1">
        <f t="array" ref="V832">_xlfn.IFS(smart_dataset[[#This Row],[Temperature]]&lt;=20,"Cold",smart_dataset[[#This Row],[Temperature]]&lt;=28,"Normal",TRUE,"Hot")</f>
        <v>Normal</v>
      </c>
      <c r="W832" t="str" cm="1">
        <f t="array" ref="W832">_xlfn.IFS(smart_dataset[[#This Row],[Asset_Utilization]]&lt;=75,"Low",smart_dataset[[#This Row],[Asset_Utilization]]&lt;=90,"Medium",TRUE,"High")</f>
        <v>Low</v>
      </c>
    </row>
    <row r="833" spans="1:23" hidden="1" x14ac:dyDescent="0.25">
      <c r="A833" s="1">
        <v>45419.53465277778</v>
      </c>
      <c r="B833" s="1">
        <f>INT(smart_dataset[[#This Row],[Timestamp]])</f>
        <v>45419</v>
      </c>
      <c r="C833" s="1">
        <f>MOD(smart_dataset[[#This Row],[Timestamp]],1)</f>
        <v>0.53465277778013842</v>
      </c>
      <c r="D833" s="1">
        <f>YEAR(smart_dataset[[#This Row],[Date]])</f>
        <v>2024</v>
      </c>
      <c r="E833" s="1">
        <f>MONTH(smart_dataset[[#This Row],[Timestamp]])</f>
        <v>5</v>
      </c>
      <c r="F833" t="s">
        <v>30</v>
      </c>
      <c r="G833">
        <v>77.436000000000007</v>
      </c>
      <c r="H833">
        <v>42.529000000000003</v>
      </c>
      <c r="I833">
        <v>249</v>
      </c>
      <c r="J833" t="s">
        <v>26</v>
      </c>
      <c r="K833">
        <v>24.3</v>
      </c>
      <c r="L833">
        <v>78.8</v>
      </c>
      <c r="M833" t="s">
        <v>22</v>
      </c>
      <c r="N833">
        <v>13</v>
      </c>
      <c r="O833">
        <v>125</v>
      </c>
      <c r="P833">
        <v>2</v>
      </c>
      <c r="Q833" t="s">
        <v>31</v>
      </c>
      <c r="R833">
        <v>78.7</v>
      </c>
      <c r="S833">
        <v>165</v>
      </c>
      <c r="T833">
        <v>1</v>
      </c>
      <c r="U833" t="str" cm="1">
        <f t="array" ref="U833">_xlfn.IFS(smart_dataset[[#This Row],[Waiting_Time]]&lt;=20,"Low",smart_dataset[[#This Row],[Waiting_Time]]&lt;=40,"Medium",TRUE,"High")</f>
        <v>Low</v>
      </c>
      <c r="V833" t="str" cm="1">
        <f t="array" ref="V833">_xlfn.IFS(smart_dataset[[#This Row],[Temperature]]&lt;=20,"Cold",smart_dataset[[#This Row],[Temperature]]&lt;=28,"Normal",TRUE,"Hot")</f>
        <v>Normal</v>
      </c>
      <c r="W833" t="str" cm="1">
        <f t="array" ref="W833">_xlfn.IFS(smart_dataset[[#This Row],[Asset_Utilization]]&lt;=75,"Low",smart_dataset[[#This Row],[Asset_Utilization]]&lt;=90,"Medium",TRUE,"High")</f>
        <v>Medium</v>
      </c>
    </row>
    <row r="834" spans="1:23" hidden="1" x14ac:dyDescent="0.25">
      <c r="A834" s="1">
        <v>45473.202048611114</v>
      </c>
      <c r="B834" s="1">
        <f>INT(smart_dataset[[#This Row],[Timestamp]])</f>
        <v>45473</v>
      </c>
      <c r="C834" s="1">
        <f>MOD(smart_dataset[[#This Row],[Timestamp]],1)</f>
        <v>0.20204861111415084</v>
      </c>
      <c r="D834" s="1">
        <f>YEAR(smart_dataset[[#This Row],[Date]])</f>
        <v>2024</v>
      </c>
      <c r="E834" s="1">
        <f>MONTH(smart_dataset[[#This Row],[Timestamp]])</f>
        <v>6</v>
      </c>
      <c r="F834" t="s">
        <v>35</v>
      </c>
      <c r="G834">
        <v>-39.701000000000001</v>
      </c>
      <c r="H834">
        <v>158.9084</v>
      </c>
      <c r="I834">
        <v>379</v>
      </c>
      <c r="J834" t="s">
        <v>17</v>
      </c>
      <c r="K834">
        <v>23.8</v>
      </c>
      <c r="L834">
        <v>78.8</v>
      </c>
      <c r="M834" t="s">
        <v>18</v>
      </c>
      <c r="N834">
        <v>22</v>
      </c>
      <c r="O834">
        <v>361</v>
      </c>
      <c r="P834">
        <v>5</v>
      </c>
      <c r="Q834" t="s">
        <v>23</v>
      </c>
      <c r="R834">
        <v>89.3</v>
      </c>
      <c r="S834">
        <v>112</v>
      </c>
      <c r="T834">
        <v>1</v>
      </c>
      <c r="U834" t="str" cm="1">
        <f t="array" ref="U834">_xlfn.IFS(smart_dataset[[#This Row],[Waiting_Time]]&lt;=20,"Low",smart_dataset[[#This Row],[Waiting_Time]]&lt;=40,"Medium",TRUE,"High")</f>
        <v>Medium</v>
      </c>
      <c r="V834" t="str" cm="1">
        <f t="array" ref="V834">_xlfn.IFS(smart_dataset[[#This Row],[Temperature]]&lt;=20,"Cold",smart_dataset[[#This Row],[Temperature]]&lt;=28,"Normal",TRUE,"Hot")</f>
        <v>Normal</v>
      </c>
      <c r="W834" t="str" cm="1">
        <f t="array" ref="W834">_xlfn.IFS(smart_dataset[[#This Row],[Asset_Utilization]]&lt;=75,"Low",smart_dataset[[#This Row],[Asset_Utilization]]&lt;=90,"Medium",TRUE,"High")</f>
        <v>Medium</v>
      </c>
    </row>
    <row r="835" spans="1:23" hidden="1" x14ac:dyDescent="0.25">
      <c r="A835" s="1">
        <v>45604.146909722222</v>
      </c>
      <c r="B835" s="1">
        <f>INT(smart_dataset[[#This Row],[Timestamp]])</f>
        <v>45604</v>
      </c>
      <c r="C835" s="1">
        <f>MOD(smart_dataset[[#This Row],[Timestamp]],1)</f>
        <v>0.14690972222160781</v>
      </c>
      <c r="D835" s="1">
        <f>YEAR(smart_dataset[[#This Row],[Date]])</f>
        <v>2024</v>
      </c>
      <c r="E835" s="1">
        <f>MONTH(smart_dataset[[#This Row],[Timestamp]])</f>
        <v>11</v>
      </c>
      <c r="F835" t="s">
        <v>24</v>
      </c>
      <c r="G835">
        <v>65.933700000000002</v>
      </c>
      <c r="H835">
        <v>130.6003</v>
      </c>
      <c r="I835">
        <v>489</v>
      </c>
      <c r="J835" t="s">
        <v>21</v>
      </c>
      <c r="K835">
        <v>18.399999999999999</v>
      </c>
      <c r="L835">
        <v>59.9</v>
      </c>
      <c r="M835" t="s">
        <v>18</v>
      </c>
      <c r="N835">
        <v>28</v>
      </c>
      <c r="O835">
        <v>136</v>
      </c>
      <c r="P835">
        <v>9</v>
      </c>
      <c r="Q835" t="s">
        <v>27</v>
      </c>
      <c r="R835">
        <v>74.3</v>
      </c>
      <c r="S835">
        <v>272</v>
      </c>
      <c r="T835">
        <v>0</v>
      </c>
      <c r="U835" t="str" cm="1">
        <f t="array" ref="U835">_xlfn.IFS(smart_dataset[[#This Row],[Waiting_Time]]&lt;=20,"Low",smart_dataset[[#This Row],[Waiting_Time]]&lt;=40,"Medium",TRUE,"High")</f>
        <v>Medium</v>
      </c>
      <c r="V835" t="str" cm="1">
        <f t="array" ref="V835">_xlfn.IFS(smart_dataset[[#This Row],[Temperature]]&lt;=20,"Cold",smart_dataset[[#This Row],[Temperature]]&lt;=28,"Normal",TRUE,"Hot")</f>
        <v>Cold</v>
      </c>
      <c r="W835" t="str" cm="1">
        <f t="array" ref="W835">_xlfn.IFS(smart_dataset[[#This Row],[Asset_Utilization]]&lt;=75,"Low",smart_dataset[[#This Row],[Asset_Utilization]]&lt;=90,"Medium",TRUE,"High")</f>
        <v>Low</v>
      </c>
    </row>
    <row r="836" spans="1:23" hidden="1" x14ac:dyDescent="0.25">
      <c r="A836" s="1">
        <v>45562.63621527778</v>
      </c>
      <c r="B836" s="1">
        <f>INT(smart_dataset[[#This Row],[Timestamp]])</f>
        <v>45562</v>
      </c>
      <c r="C836" s="1">
        <f>MOD(smart_dataset[[#This Row],[Timestamp]],1)</f>
        <v>0.63621527778013842</v>
      </c>
      <c r="D836" s="1">
        <f>YEAR(smart_dataset[[#This Row],[Date]])</f>
        <v>2024</v>
      </c>
      <c r="E836" s="1">
        <f>MONTH(smart_dataset[[#This Row],[Timestamp]])</f>
        <v>9</v>
      </c>
      <c r="F836" t="s">
        <v>32</v>
      </c>
      <c r="G836">
        <v>-3.7749000000000001</v>
      </c>
      <c r="H836">
        <v>-110.6148</v>
      </c>
      <c r="I836">
        <v>211</v>
      </c>
      <c r="J836" t="s">
        <v>21</v>
      </c>
      <c r="K836">
        <v>19.8</v>
      </c>
      <c r="L836">
        <v>52.8</v>
      </c>
      <c r="M836" t="s">
        <v>22</v>
      </c>
      <c r="N836">
        <v>23</v>
      </c>
      <c r="O836">
        <v>423</v>
      </c>
      <c r="P836">
        <v>1</v>
      </c>
      <c r="Q836" t="s">
        <v>27</v>
      </c>
      <c r="R836">
        <v>80.599999999999994</v>
      </c>
      <c r="S836">
        <v>185</v>
      </c>
      <c r="T836">
        <v>1</v>
      </c>
      <c r="U836" t="str" cm="1">
        <f t="array" ref="U836">_xlfn.IFS(smart_dataset[[#This Row],[Waiting_Time]]&lt;=20,"Low",smart_dataset[[#This Row],[Waiting_Time]]&lt;=40,"Medium",TRUE,"High")</f>
        <v>Medium</v>
      </c>
      <c r="V836" t="str" cm="1">
        <f t="array" ref="V836">_xlfn.IFS(smart_dataset[[#This Row],[Temperature]]&lt;=20,"Cold",smart_dataset[[#This Row],[Temperature]]&lt;=28,"Normal",TRUE,"Hot")</f>
        <v>Cold</v>
      </c>
      <c r="W836" t="str" cm="1">
        <f t="array" ref="W836">_xlfn.IFS(smart_dataset[[#This Row],[Asset_Utilization]]&lt;=75,"Low",smart_dataset[[#This Row],[Asset_Utilization]]&lt;=90,"Medium",TRUE,"High")</f>
        <v>Medium</v>
      </c>
    </row>
    <row r="837" spans="1:23" hidden="1" x14ac:dyDescent="0.25">
      <c r="A837" s="1">
        <v>45591.946111111109</v>
      </c>
      <c r="B837" s="1">
        <f>INT(smart_dataset[[#This Row],[Timestamp]])</f>
        <v>45591</v>
      </c>
      <c r="C837" s="1">
        <f>MOD(smart_dataset[[#This Row],[Timestamp]],1)</f>
        <v>0.94611111110862112</v>
      </c>
      <c r="D837" s="1">
        <f>YEAR(smart_dataset[[#This Row],[Date]])</f>
        <v>2024</v>
      </c>
      <c r="E837" s="1">
        <f>MONTH(smart_dataset[[#This Row],[Timestamp]])</f>
        <v>10</v>
      </c>
      <c r="F837" t="s">
        <v>32</v>
      </c>
      <c r="G837">
        <v>-22.162700000000001</v>
      </c>
      <c r="H837">
        <v>-58.096299999999999</v>
      </c>
      <c r="I837">
        <v>454</v>
      </c>
      <c r="J837" t="s">
        <v>21</v>
      </c>
      <c r="K837">
        <v>18.899999999999999</v>
      </c>
      <c r="L837">
        <v>50.9</v>
      </c>
      <c r="M837" t="s">
        <v>18</v>
      </c>
      <c r="N837">
        <v>45</v>
      </c>
      <c r="O837">
        <v>230</v>
      </c>
      <c r="P837">
        <v>7</v>
      </c>
      <c r="Q837" t="s">
        <v>23</v>
      </c>
      <c r="R837">
        <v>70.2</v>
      </c>
      <c r="S837">
        <v>116</v>
      </c>
      <c r="T837">
        <v>0</v>
      </c>
      <c r="U837" t="str" cm="1">
        <f t="array" ref="U837">_xlfn.IFS(smart_dataset[[#This Row],[Waiting_Time]]&lt;=20,"Low",smart_dataset[[#This Row],[Waiting_Time]]&lt;=40,"Medium",TRUE,"High")</f>
        <v>High</v>
      </c>
      <c r="V837" t="str" cm="1">
        <f t="array" ref="V837">_xlfn.IFS(smart_dataset[[#This Row],[Temperature]]&lt;=20,"Cold",smart_dataset[[#This Row],[Temperature]]&lt;=28,"Normal",TRUE,"Hot")</f>
        <v>Cold</v>
      </c>
      <c r="W837" t="str" cm="1">
        <f t="array" ref="W837">_xlfn.IFS(smart_dataset[[#This Row],[Asset_Utilization]]&lt;=75,"Low",smart_dataset[[#This Row],[Asset_Utilization]]&lt;=90,"Medium",TRUE,"High")</f>
        <v>Low</v>
      </c>
    </row>
    <row r="838" spans="1:23" x14ac:dyDescent="0.25">
      <c r="A838" s="1">
        <v>45558.618321759262</v>
      </c>
      <c r="B838" s="1">
        <f>INT(smart_dataset[[#This Row],[Timestamp]])</f>
        <v>45558</v>
      </c>
      <c r="C838" s="7">
        <f>MOD(smart_dataset[[#This Row],[Timestamp]],1)</f>
        <v>0.61832175926247146</v>
      </c>
      <c r="D838">
        <f>YEAR(smart_dataset[[#This Row],[Date]])</f>
        <v>2024</v>
      </c>
      <c r="E838">
        <f>MONTH(smart_dataset[[#This Row],[Timestamp]])</f>
        <v>9</v>
      </c>
      <c r="F838" t="s">
        <v>24</v>
      </c>
      <c r="G838">
        <v>-7.7973999999999997</v>
      </c>
      <c r="H838">
        <v>-150.33670000000001</v>
      </c>
      <c r="I838">
        <v>427</v>
      </c>
      <c r="J838" t="s">
        <v>21</v>
      </c>
      <c r="K838">
        <v>23.9</v>
      </c>
      <c r="L838">
        <v>56.2</v>
      </c>
      <c r="M838" t="s">
        <v>22</v>
      </c>
      <c r="N838">
        <v>31</v>
      </c>
      <c r="O838">
        <v>443</v>
      </c>
      <c r="P838">
        <v>3</v>
      </c>
      <c r="Q838" t="s">
        <v>19</v>
      </c>
      <c r="R838">
        <v>89</v>
      </c>
      <c r="S838">
        <v>148</v>
      </c>
      <c r="T838">
        <v>1</v>
      </c>
      <c r="U838" t="str" cm="1">
        <f t="array" ref="U838">_xlfn.IFS(smart_dataset[[#This Row],[Waiting_Time]]&lt;=20,"Low",smart_dataset[[#This Row],[Waiting_Time]]&lt;=40,"Medium",TRUE,"High")</f>
        <v>Medium</v>
      </c>
      <c r="V838" t="str" cm="1">
        <f t="array" ref="V838">_xlfn.IFS(smart_dataset[[#This Row],[Temperature]]&lt;=20,"Cold",smart_dataset[[#This Row],[Temperature]]&lt;=28,"Normal",TRUE,"Hot")</f>
        <v>Normal</v>
      </c>
      <c r="W838" t="str" cm="1">
        <f t="array" ref="W838">_xlfn.IFS(smart_dataset[[#This Row],[Asset_Utilization]]&lt;=75,"Low",smart_dataset[[#This Row],[Asset_Utilization]]&lt;=90,"Medium",TRUE,"High")</f>
        <v>Medium</v>
      </c>
    </row>
    <row r="839" spans="1:23" hidden="1" x14ac:dyDescent="0.25">
      <c r="A839" s="1">
        <v>45523.346122685187</v>
      </c>
      <c r="B839" s="1">
        <f>INT(smart_dataset[[#This Row],[Timestamp]])</f>
        <v>45523</v>
      </c>
      <c r="C839" s="1">
        <f>MOD(smart_dataset[[#This Row],[Timestamp]],1)</f>
        <v>0.34612268518685596</v>
      </c>
      <c r="D839" s="1">
        <f>YEAR(smart_dataset[[#This Row],[Date]])</f>
        <v>2024</v>
      </c>
      <c r="E839" s="1">
        <f>MONTH(smart_dataset[[#This Row],[Timestamp]])</f>
        <v>8</v>
      </c>
      <c r="F839" t="s">
        <v>16</v>
      </c>
      <c r="G839">
        <v>-47.901499999999999</v>
      </c>
      <c r="H839">
        <v>-121.4183</v>
      </c>
      <c r="I839">
        <v>332</v>
      </c>
      <c r="J839" t="s">
        <v>21</v>
      </c>
      <c r="K839">
        <v>24.4</v>
      </c>
      <c r="L839">
        <v>69.5</v>
      </c>
      <c r="M839" t="s">
        <v>22</v>
      </c>
      <c r="N839">
        <v>27</v>
      </c>
      <c r="O839">
        <v>343</v>
      </c>
      <c r="P839">
        <v>5</v>
      </c>
      <c r="Q839" t="s">
        <v>27</v>
      </c>
      <c r="R839">
        <v>87.6</v>
      </c>
      <c r="S839">
        <v>235</v>
      </c>
      <c r="T839">
        <v>1</v>
      </c>
      <c r="U839" t="str" cm="1">
        <f t="array" ref="U839">_xlfn.IFS(smart_dataset[[#This Row],[Waiting_Time]]&lt;=20,"Low",smart_dataset[[#This Row],[Waiting_Time]]&lt;=40,"Medium",TRUE,"High")</f>
        <v>Medium</v>
      </c>
      <c r="V839" t="str" cm="1">
        <f t="array" ref="V839">_xlfn.IFS(smart_dataset[[#This Row],[Temperature]]&lt;=20,"Cold",smart_dataset[[#This Row],[Temperature]]&lt;=28,"Normal",TRUE,"Hot")</f>
        <v>Normal</v>
      </c>
      <c r="W839" t="str" cm="1">
        <f t="array" ref="W839">_xlfn.IFS(smart_dataset[[#This Row],[Asset_Utilization]]&lt;=75,"Low",smart_dataset[[#This Row],[Asset_Utilization]]&lt;=90,"Medium",TRUE,"High")</f>
        <v>Medium</v>
      </c>
    </row>
    <row r="840" spans="1:23" hidden="1" x14ac:dyDescent="0.25">
      <c r="A840" s="1">
        <v>45585.522766203707</v>
      </c>
      <c r="B840" s="1">
        <f>INT(smart_dataset[[#This Row],[Timestamp]])</f>
        <v>45585</v>
      </c>
      <c r="C840" s="1">
        <f>MOD(smart_dataset[[#This Row],[Timestamp]],1)</f>
        <v>0.52276620370685123</v>
      </c>
      <c r="D840" s="1">
        <f>YEAR(smart_dataset[[#This Row],[Date]])</f>
        <v>2024</v>
      </c>
      <c r="E840" s="1">
        <f>MONTH(smart_dataset[[#This Row],[Timestamp]])</f>
        <v>10</v>
      </c>
      <c r="F840" t="s">
        <v>35</v>
      </c>
      <c r="G840">
        <v>64.059399999999997</v>
      </c>
      <c r="H840">
        <v>-102.25960000000001</v>
      </c>
      <c r="I840">
        <v>195</v>
      </c>
      <c r="J840" t="s">
        <v>21</v>
      </c>
      <c r="K840">
        <v>19.3</v>
      </c>
      <c r="L840">
        <v>70.599999999999994</v>
      </c>
      <c r="M840" t="s">
        <v>22</v>
      </c>
      <c r="N840">
        <v>34</v>
      </c>
      <c r="O840">
        <v>134</v>
      </c>
      <c r="P840">
        <v>2</v>
      </c>
      <c r="Q840" t="s">
        <v>27</v>
      </c>
      <c r="R840">
        <v>98.2</v>
      </c>
      <c r="S840">
        <v>220</v>
      </c>
      <c r="T840">
        <v>1</v>
      </c>
      <c r="U840" t="str" cm="1">
        <f t="array" ref="U840">_xlfn.IFS(smart_dataset[[#This Row],[Waiting_Time]]&lt;=20,"Low",smart_dataset[[#This Row],[Waiting_Time]]&lt;=40,"Medium",TRUE,"High")</f>
        <v>Medium</v>
      </c>
      <c r="V840" t="str" cm="1">
        <f t="array" ref="V840">_xlfn.IFS(smart_dataset[[#This Row],[Temperature]]&lt;=20,"Cold",smart_dataset[[#This Row],[Temperature]]&lt;=28,"Normal",TRUE,"Hot")</f>
        <v>Cold</v>
      </c>
      <c r="W840" t="str" cm="1">
        <f t="array" ref="W840">_xlfn.IFS(smart_dataset[[#This Row],[Asset_Utilization]]&lt;=75,"Low",smart_dataset[[#This Row],[Asset_Utilization]]&lt;=90,"Medium",TRUE,"High")</f>
        <v>High</v>
      </c>
    </row>
    <row r="841" spans="1:23" hidden="1" x14ac:dyDescent="0.25">
      <c r="A841" s="1">
        <v>45500.386342592596</v>
      </c>
      <c r="B841" s="1">
        <f>INT(smart_dataset[[#This Row],[Timestamp]])</f>
        <v>45500</v>
      </c>
      <c r="C841" s="1">
        <f>MOD(smart_dataset[[#This Row],[Timestamp]],1)</f>
        <v>0.38634259259561077</v>
      </c>
      <c r="D841" s="1">
        <f>YEAR(smart_dataset[[#This Row],[Date]])</f>
        <v>2024</v>
      </c>
      <c r="E841" s="1">
        <f>MONTH(smart_dataset[[#This Row],[Timestamp]])</f>
        <v>7</v>
      </c>
      <c r="F841" t="s">
        <v>25</v>
      </c>
      <c r="G841">
        <v>38.512700000000002</v>
      </c>
      <c r="H841">
        <v>-17.387799999999999</v>
      </c>
      <c r="I841">
        <v>249</v>
      </c>
      <c r="J841" t="s">
        <v>26</v>
      </c>
      <c r="K841">
        <v>23.6</v>
      </c>
      <c r="L841">
        <v>74.3</v>
      </c>
      <c r="M841" t="s">
        <v>18</v>
      </c>
      <c r="N841">
        <v>45</v>
      </c>
      <c r="O841">
        <v>482</v>
      </c>
      <c r="P841">
        <v>7</v>
      </c>
      <c r="Q841" t="s">
        <v>31</v>
      </c>
      <c r="R841">
        <v>66.8</v>
      </c>
      <c r="S841">
        <v>246</v>
      </c>
      <c r="T841">
        <v>0</v>
      </c>
      <c r="U841" t="str" cm="1">
        <f t="array" ref="U841">_xlfn.IFS(smart_dataset[[#This Row],[Waiting_Time]]&lt;=20,"Low",smart_dataset[[#This Row],[Waiting_Time]]&lt;=40,"Medium",TRUE,"High")</f>
        <v>High</v>
      </c>
      <c r="V841" t="str" cm="1">
        <f t="array" ref="V841">_xlfn.IFS(smart_dataset[[#This Row],[Temperature]]&lt;=20,"Cold",smart_dataset[[#This Row],[Temperature]]&lt;=28,"Normal",TRUE,"Hot")</f>
        <v>Normal</v>
      </c>
      <c r="W841" t="str" cm="1">
        <f t="array" ref="W841">_xlfn.IFS(smart_dataset[[#This Row],[Asset_Utilization]]&lt;=75,"Low",smart_dataset[[#This Row],[Asset_Utilization]]&lt;=90,"Medium",TRUE,"High")</f>
        <v>Low</v>
      </c>
    </row>
    <row r="842" spans="1:23" hidden="1" x14ac:dyDescent="0.25">
      <c r="A842" s="1">
        <v>45622.476087962961</v>
      </c>
      <c r="B842" s="1">
        <f>INT(smart_dataset[[#This Row],[Timestamp]])</f>
        <v>45622</v>
      </c>
      <c r="C842" s="1">
        <f>MOD(smart_dataset[[#This Row],[Timestamp]],1)</f>
        <v>0.47608796296117362</v>
      </c>
      <c r="D842" s="1">
        <f>YEAR(smart_dataset[[#This Row],[Date]])</f>
        <v>2024</v>
      </c>
      <c r="E842" s="1">
        <f>MONTH(smart_dataset[[#This Row],[Timestamp]])</f>
        <v>11</v>
      </c>
      <c r="F842" t="s">
        <v>29</v>
      </c>
      <c r="G842">
        <v>53.447000000000003</v>
      </c>
      <c r="H842">
        <v>-162.78630000000001</v>
      </c>
      <c r="I842">
        <v>274</v>
      </c>
      <c r="J842" t="s">
        <v>17</v>
      </c>
      <c r="K842">
        <v>22</v>
      </c>
      <c r="L842">
        <v>51.1</v>
      </c>
      <c r="M842" t="s">
        <v>22</v>
      </c>
      <c r="N842">
        <v>38</v>
      </c>
      <c r="O842">
        <v>175</v>
      </c>
      <c r="P842">
        <v>4</v>
      </c>
      <c r="Q842" t="s">
        <v>27</v>
      </c>
      <c r="R842">
        <v>64</v>
      </c>
      <c r="S842">
        <v>271</v>
      </c>
      <c r="T842">
        <v>1</v>
      </c>
      <c r="U842" t="str" cm="1">
        <f t="array" ref="U842">_xlfn.IFS(smart_dataset[[#This Row],[Waiting_Time]]&lt;=20,"Low",smart_dataset[[#This Row],[Waiting_Time]]&lt;=40,"Medium",TRUE,"High")</f>
        <v>Medium</v>
      </c>
      <c r="V842" t="str" cm="1">
        <f t="array" ref="V842">_xlfn.IFS(smart_dataset[[#This Row],[Temperature]]&lt;=20,"Cold",smart_dataset[[#This Row],[Temperature]]&lt;=28,"Normal",TRUE,"Hot")</f>
        <v>Normal</v>
      </c>
      <c r="W842" t="str" cm="1">
        <f t="array" ref="W842">_xlfn.IFS(smart_dataset[[#This Row],[Asset_Utilization]]&lt;=75,"Low",smart_dataset[[#This Row],[Asset_Utilization]]&lt;=90,"Medium",TRUE,"High")</f>
        <v>Low</v>
      </c>
    </row>
    <row r="843" spans="1:23" x14ac:dyDescent="0.25">
      <c r="A843" s="1">
        <v>45435.847812499997</v>
      </c>
      <c r="B843" s="1">
        <f>INT(smart_dataset[[#This Row],[Timestamp]])</f>
        <v>45435</v>
      </c>
      <c r="C843" s="7">
        <f>MOD(smart_dataset[[#This Row],[Timestamp]],1)</f>
        <v>0.84781249999650754</v>
      </c>
      <c r="D843">
        <f>YEAR(smart_dataset[[#This Row],[Date]])</f>
        <v>2024</v>
      </c>
      <c r="E843">
        <f>MONTH(smart_dataset[[#This Row],[Timestamp]])</f>
        <v>5</v>
      </c>
      <c r="F843" t="s">
        <v>20</v>
      </c>
      <c r="G843">
        <v>77.998000000000005</v>
      </c>
      <c r="H843">
        <v>-97.004300000000001</v>
      </c>
      <c r="I843">
        <v>272</v>
      </c>
      <c r="J843" t="s">
        <v>21</v>
      </c>
      <c r="K843">
        <v>19</v>
      </c>
      <c r="L843">
        <v>72.099999999999994</v>
      </c>
      <c r="M843" t="s">
        <v>18</v>
      </c>
      <c r="N843">
        <v>32</v>
      </c>
      <c r="O843">
        <v>113</v>
      </c>
      <c r="P843">
        <v>6</v>
      </c>
      <c r="Q843" t="s">
        <v>19</v>
      </c>
      <c r="R843">
        <v>94.9</v>
      </c>
      <c r="S843">
        <v>119</v>
      </c>
      <c r="T843">
        <v>0</v>
      </c>
      <c r="U843" t="str" cm="1">
        <f t="array" ref="U843">_xlfn.IFS(smart_dataset[[#This Row],[Waiting_Time]]&lt;=20,"Low",smart_dataset[[#This Row],[Waiting_Time]]&lt;=40,"Medium",TRUE,"High")</f>
        <v>Medium</v>
      </c>
      <c r="V843" t="str" cm="1">
        <f t="array" ref="V843">_xlfn.IFS(smart_dataset[[#This Row],[Temperature]]&lt;=20,"Cold",smart_dataset[[#This Row],[Temperature]]&lt;=28,"Normal",TRUE,"Hot")</f>
        <v>Cold</v>
      </c>
      <c r="W843" t="str" cm="1">
        <f t="array" ref="W843">_xlfn.IFS(smart_dataset[[#This Row],[Asset_Utilization]]&lt;=75,"Low",smart_dataset[[#This Row],[Asset_Utilization]]&lt;=90,"Medium",TRUE,"High")</f>
        <v>High</v>
      </c>
    </row>
    <row r="844" spans="1:23" hidden="1" x14ac:dyDescent="0.25">
      <c r="A844" s="1">
        <v>45530.562002314815</v>
      </c>
      <c r="B844" s="1">
        <f>INT(smart_dataset[[#This Row],[Timestamp]])</f>
        <v>45530</v>
      </c>
      <c r="C844" s="1">
        <f>MOD(smart_dataset[[#This Row],[Timestamp]],1)</f>
        <v>0.56200231481489027</v>
      </c>
      <c r="D844" s="1">
        <f>YEAR(smart_dataset[[#This Row],[Date]])</f>
        <v>2024</v>
      </c>
      <c r="E844" s="1">
        <f>MONTH(smart_dataset[[#This Row],[Timestamp]])</f>
        <v>8</v>
      </c>
      <c r="F844" t="s">
        <v>35</v>
      </c>
      <c r="G844">
        <v>-83.1143</v>
      </c>
      <c r="H844">
        <v>74.209999999999994</v>
      </c>
      <c r="I844">
        <v>214</v>
      </c>
      <c r="J844" t="s">
        <v>17</v>
      </c>
      <c r="K844">
        <v>27</v>
      </c>
      <c r="L844">
        <v>55</v>
      </c>
      <c r="M844" t="s">
        <v>28</v>
      </c>
      <c r="N844">
        <v>18</v>
      </c>
      <c r="O844">
        <v>319</v>
      </c>
      <c r="P844">
        <v>3</v>
      </c>
      <c r="Q844" t="s">
        <v>31</v>
      </c>
      <c r="R844">
        <v>67</v>
      </c>
      <c r="S844">
        <v>127</v>
      </c>
      <c r="T844">
        <v>1</v>
      </c>
      <c r="U844" t="str" cm="1">
        <f t="array" ref="U844">_xlfn.IFS(smart_dataset[[#This Row],[Waiting_Time]]&lt;=20,"Low",smart_dataset[[#This Row],[Waiting_Time]]&lt;=40,"Medium",TRUE,"High")</f>
        <v>Low</v>
      </c>
      <c r="V844" t="str" cm="1">
        <f t="array" ref="V844">_xlfn.IFS(smart_dataset[[#This Row],[Temperature]]&lt;=20,"Cold",smart_dataset[[#This Row],[Temperature]]&lt;=28,"Normal",TRUE,"Hot")</f>
        <v>Normal</v>
      </c>
      <c r="W844" t="str" cm="1">
        <f t="array" ref="W844">_xlfn.IFS(smart_dataset[[#This Row],[Asset_Utilization]]&lt;=75,"Low",smart_dataset[[#This Row],[Asset_Utilization]]&lt;=90,"Medium",TRUE,"High")</f>
        <v>Low</v>
      </c>
    </row>
    <row r="845" spans="1:23" x14ac:dyDescent="0.25">
      <c r="A845" s="1">
        <v>45306.342407407406</v>
      </c>
      <c r="B845" s="1">
        <f>INT(smart_dataset[[#This Row],[Timestamp]])</f>
        <v>45306</v>
      </c>
      <c r="C845" s="7">
        <f>MOD(smart_dataset[[#This Row],[Timestamp]],1)</f>
        <v>0.3424074074064265</v>
      </c>
      <c r="D845">
        <f>YEAR(smart_dataset[[#This Row],[Date]])</f>
        <v>2024</v>
      </c>
      <c r="E845">
        <f>MONTH(smart_dataset[[#This Row],[Timestamp]])</f>
        <v>1</v>
      </c>
      <c r="F845" t="s">
        <v>20</v>
      </c>
      <c r="G845">
        <v>14.459300000000001</v>
      </c>
      <c r="H845">
        <v>157.92930000000001</v>
      </c>
      <c r="I845">
        <v>487</v>
      </c>
      <c r="J845" t="s">
        <v>17</v>
      </c>
      <c r="K845">
        <v>18.7</v>
      </c>
      <c r="L845">
        <v>62</v>
      </c>
      <c r="M845" t="s">
        <v>18</v>
      </c>
      <c r="N845">
        <v>35</v>
      </c>
      <c r="O845">
        <v>432</v>
      </c>
      <c r="P845">
        <v>9</v>
      </c>
      <c r="Q845" t="s">
        <v>19</v>
      </c>
      <c r="R845">
        <v>72.3</v>
      </c>
      <c r="S845">
        <v>247</v>
      </c>
      <c r="T845">
        <v>1</v>
      </c>
      <c r="U845" t="str" cm="1">
        <f t="array" ref="U845">_xlfn.IFS(smart_dataset[[#This Row],[Waiting_Time]]&lt;=20,"Low",smart_dataset[[#This Row],[Waiting_Time]]&lt;=40,"Medium",TRUE,"High")</f>
        <v>Medium</v>
      </c>
      <c r="V845" t="str" cm="1">
        <f t="array" ref="V845">_xlfn.IFS(smart_dataset[[#This Row],[Temperature]]&lt;=20,"Cold",smart_dataset[[#This Row],[Temperature]]&lt;=28,"Normal",TRUE,"Hot")</f>
        <v>Cold</v>
      </c>
      <c r="W845" t="str" cm="1">
        <f t="array" ref="W845">_xlfn.IFS(smart_dataset[[#This Row],[Asset_Utilization]]&lt;=75,"Low",smart_dataset[[#This Row],[Asset_Utilization]]&lt;=90,"Medium",TRUE,"High")</f>
        <v>Low</v>
      </c>
    </row>
    <row r="846" spans="1:23" hidden="1" x14ac:dyDescent="0.25">
      <c r="A846" s="1">
        <v>45576.437465277777</v>
      </c>
      <c r="B846" s="1">
        <f>INT(smart_dataset[[#This Row],[Timestamp]])</f>
        <v>45576</v>
      </c>
      <c r="C846" s="1">
        <f>MOD(smart_dataset[[#This Row],[Timestamp]],1)</f>
        <v>0.437465277776937</v>
      </c>
      <c r="D846" s="1">
        <f>YEAR(smart_dataset[[#This Row],[Date]])</f>
        <v>2024</v>
      </c>
      <c r="E846" s="1">
        <f>MONTH(smart_dataset[[#This Row],[Timestamp]])</f>
        <v>10</v>
      </c>
      <c r="F846" t="s">
        <v>24</v>
      </c>
      <c r="G846">
        <v>-48.605600000000003</v>
      </c>
      <c r="H846">
        <v>-11.5509</v>
      </c>
      <c r="I846">
        <v>420</v>
      </c>
      <c r="J846" t="s">
        <v>17</v>
      </c>
      <c r="K846">
        <v>29.9</v>
      </c>
      <c r="L846">
        <v>64.599999999999994</v>
      </c>
      <c r="M846" t="s">
        <v>22</v>
      </c>
      <c r="N846">
        <v>34</v>
      </c>
      <c r="O846">
        <v>282</v>
      </c>
      <c r="P846">
        <v>10</v>
      </c>
      <c r="Q846" t="s">
        <v>31</v>
      </c>
      <c r="R846">
        <v>79.400000000000006</v>
      </c>
      <c r="S846">
        <v>134</v>
      </c>
      <c r="T846">
        <v>1</v>
      </c>
      <c r="U846" t="str" cm="1">
        <f t="array" ref="U846">_xlfn.IFS(smart_dataset[[#This Row],[Waiting_Time]]&lt;=20,"Low",smart_dataset[[#This Row],[Waiting_Time]]&lt;=40,"Medium",TRUE,"High")</f>
        <v>Medium</v>
      </c>
      <c r="V846" t="str" cm="1">
        <f t="array" ref="V846">_xlfn.IFS(smart_dataset[[#This Row],[Temperature]]&lt;=20,"Cold",smart_dataset[[#This Row],[Temperature]]&lt;=28,"Normal",TRUE,"Hot")</f>
        <v>Hot</v>
      </c>
      <c r="W846" t="str" cm="1">
        <f t="array" ref="W846">_xlfn.IFS(smart_dataset[[#This Row],[Asset_Utilization]]&lt;=75,"Low",smart_dataset[[#This Row],[Asset_Utilization]]&lt;=90,"Medium",TRUE,"High")</f>
        <v>Medium</v>
      </c>
    </row>
    <row r="847" spans="1:23" hidden="1" x14ac:dyDescent="0.25">
      <c r="A847" s="1">
        <v>45429.496504629627</v>
      </c>
      <c r="B847" s="1">
        <f>INT(smart_dataset[[#This Row],[Timestamp]])</f>
        <v>45429</v>
      </c>
      <c r="C847" s="1">
        <f>MOD(smart_dataset[[#This Row],[Timestamp]],1)</f>
        <v>0.49650462962745223</v>
      </c>
      <c r="D847" s="1">
        <f>YEAR(smart_dataset[[#This Row],[Date]])</f>
        <v>2024</v>
      </c>
      <c r="E847" s="1">
        <f>MONTH(smart_dataset[[#This Row],[Timestamp]])</f>
        <v>5</v>
      </c>
      <c r="F847" t="s">
        <v>34</v>
      </c>
      <c r="G847">
        <v>-11.6172</v>
      </c>
      <c r="H847">
        <v>47.738999999999997</v>
      </c>
      <c r="I847">
        <v>135</v>
      </c>
      <c r="J847" t="s">
        <v>17</v>
      </c>
      <c r="K847">
        <v>24.7</v>
      </c>
      <c r="L847">
        <v>67.099999999999994</v>
      </c>
      <c r="M847" t="s">
        <v>22</v>
      </c>
      <c r="N847">
        <v>26</v>
      </c>
      <c r="O847">
        <v>380</v>
      </c>
      <c r="P847">
        <v>7</v>
      </c>
      <c r="Q847" t="s">
        <v>27</v>
      </c>
      <c r="R847">
        <v>64.599999999999994</v>
      </c>
      <c r="S847">
        <v>109</v>
      </c>
      <c r="T847">
        <v>1</v>
      </c>
      <c r="U847" t="str" cm="1">
        <f t="array" ref="U847">_xlfn.IFS(smart_dataset[[#This Row],[Waiting_Time]]&lt;=20,"Low",smart_dataset[[#This Row],[Waiting_Time]]&lt;=40,"Medium",TRUE,"High")</f>
        <v>Medium</v>
      </c>
      <c r="V847" t="str" cm="1">
        <f t="array" ref="V847">_xlfn.IFS(smart_dataset[[#This Row],[Temperature]]&lt;=20,"Cold",smart_dataset[[#This Row],[Temperature]]&lt;=28,"Normal",TRUE,"Hot")</f>
        <v>Normal</v>
      </c>
      <c r="W847" t="str" cm="1">
        <f t="array" ref="W847">_xlfn.IFS(smart_dataset[[#This Row],[Asset_Utilization]]&lt;=75,"Low",smart_dataset[[#This Row],[Asset_Utilization]]&lt;=90,"Medium",TRUE,"High")</f>
        <v>Low</v>
      </c>
    </row>
    <row r="848" spans="1:23" hidden="1" x14ac:dyDescent="0.25">
      <c r="A848" s="1">
        <v>45520.933125000003</v>
      </c>
      <c r="B848" s="1">
        <f>INT(smart_dataset[[#This Row],[Timestamp]])</f>
        <v>45520</v>
      </c>
      <c r="C848" s="1">
        <f>MOD(smart_dataset[[#This Row],[Timestamp]],1)</f>
        <v>0.93312500000320142</v>
      </c>
      <c r="D848" s="1">
        <f>YEAR(smart_dataset[[#This Row],[Date]])</f>
        <v>2024</v>
      </c>
      <c r="E848" s="1">
        <f>MONTH(smart_dataset[[#This Row],[Timestamp]])</f>
        <v>8</v>
      </c>
      <c r="F848" t="s">
        <v>35</v>
      </c>
      <c r="G848">
        <v>17.7318</v>
      </c>
      <c r="H848">
        <v>-166.4083</v>
      </c>
      <c r="I848">
        <v>269</v>
      </c>
      <c r="J848" t="s">
        <v>21</v>
      </c>
      <c r="K848">
        <v>25.2</v>
      </c>
      <c r="L848">
        <v>63.5</v>
      </c>
      <c r="M848" t="s">
        <v>18</v>
      </c>
      <c r="N848">
        <v>19</v>
      </c>
      <c r="O848">
        <v>262</v>
      </c>
      <c r="P848">
        <v>7</v>
      </c>
      <c r="Q848" t="s">
        <v>23</v>
      </c>
      <c r="R848">
        <v>71.599999999999994</v>
      </c>
      <c r="S848">
        <v>295</v>
      </c>
      <c r="T848">
        <v>0</v>
      </c>
      <c r="U848" t="str" cm="1">
        <f t="array" ref="U848">_xlfn.IFS(smart_dataset[[#This Row],[Waiting_Time]]&lt;=20,"Low",smart_dataset[[#This Row],[Waiting_Time]]&lt;=40,"Medium",TRUE,"High")</f>
        <v>Low</v>
      </c>
      <c r="V848" t="str" cm="1">
        <f t="array" ref="V848">_xlfn.IFS(smart_dataset[[#This Row],[Temperature]]&lt;=20,"Cold",smart_dataset[[#This Row],[Temperature]]&lt;=28,"Normal",TRUE,"Hot")</f>
        <v>Normal</v>
      </c>
      <c r="W848" t="str" cm="1">
        <f t="array" ref="W848">_xlfn.IFS(smart_dataset[[#This Row],[Asset_Utilization]]&lt;=75,"Low",smart_dataset[[#This Row],[Asset_Utilization]]&lt;=90,"Medium",TRUE,"High")</f>
        <v>Low</v>
      </c>
    </row>
    <row r="849" spans="1:23" hidden="1" x14ac:dyDescent="0.25">
      <c r="A849" s="1">
        <v>45526.375439814816</v>
      </c>
      <c r="B849" s="1">
        <f>INT(smart_dataset[[#This Row],[Timestamp]])</f>
        <v>45526</v>
      </c>
      <c r="C849" s="1">
        <f>MOD(smart_dataset[[#This Row],[Timestamp]],1)</f>
        <v>0.37543981481576338</v>
      </c>
      <c r="D849" s="1">
        <f>YEAR(smart_dataset[[#This Row],[Date]])</f>
        <v>2024</v>
      </c>
      <c r="E849" s="1">
        <f>MONTH(smart_dataset[[#This Row],[Timestamp]])</f>
        <v>8</v>
      </c>
      <c r="F849" t="s">
        <v>30</v>
      </c>
      <c r="G849">
        <v>-31.495799999999999</v>
      </c>
      <c r="H849">
        <v>-37.593200000000003</v>
      </c>
      <c r="I849">
        <v>419</v>
      </c>
      <c r="J849" t="s">
        <v>26</v>
      </c>
      <c r="K849">
        <v>21</v>
      </c>
      <c r="L849">
        <v>74.2</v>
      </c>
      <c r="M849" t="s">
        <v>28</v>
      </c>
      <c r="N849">
        <v>29</v>
      </c>
      <c r="O849">
        <v>386</v>
      </c>
      <c r="P849">
        <v>9</v>
      </c>
      <c r="Q849" t="s">
        <v>27</v>
      </c>
      <c r="R849">
        <v>95.1</v>
      </c>
      <c r="S849">
        <v>186</v>
      </c>
      <c r="T849">
        <v>0</v>
      </c>
      <c r="U849" t="str" cm="1">
        <f t="array" ref="U849">_xlfn.IFS(smart_dataset[[#This Row],[Waiting_Time]]&lt;=20,"Low",smart_dataset[[#This Row],[Waiting_Time]]&lt;=40,"Medium",TRUE,"High")</f>
        <v>Medium</v>
      </c>
      <c r="V849" t="str" cm="1">
        <f t="array" ref="V849">_xlfn.IFS(smart_dataset[[#This Row],[Temperature]]&lt;=20,"Cold",smart_dataset[[#This Row],[Temperature]]&lt;=28,"Normal",TRUE,"Hot")</f>
        <v>Normal</v>
      </c>
      <c r="W849" t="str" cm="1">
        <f t="array" ref="W849">_xlfn.IFS(smart_dataset[[#This Row],[Asset_Utilization]]&lt;=75,"Low",smart_dataset[[#This Row],[Asset_Utilization]]&lt;=90,"Medium",TRUE,"High")</f>
        <v>High</v>
      </c>
    </row>
    <row r="850" spans="1:23" x14ac:dyDescent="0.25">
      <c r="A850" s="1">
        <v>45537.69222222222</v>
      </c>
      <c r="B850" s="1">
        <f>INT(smart_dataset[[#This Row],[Timestamp]])</f>
        <v>45537</v>
      </c>
      <c r="C850" s="7">
        <f>MOD(smart_dataset[[#This Row],[Timestamp]],1)</f>
        <v>0.69222222222015262</v>
      </c>
      <c r="D850">
        <f>YEAR(smart_dataset[[#This Row],[Date]])</f>
        <v>2024</v>
      </c>
      <c r="E850">
        <f>MONTH(smart_dataset[[#This Row],[Timestamp]])</f>
        <v>9</v>
      </c>
      <c r="F850" t="s">
        <v>20</v>
      </c>
      <c r="G850">
        <v>79.689599999999999</v>
      </c>
      <c r="H850">
        <v>84.117500000000007</v>
      </c>
      <c r="I850">
        <v>407</v>
      </c>
      <c r="J850" t="s">
        <v>26</v>
      </c>
      <c r="K850">
        <v>23.5</v>
      </c>
      <c r="L850">
        <v>77.7</v>
      </c>
      <c r="M850" t="s">
        <v>18</v>
      </c>
      <c r="N850">
        <v>55</v>
      </c>
      <c r="O850">
        <v>351</v>
      </c>
      <c r="P850">
        <v>6</v>
      </c>
      <c r="Q850" t="s">
        <v>19</v>
      </c>
      <c r="R850">
        <v>68.400000000000006</v>
      </c>
      <c r="S850">
        <v>168</v>
      </c>
      <c r="T850">
        <v>0</v>
      </c>
      <c r="U850" t="str" cm="1">
        <f t="array" ref="U850">_xlfn.IFS(smart_dataset[[#This Row],[Waiting_Time]]&lt;=20,"Low",smart_dataset[[#This Row],[Waiting_Time]]&lt;=40,"Medium",TRUE,"High")</f>
        <v>High</v>
      </c>
      <c r="V850" t="str" cm="1">
        <f t="array" ref="V850">_xlfn.IFS(smart_dataset[[#This Row],[Temperature]]&lt;=20,"Cold",smart_dataset[[#This Row],[Temperature]]&lt;=28,"Normal",TRUE,"Hot")</f>
        <v>Normal</v>
      </c>
      <c r="W850" t="str" cm="1">
        <f t="array" ref="W850">_xlfn.IFS(smart_dataset[[#This Row],[Asset_Utilization]]&lt;=75,"Low",smart_dataset[[#This Row],[Asset_Utilization]]&lt;=90,"Medium",TRUE,"High")</f>
        <v>Low</v>
      </c>
    </row>
    <row r="851" spans="1:23" x14ac:dyDescent="0.25">
      <c r="A851" s="1">
        <v>45642.502754629626</v>
      </c>
      <c r="B851" s="1">
        <f>INT(smart_dataset[[#This Row],[Timestamp]])</f>
        <v>45642</v>
      </c>
      <c r="C851" s="7">
        <f>MOD(smart_dataset[[#This Row],[Timestamp]],1)</f>
        <v>0.50275462962599704</v>
      </c>
      <c r="D851">
        <f>YEAR(smart_dataset[[#This Row],[Date]])</f>
        <v>2024</v>
      </c>
      <c r="E851">
        <f>MONTH(smart_dataset[[#This Row],[Timestamp]])</f>
        <v>12</v>
      </c>
      <c r="F851" t="s">
        <v>25</v>
      </c>
      <c r="G851">
        <v>-79.533100000000005</v>
      </c>
      <c r="H851">
        <v>-178.66579999999999</v>
      </c>
      <c r="I851">
        <v>331</v>
      </c>
      <c r="J851" t="s">
        <v>21</v>
      </c>
      <c r="K851">
        <v>24.2</v>
      </c>
      <c r="L851">
        <v>74</v>
      </c>
      <c r="M851" t="s">
        <v>18</v>
      </c>
      <c r="N851">
        <v>60</v>
      </c>
      <c r="O851">
        <v>225</v>
      </c>
      <c r="P851">
        <v>8</v>
      </c>
      <c r="Q851" t="s">
        <v>19</v>
      </c>
      <c r="R851">
        <v>61</v>
      </c>
      <c r="S851">
        <v>142</v>
      </c>
      <c r="T851">
        <v>0</v>
      </c>
      <c r="U851" t="str" cm="1">
        <f t="array" ref="U851">_xlfn.IFS(smart_dataset[[#This Row],[Waiting_Time]]&lt;=20,"Low",smart_dataset[[#This Row],[Waiting_Time]]&lt;=40,"Medium",TRUE,"High")</f>
        <v>High</v>
      </c>
      <c r="V851" t="str" cm="1">
        <f t="array" ref="V851">_xlfn.IFS(smart_dataset[[#This Row],[Temperature]]&lt;=20,"Cold",smart_dataset[[#This Row],[Temperature]]&lt;=28,"Normal",TRUE,"Hot")</f>
        <v>Normal</v>
      </c>
      <c r="W851" t="str" cm="1">
        <f t="array" ref="W851">_xlfn.IFS(smart_dataset[[#This Row],[Asset_Utilization]]&lt;=75,"Low",smart_dataset[[#This Row],[Asset_Utilization]]&lt;=90,"Medium",TRUE,"High")</f>
        <v>Low</v>
      </c>
    </row>
    <row r="852" spans="1:23" hidden="1" x14ac:dyDescent="0.25">
      <c r="A852" s="1">
        <v>45349.665706018517</v>
      </c>
      <c r="B852" s="1">
        <f>INT(smart_dataset[[#This Row],[Timestamp]])</f>
        <v>45349</v>
      </c>
      <c r="C852" s="1">
        <f>MOD(smart_dataset[[#This Row],[Timestamp]],1)</f>
        <v>0.66570601851708489</v>
      </c>
      <c r="D852" s="1">
        <f>YEAR(smart_dataset[[#This Row],[Date]])</f>
        <v>2024</v>
      </c>
      <c r="E852" s="1">
        <f>MONTH(smart_dataset[[#This Row],[Timestamp]])</f>
        <v>2</v>
      </c>
      <c r="F852" t="s">
        <v>35</v>
      </c>
      <c r="G852">
        <v>63.954900000000002</v>
      </c>
      <c r="H852">
        <v>-128.75810000000001</v>
      </c>
      <c r="I852">
        <v>444</v>
      </c>
      <c r="J852" t="s">
        <v>21</v>
      </c>
      <c r="K852">
        <v>20.8</v>
      </c>
      <c r="L852">
        <v>63.9</v>
      </c>
      <c r="M852" t="s">
        <v>22</v>
      </c>
      <c r="N852">
        <v>38</v>
      </c>
      <c r="O852">
        <v>203</v>
      </c>
      <c r="P852">
        <v>1</v>
      </c>
      <c r="Q852" t="s">
        <v>23</v>
      </c>
      <c r="R852">
        <v>73.7</v>
      </c>
      <c r="S852">
        <v>201</v>
      </c>
      <c r="T852">
        <v>1</v>
      </c>
      <c r="U852" t="str" cm="1">
        <f t="array" ref="U852">_xlfn.IFS(smart_dataset[[#This Row],[Waiting_Time]]&lt;=20,"Low",smart_dataset[[#This Row],[Waiting_Time]]&lt;=40,"Medium",TRUE,"High")</f>
        <v>Medium</v>
      </c>
      <c r="V852" t="str" cm="1">
        <f t="array" ref="V852">_xlfn.IFS(smart_dataset[[#This Row],[Temperature]]&lt;=20,"Cold",smart_dataset[[#This Row],[Temperature]]&lt;=28,"Normal",TRUE,"Hot")</f>
        <v>Normal</v>
      </c>
      <c r="W852" t="str" cm="1">
        <f t="array" ref="W852">_xlfn.IFS(smart_dataset[[#This Row],[Asset_Utilization]]&lt;=75,"Low",smart_dataset[[#This Row],[Asset_Utilization]]&lt;=90,"Medium",TRUE,"High")</f>
        <v>Low</v>
      </c>
    </row>
    <row r="853" spans="1:23" x14ac:dyDescent="0.25">
      <c r="A853" s="1">
        <v>45581.519317129627</v>
      </c>
      <c r="B853" s="1">
        <f>INT(smart_dataset[[#This Row],[Timestamp]])</f>
        <v>45581</v>
      </c>
      <c r="C853" s="7">
        <f>MOD(smart_dataset[[#This Row],[Timestamp]],1)</f>
        <v>0.51931712962687016</v>
      </c>
      <c r="D853">
        <f>YEAR(smart_dataset[[#This Row],[Date]])</f>
        <v>2024</v>
      </c>
      <c r="E853">
        <f>MONTH(smart_dataset[[#This Row],[Timestamp]])</f>
        <v>10</v>
      </c>
      <c r="F853" t="s">
        <v>35</v>
      </c>
      <c r="G853">
        <v>61.152200000000001</v>
      </c>
      <c r="H853">
        <v>5.9286000000000003</v>
      </c>
      <c r="I853">
        <v>319</v>
      </c>
      <c r="J853" t="s">
        <v>21</v>
      </c>
      <c r="K853">
        <v>29.1</v>
      </c>
      <c r="L853">
        <v>61.3</v>
      </c>
      <c r="M853" t="s">
        <v>18</v>
      </c>
      <c r="N853">
        <v>24</v>
      </c>
      <c r="O853">
        <v>392</v>
      </c>
      <c r="P853">
        <v>7</v>
      </c>
      <c r="Q853" t="s">
        <v>19</v>
      </c>
      <c r="R853">
        <v>72.8</v>
      </c>
      <c r="S853">
        <v>123</v>
      </c>
      <c r="T853">
        <v>0</v>
      </c>
      <c r="U853" t="str" cm="1">
        <f t="array" ref="U853">_xlfn.IFS(smart_dataset[[#This Row],[Waiting_Time]]&lt;=20,"Low",smart_dataset[[#This Row],[Waiting_Time]]&lt;=40,"Medium",TRUE,"High")</f>
        <v>Medium</v>
      </c>
      <c r="V853" t="str" cm="1">
        <f t="array" ref="V853">_xlfn.IFS(smart_dataset[[#This Row],[Temperature]]&lt;=20,"Cold",smart_dataset[[#This Row],[Temperature]]&lt;=28,"Normal",TRUE,"Hot")</f>
        <v>Hot</v>
      </c>
      <c r="W853" t="str" cm="1">
        <f t="array" ref="W853">_xlfn.IFS(smart_dataset[[#This Row],[Asset_Utilization]]&lt;=75,"Low",smart_dataset[[#This Row],[Asset_Utilization]]&lt;=90,"Medium",TRUE,"High")</f>
        <v>Low</v>
      </c>
    </row>
    <row r="854" spans="1:23" hidden="1" x14ac:dyDescent="0.25">
      <c r="A854" s="1">
        <v>45409.50204861111</v>
      </c>
      <c r="B854" s="1">
        <f>INT(smart_dataset[[#This Row],[Timestamp]])</f>
        <v>45409</v>
      </c>
      <c r="C854" s="1">
        <f>MOD(smart_dataset[[#This Row],[Timestamp]],1)</f>
        <v>0.50204861110978527</v>
      </c>
      <c r="D854" s="1">
        <f>YEAR(smart_dataset[[#This Row],[Date]])</f>
        <v>2024</v>
      </c>
      <c r="E854" s="1">
        <f>MONTH(smart_dataset[[#This Row],[Timestamp]])</f>
        <v>4</v>
      </c>
      <c r="F854" t="s">
        <v>24</v>
      </c>
      <c r="G854">
        <v>-26.391300000000001</v>
      </c>
      <c r="H854">
        <v>-155.6326</v>
      </c>
      <c r="I854">
        <v>402</v>
      </c>
      <c r="J854" t="s">
        <v>26</v>
      </c>
      <c r="K854">
        <v>21</v>
      </c>
      <c r="L854">
        <v>66.3</v>
      </c>
      <c r="M854" t="s">
        <v>28</v>
      </c>
      <c r="N854">
        <v>52</v>
      </c>
      <c r="O854">
        <v>306</v>
      </c>
      <c r="P854">
        <v>10</v>
      </c>
      <c r="Q854" t="s">
        <v>23</v>
      </c>
      <c r="R854">
        <v>70.099999999999994</v>
      </c>
      <c r="S854">
        <v>251</v>
      </c>
      <c r="T854">
        <v>0</v>
      </c>
      <c r="U854" t="str" cm="1">
        <f t="array" ref="U854">_xlfn.IFS(smart_dataset[[#This Row],[Waiting_Time]]&lt;=20,"Low",smart_dataset[[#This Row],[Waiting_Time]]&lt;=40,"Medium",TRUE,"High")</f>
        <v>High</v>
      </c>
      <c r="V854" t="str" cm="1">
        <f t="array" ref="V854">_xlfn.IFS(smart_dataset[[#This Row],[Temperature]]&lt;=20,"Cold",smart_dataset[[#This Row],[Temperature]]&lt;=28,"Normal",TRUE,"Hot")</f>
        <v>Normal</v>
      </c>
      <c r="W854" t="str" cm="1">
        <f t="array" ref="W854">_xlfn.IFS(smart_dataset[[#This Row],[Asset_Utilization]]&lt;=75,"Low",smart_dataset[[#This Row],[Asset_Utilization]]&lt;=90,"Medium",TRUE,"High")</f>
        <v>Low</v>
      </c>
    </row>
    <row r="855" spans="1:23" hidden="1" x14ac:dyDescent="0.25">
      <c r="A855" s="1">
        <v>45511.350740740738</v>
      </c>
      <c r="B855" s="1">
        <f>INT(smart_dataset[[#This Row],[Timestamp]])</f>
        <v>45511</v>
      </c>
      <c r="C855" s="1">
        <f>MOD(smart_dataset[[#This Row],[Timestamp]],1)</f>
        <v>0.35074074073781958</v>
      </c>
      <c r="D855" s="1">
        <f>YEAR(smart_dataset[[#This Row],[Date]])</f>
        <v>2024</v>
      </c>
      <c r="E855" s="1">
        <f>MONTH(smart_dataset[[#This Row],[Timestamp]])</f>
        <v>8</v>
      </c>
      <c r="F855" t="s">
        <v>24</v>
      </c>
      <c r="G855">
        <v>14.8779</v>
      </c>
      <c r="H855">
        <v>-139.1721</v>
      </c>
      <c r="I855">
        <v>269</v>
      </c>
      <c r="J855" t="s">
        <v>17</v>
      </c>
      <c r="K855">
        <v>19</v>
      </c>
      <c r="L855">
        <v>73.599999999999994</v>
      </c>
      <c r="M855" t="s">
        <v>28</v>
      </c>
      <c r="N855">
        <v>50</v>
      </c>
      <c r="O855">
        <v>307</v>
      </c>
      <c r="P855">
        <v>3</v>
      </c>
      <c r="Q855" t="s">
        <v>31</v>
      </c>
      <c r="R855">
        <v>68.099999999999994</v>
      </c>
      <c r="S855">
        <v>102</v>
      </c>
      <c r="T855">
        <v>1</v>
      </c>
      <c r="U855" t="str" cm="1">
        <f t="array" ref="U855">_xlfn.IFS(smart_dataset[[#This Row],[Waiting_Time]]&lt;=20,"Low",smart_dataset[[#This Row],[Waiting_Time]]&lt;=40,"Medium",TRUE,"High")</f>
        <v>High</v>
      </c>
      <c r="V855" t="str" cm="1">
        <f t="array" ref="V855">_xlfn.IFS(smart_dataset[[#This Row],[Temperature]]&lt;=20,"Cold",smart_dataset[[#This Row],[Temperature]]&lt;=28,"Normal",TRUE,"Hot")</f>
        <v>Cold</v>
      </c>
      <c r="W855" t="str" cm="1">
        <f t="array" ref="W855">_xlfn.IFS(smart_dataset[[#This Row],[Asset_Utilization]]&lt;=75,"Low",smart_dataset[[#This Row],[Asset_Utilization]]&lt;=90,"Medium",TRUE,"High")</f>
        <v>Low</v>
      </c>
    </row>
    <row r="856" spans="1:23" x14ac:dyDescent="0.25">
      <c r="A856" s="1">
        <v>45496.966041666667</v>
      </c>
      <c r="B856" s="1">
        <f>INT(smart_dataset[[#This Row],[Timestamp]])</f>
        <v>45496</v>
      </c>
      <c r="C856" s="7">
        <f>MOD(smart_dataset[[#This Row],[Timestamp]],1)</f>
        <v>0.96604166666656965</v>
      </c>
      <c r="D856">
        <f>YEAR(smart_dataset[[#This Row],[Date]])</f>
        <v>2024</v>
      </c>
      <c r="E856">
        <f>MONTH(smart_dataset[[#This Row],[Timestamp]])</f>
        <v>7</v>
      </c>
      <c r="F856" t="s">
        <v>24</v>
      </c>
      <c r="G856">
        <v>49.641800000000003</v>
      </c>
      <c r="H856">
        <v>-121.3862</v>
      </c>
      <c r="I856">
        <v>318</v>
      </c>
      <c r="J856" t="s">
        <v>21</v>
      </c>
      <c r="K856">
        <v>22.5</v>
      </c>
      <c r="L856">
        <v>59.3</v>
      </c>
      <c r="M856" t="s">
        <v>22</v>
      </c>
      <c r="N856">
        <v>18</v>
      </c>
      <c r="O856">
        <v>331</v>
      </c>
      <c r="P856">
        <v>9</v>
      </c>
      <c r="Q856" t="s">
        <v>19</v>
      </c>
      <c r="R856">
        <v>97.3</v>
      </c>
      <c r="S856">
        <v>273</v>
      </c>
      <c r="T856">
        <v>1</v>
      </c>
      <c r="U856" t="str" cm="1">
        <f t="array" ref="U856">_xlfn.IFS(smart_dataset[[#This Row],[Waiting_Time]]&lt;=20,"Low",smart_dataset[[#This Row],[Waiting_Time]]&lt;=40,"Medium",TRUE,"High")</f>
        <v>Low</v>
      </c>
      <c r="V856" t="str" cm="1">
        <f t="array" ref="V856">_xlfn.IFS(smart_dataset[[#This Row],[Temperature]]&lt;=20,"Cold",smart_dataset[[#This Row],[Temperature]]&lt;=28,"Normal",TRUE,"Hot")</f>
        <v>Normal</v>
      </c>
      <c r="W856" t="str" cm="1">
        <f t="array" ref="W856">_xlfn.IFS(smart_dataset[[#This Row],[Asset_Utilization]]&lt;=75,"Low",smart_dataset[[#This Row],[Asset_Utilization]]&lt;=90,"Medium",TRUE,"High")</f>
        <v>High</v>
      </c>
    </row>
    <row r="857" spans="1:23" hidden="1" x14ac:dyDescent="0.25">
      <c r="A857" s="1">
        <v>45558.105462962965</v>
      </c>
      <c r="B857" s="1">
        <f>INT(smart_dataset[[#This Row],[Timestamp]])</f>
        <v>45558</v>
      </c>
      <c r="C857" s="1">
        <f>MOD(smart_dataset[[#This Row],[Timestamp]],1)</f>
        <v>0.10546296296524815</v>
      </c>
      <c r="D857" s="1">
        <f>YEAR(smart_dataset[[#This Row],[Date]])</f>
        <v>2024</v>
      </c>
      <c r="E857" s="1">
        <f>MONTH(smart_dataset[[#This Row],[Timestamp]])</f>
        <v>9</v>
      </c>
      <c r="F857" t="s">
        <v>33</v>
      </c>
      <c r="G857">
        <v>-48.665399999999998</v>
      </c>
      <c r="H857">
        <v>115.3562</v>
      </c>
      <c r="I857">
        <v>388</v>
      </c>
      <c r="J857" t="s">
        <v>26</v>
      </c>
      <c r="K857">
        <v>24.6</v>
      </c>
      <c r="L857">
        <v>74.3</v>
      </c>
      <c r="M857" t="s">
        <v>18</v>
      </c>
      <c r="N857">
        <v>29</v>
      </c>
      <c r="O857">
        <v>461</v>
      </c>
      <c r="P857">
        <v>1</v>
      </c>
      <c r="Q857" t="s">
        <v>31</v>
      </c>
      <c r="R857">
        <v>68.099999999999994</v>
      </c>
      <c r="S857">
        <v>159</v>
      </c>
      <c r="T857">
        <v>0</v>
      </c>
      <c r="U857" t="str" cm="1">
        <f t="array" ref="U857">_xlfn.IFS(smart_dataset[[#This Row],[Waiting_Time]]&lt;=20,"Low",smart_dataset[[#This Row],[Waiting_Time]]&lt;=40,"Medium",TRUE,"High")</f>
        <v>Medium</v>
      </c>
      <c r="V857" t="str" cm="1">
        <f t="array" ref="V857">_xlfn.IFS(smart_dataset[[#This Row],[Temperature]]&lt;=20,"Cold",smart_dataset[[#This Row],[Temperature]]&lt;=28,"Normal",TRUE,"Hot")</f>
        <v>Normal</v>
      </c>
      <c r="W857" t="str" cm="1">
        <f t="array" ref="W857">_xlfn.IFS(smart_dataset[[#This Row],[Asset_Utilization]]&lt;=75,"Low",smart_dataset[[#This Row],[Asset_Utilization]]&lt;=90,"Medium",TRUE,"High")</f>
        <v>Low</v>
      </c>
    </row>
    <row r="858" spans="1:23" hidden="1" x14ac:dyDescent="0.25">
      <c r="A858" s="1">
        <v>45583.274259259262</v>
      </c>
      <c r="B858" s="1">
        <f>INT(smart_dataset[[#This Row],[Timestamp]])</f>
        <v>45583</v>
      </c>
      <c r="C858" s="1">
        <f>MOD(smart_dataset[[#This Row],[Timestamp]],1)</f>
        <v>0.27425925926218042</v>
      </c>
      <c r="D858" s="1">
        <f>YEAR(smart_dataset[[#This Row],[Date]])</f>
        <v>2024</v>
      </c>
      <c r="E858" s="1">
        <f>MONTH(smart_dataset[[#This Row],[Timestamp]])</f>
        <v>10</v>
      </c>
      <c r="F858" t="s">
        <v>20</v>
      </c>
      <c r="G858">
        <v>38.046999999999997</v>
      </c>
      <c r="H858">
        <v>-80.044600000000003</v>
      </c>
      <c r="I858">
        <v>166</v>
      </c>
      <c r="J858" t="s">
        <v>17</v>
      </c>
      <c r="K858">
        <v>26.9</v>
      </c>
      <c r="L858">
        <v>58.3</v>
      </c>
      <c r="M858" t="s">
        <v>28</v>
      </c>
      <c r="N858">
        <v>29</v>
      </c>
      <c r="O858">
        <v>283</v>
      </c>
      <c r="P858">
        <v>3</v>
      </c>
      <c r="Q858" t="s">
        <v>23</v>
      </c>
      <c r="R858">
        <v>64.099999999999994</v>
      </c>
      <c r="S858">
        <v>113</v>
      </c>
      <c r="T858">
        <v>1</v>
      </c>
      <c r="U858" t="str" cm="1">
        <f t="array" ref="U858">_xlfn.IFS(smart_dataset[[#This Row],[Waiting_Time]]&lt;=20,"Low",smart_dataset[[#This Row],[Waiting_Time]]&lt;=40,"Medium",TRUE,"High")</f>
        <v>Medium</v>
      </c>
      <c r="V858" t="str" cm="1">
        <f t="array" ref="V858">_xlfn.IFS(smart_dataset[[#This Row],[Temperature]]&lt;=20,"Cold",smart_dataset[[#This Row],[Temperature]]&lt;=28,"Normal",TRUE,"Hot")</f>
        <v>Normal</v>
      </c>
      <c r="W858" t="str" cm="1">
        <f t="array" ref="W858">_xlfn.IFS(smart_dataset[[#This Row],[Asset_Utilization]]&lt;=75,"Low",smart_dataset[[#This Row],[Asset_Utilization]]&lt;=90,"Medium",TRUE,"High")</f>
        <v>Low</v>
      </c>
    </row>
    <row r="859" spans="1:23" hidden="1" x14ac:dyDescent="0.25">
      <c r="A859" s="1">
        <v>45405.33803240741</v>
      </c>
      <c r="B859" s="1">
        <f>INT(smart_dataset[[#This Row],[Timestamp]])</f>
        <v>45405</v>
      </c>
      <c r="C859" s="1">
        <f>MOD(smart_dataset[[#This Row],[Timestamp]],1)</f>
        <v>0.33803240740962792</v>
      </c>
      <c r="D859" s="1">
        <f>YEAR(smart_dataset[[#This Row],[Date]])</f>
        <v>2024</v>
      </c>
      <c r="E859" s="1">
        <f>MONTH(smart_dataset[[#This Row],[Timestamp]])</f>
        <v>4</v>
      </c>
      <c r="F859" t="s">
        <v>24</v>
      </c>
      <c r="G859">
        <v>9.8933999999999997</v>
      </c>
      <c r="H859">
        <v>13.902799999999999</v>
      </c>
      <c r="I859">
        <v>338</v>
      </c>
      <c r="J859" t="s">
        <v>26</v>
      </c>
      <c r="K859">
        <v>28.7</v>
      </c>
      <c r="L859">
        <v>65.599999999999994</v>
      </c>
      <c r="M859" t="s">
        <v>22</v>
      </c>
      <c r="N859">
        <v>45</v>
      </c>
      <c r="O859">
        <v>348</v>
      </c>
      <c r="P859">
        <v>8</v>
      </c>
      <c r="Q859" t="s">
        <v>27</v>
      </c>
      <c r="R859">
        <v>96.1</v>
      </c>
      <c r="S859">
        <v>230</v>
      </c>
      <c r="T859">
        <v>1</v>
      </c>
      <c r="U859" t="str" cm="1">
        <f t="array" ref="U859">_xlfn.IFS(smart_dataset[[#This Row],[Waiting_Time]]&lt;=20,"Low",smart_dataset[[#This Row],[Waiting_Time]]&lt;=40,"Medium",TRUE,"High")</f>
        <v>High</v>
      </c>
      <c r="V859" t="str" cm="1">
        <f t="array" ref="V859">_xlfn.IFS(smart_dataset[[#This Row],[Temperature]]&lt;=20,"Cold",smart_dataset[[#This Row],[Temperature]]&lt;=28,"Normal",TRUE,"Hot")</f>
        <v>Hot</v>
      </c>
      <c r="W859" t="str" cm="1">
        <f t="array" ref="W859">_xlfn.IFS(smart_dataset[[#This Row],[Asset_Utilization]]&lt;=75,"Low",smart_dataset[[#This Row],[Asset_Utilization]]&lt;=90,"Medium",TRUE,"High")</f>
        <v>High</v>
      </c>
    </row>
    <row r="860" spans="1:23" x14ac:dyDescent="0.25">
      <c r="A860" s="1">
        <v>45337.819398148145</v>
      </c>
      <c r="B860" s="1">
        <f>INT(smart_dataset[[#This Row],[Timestamp]])</f>
        <v>45337</v>
      </c>
      <c r="C860" s="7">
        <f>MOD(smart_dataset[[#This Row],[Timestamp]],1)</f>
        <v>0.81939814814541023</v>
      </c>
      <c r="D860">
        <f>YEAR(smart_dataset[[#This Row],[Date]])</f>
        <v>2024</v>
      </c>
      <c r="E860">
        <f>MONTH(smart_dataset[[#This Row],[Timestamp]])</f>
        <v>2</v>
      </c>
      <c r="F860" t="s">
        <v>29</v>
      </c>
      <c r="G860">
        <v>-43.0411</v>
      </c>
      <c r="H860">
        <v>-154.0658</v>
      </c>
      <c r="I860">
        <v>457</v>
      </c>
      <c r="J860" t="s">
        <v>21</v>
      </c>
      <c r="K860">
        <v>18.7</v>
      </c>
      <c r="L860">
        <v>52.7</v>
      </c>
      <c r="M860" t="s">
        <v>28</v>
      </c>
      <c r="N860">
        <v>52</v>
      </c>
      <c r="O860">
        <v>366</v>
      </c>
      <c r="P860">
        <v>4</v>
      </c>
      <c r="Q860" t="s">
        <v>19</v>
      </c>
      <c r="R860">
        <v>93.1</v>
      </c>
      <c r="S860">
        <v>275</v>
      </c>
      <c r="T860">
        <v>0</v>
      </c>
      <c r="U860" t="str" cm="1">
        <f t="array" ref="U860">_xlfn.IFS(smart_dataset[[#This Row],[Waiting_Time]]&lt;=20,"Low",smart_dataset[[#This Row],[Waiting_Time]]&lt;=40,"Medium",TRUE,"High")</f>
        <v>High</v>
      </c>
      <c r="V860" t="str" cm="1">
        <f t="array" ref="V860">_xlfn.IFS(smart_dataset[[#This Row],[Temperature]]&lt;=20,"Cold",smart_dataset[[#This Row],[Temperature]]&lt;=28,"Normal",TRUE,"Hot")</f>
        <v>Cold</v>
      </c>
      <c r="W860" t="str" cm="1">
        <f t="array" ref="W860">_xlfn.IFS(smart_dataset[[#This Row],[Asset_Utilization]]&lt;=75,"Low",smart_dataset[[#This Row],[Asset_Utilization]]&lt;=90,"Medium",TRUE,"High")</f>
        <v>High</v>
      </c>
    </row>
    <row r="861" spans="1:23" hidden="1" x14ac:dyDescent="0.25">
      <c r="A861" s="1">
        <v>45460.602731481478</v>
      </c>
      <c r="B861" s="1">
        <f>INT(smart_dataset[[#This Row],[Timestamp]])</f>
        <v>45460</v>
      </c>
      <c r="C861" s="1">
        <f>MOD(smart_dataset[[#This Row],[Timestamp]],1)</f>
        <v>0.6027314814782585</v>
      </c>
      <c r="D861" s="1">
        <f>YEAR(smart_dataset[[#This Row],[Date]])</f>
        <v>2024</v>
      </c>
      <c r="E861" s="1">
        <f>MONTH(smart_dataset[[#This Row],[Timestamp]])</f>
        <v>6</v>
      </c>
      <c r="F861" t="s">
        <v>20</v>
      </c>
      <c r="G861">
        <v>-71.830699999999993</v>
      </c>
      <c r="H861">
        <v>-53.607199999999999</v>
      </c>
      <c r="I861">
        <v>274</v>
      </c>
      <c r="J861" t="s">
        <v>26</v>
      </c>
      <c r="K861">
        <v>21.5</v>
      </c>
      <c r="L861">
        <v>74</v>
      </c>
      <c r="M861" t="s">
        <v>22</v>
      </c>
      <c r="N861">
        <v>23</v>
      </c>
      <c r="O861">
        <v>448</v>
      </c>
      <c r="P861">
        <v>5</v>
      </c>
      <c r="Q861" t="s">
        <v>31</v>
      </c>
      <c r="R861">
        <v>74.7</v>
      </c>
      <c r="S861">
        <v>200</v>
      </c>
      <c r="T861">
        <v>1</v>
      </c>
      <c r="U861" t="str" cm="1">
        <f t="array" ref="U861">_xlfn.IFS(smart_dataset[[#This Row],[Waiting_Time]]&lt;=20,"Low",smart_dataset[[#This Row],[Waiting_Time]]&lt;=40,"Medium",TRUE,"High")</f>
        <v>Medium</v>
      </c>
      <c r="V861" t="str" cm="1">
        <f t="array" ref="V861">_xlfn.IFS(smart_dataset[[#This Row],[Temperature]]&lt;=20,"Cold",smart_dataset[[#This Row],[Temperature]]&lt;=28,"Normal",TRUE,"Hot")</f>
        <v>Normal</v>
      </c>
      <c r="W861" t="str" cm="1">
        <f t="array" ref="W861">_xlfn.IFS(smart_dataset[[#This Row],[Asset_Utilization]]&lt;=75,"Low",smart_dataset[[#This Row],[Asset_Utilization]]&lt;=90,"Medium",TRUE,"High")</f>
        <v>Low</v>
      </c>
    </row>
    <row r="862" spans="1:23" x14ac:dyDescent="0.25">
      <c r="A862" s="1">
        <v>45492.544965277775</v>
      </c>
      <c r="B862" s="1">
        <f>INT(smart_dataset[[#This Row],[Timestamp]])</f>
        <v>45492</v>
      </c>
      <c r="C862" s="7">
        <f>MOD(smart_dataset[[#This Row],[Timestamp]],1)</f>
        <v>0.54496527777519077</v>
      </c>
      <c r="D862">
        <f>YEAR(smart_dataset[[#This Row],[Date]])</f>
        <v>2024</v>
      </c>
      <c r="E862">
        <f>MONTH(smart_dataset[[#This Row],[Timestamp]])</f>
        <v>7</v>
      </c>
      <c r="F862" t="s">
        <v>16</v>
      </c>
      <c r="G862">
        <v>16.1221</v>
      </c>
      <c r="H862">
        <v>79.027900000000002</v>
      </c>
      <c r="I862">
        <v>332</v>
      </c>
      <c r="J862" t="s">
        <v>17</v>
      </c>
      <c r="K862">
        <v>19.2</v>
      </c>
      <c r="L862">
        <v>56.9</v>
      </c>
      <c r="M862" t="s">
        <v>18</v>
      </c>
      <c r="N862">
        <v>27</v>
      </c>
      <c r="O862">
        <v>357</v>
      </c>
      <c r="P862">
        <v>2</v>
      </c>
      <c r="Q862" t="s">
        <v>19</v>
      </c>
      <c r="R862">
        <v>87.8</v>
      </c>
      <c r="S862">
        <v>217</v>
      </c>
      <c r="T862">
        <v>1</v>
      </c>
      <c r="U862" t="str" cm="1">
        <f t="array" ref="U862">_xlfn.IFS(smart_dataset[[#This Row],[Waiting_Time]]&lt;=20,"Low",smart_dataset[[#This Row],[Waiting_Time]]&lt;=40,"Medium",TRUE,"High")</f>
        <v>Medium</v>
      </c>
      <c r="V862" t="str" cm="1">
        <f t="array" ref="V862">_xlfn.IFS(smart_dataset[[#This Row],[Temperature]]&lt;=20,"Cold",smart_dataset[[#This Row],[Temperature]]&lt;=28,"Normal",TRUE,"Hot")</f>
        <v>Cold</v>
      </c>
      <c r="W862" t="str" cm="1">
        <f t="array" ref="W862">_xlfn.IFS(smart_dataset[[#This Row],[Asset_Utilization]]&lt;=75,"Low",smart_dataset[[#This Row],[Asset_Utilization]]&lt;=90,"Medium",TRUE,"High")</f>
        <v>Medium</v>
      </c>
    </row>
    <row r="863" spans="1:23" hidden="1" x14ac:dyDescent="0.25">
      <c r="A863" s="1">
        <v>45565.604953703703</v>
      </c>
      <c r="B863" s="1">
        <f>INT(smart_dataset[[#This Row],[Timestamp]])</f>
        <v>45565</v>
      </c>
      <c r="C863" s="1">
        <f>MOD(smart_dataset[[#This Row],[Timestamp]],1)</f>
        <v>0.60495370370335877</v>
      </c>
      <c r="D863" s="1">
        <f>YEAR(smart_dataset[[#This Row],[Date]])</f>
        <v>2024</v>
      </c>
      <c r="E863" s="1">
        <f>MONTH(smart_dataset[[#This Row],[Timestamp]])</f>
        <v>9</v>
      </c>
      <c r="F863" t="s">
        <v>29</v>
      </c>
      <c r="G863">
        <v>1.3876999999999999</v>
      </c>
      <c r="H863">
        <v>64.007800000000003</v>
      </c>
      <c r="I863">
        <v>388</v>
      </c>
      <c r="J863" t="s">
        <v>21</v>
      </c>
      <c r="K863">
        <v>27.4</v>
      </c>
      <c r="L863">
        <v>50.6</v>
      </c>
      <c r="M863" t="s">
        <v>18</v>
      </c>
      <c r="N863">
        <v>58</v>
      </c>
      <c r="O863">
        <v>401</v>
      </c>
      <c r="P863">
        <v>5</v>
      </c>
      <c r="Q863" t="s">
        <v>31</v>
      </c>
      <c r="R863">
        <v>81.400000000000006</v>
      </c>
      <c r="S863">
        <v>196</v>
      </c>
      <c r="T863">
        <v>0</v>
      </c>
      <c r="U863" t="str" cm="1">
        <f t="array" ref="U863">_xlfn.IFS(smart_dataset[[#This Row],[Waiting_Time]]&lt;=20,"Low",smart_dataset[[#This Row],[Waiting_Time]]&lt;=40,"Medium",TRUE,"High")</f>
        <v>High</v>
      </c>
      <c r="V863" t="str" cm="1">
        <f t="array" ref="V863">_xlfn.IFS(smart_dataset[[#This Row],[Temperature]]&lt;=20,"Cold",smart_dataset[[#This Row],[Temperature]]&lt;=28,"Normal",TRUE,"Hot")</f>
        <v>Normal</v>
      </c>
      <c r="W863" t="str" cm="1">
        <f t="array" ref="W863">_xlfn.IFS(smart_dataset[[#This Row],[Asset_Utilization]]&lt;=75,"Low",smart_dataset[[#This Row],[Asset_Utilization]]&lt;=90,"Medium",TRUE,"High")</f>
        <v>Medium</v>
      </c>
    </row>
    <row r="864" spans="1:23" hidden="1" x14ac:dyDescent="0.25">
      <c r="A864" s="1">
        <v>45510.918680555558</v>
      </c>
      <c r="B864" s="1">
        <f>INT(smart_dataset[[#This Row],[Timestamp]])</f>
        <v>45510</v>
      </c>
      <c r="C864" s="1">
        <f>MOD(smart_dataset[[#This Row],[Timestamp]],1)</f>
        <v>0.91868055555823958</v>
      </c>
      <c r="D864" s="1">
        <f>YEAR(smart_dataset[[#This Row],[Date]])</f>
        <v>2024</v>
      </c>
      <c r="E864" s="1">
        <f>MONTH(smart_dataset[[#This Row],[Timestamp]])</f>
        <v>8</v>
      </c>
      <c r="F864" t="s">
        <v>24</v>
      </c>
      <c r="G864">
        <v>30.3691</v>
      </c>
      <c r="H864">
        <v>-111.1134</v>
      </c>
      <c r="I864">
        <v>377</v>
      </c>
      <c r="J864" t="s">
        <v>26</v>
      </c>
      <c r="K864">
        <v>18.2</v>
      </c>
      <c r="L864">
        <v>51.7</v>
      </c>
      <c r="M864" t="s">
        <v>18</v>
      </c>
      <c r="N864">
        <v>34</v>
      </c>
      <c r="O864">
        <v>306</v>
      </c>
      <c r="P864">
        <v>8</v>
      </c>
      <c r="Q864" t="s">
        <v>27</v>
      </c>
      <c r="R864">
        <v>87.9</v>
      </c>
      <c r="S864">
        <v>139</v>
      </c>
      <c r="T864">
        <v>0</v>
      </c>
      <c r="U864" t="str" cm="1">
        <f t="array" ref="U864">_xlfn.IFS(smart_dataset[[#This Row],[Waiting_Time]]&lt;=20,"Low",smart_dataset[[#This Row],[Waiting_Time]]&lt;=40,"Medium",TRUE,"High")</f>
        <v>Medium</v>
      </c>
      <c r="V864" t="str" cm="1">
        <f t="array" ref="V864">_xlfn.IFS(smart_dataset[[#This Row],[Temperature]]&lt;=20,"Cold",smart_dataset[[#This Row],[Temperature]]&lt;=28,"Normal",TRUE,"Hot")</f>
        <v>Cold</v>
      </c>
      <c r="W864" t="str" cm="1">
        <f t="array" ref="W864">_xlfn.IFS(smart_dataset[[#This Row],[Asset_Utilization]]&lt;=75,"Low",smart_dataset[[#This Row],[Asset_Utilization]]&lt;=90,"Medium",TRUE,"High")</f>
        <v>Medium</v>
      </c>
    </row>
    <row r="865" spans="1:23" hidden="1" x14ac:dyDescent="0.25">
      <c r="A865" s="1">
        <v>45355.98542824074</v>
      </c>
      <c r="B865" s="1">
        <f>INT(smart_dataset[[#This Row],[Timestamp]])</f>
        <v>45355</v>
      </c>
      <c r="C865" s="1">
        <f>MOD(smart_dataset[[#This Row],[Timestamp]],1)</f>
        <v>0.98542824073956581</v>
      </c>
      <c r="D865" s="1">
        <f>YEAR(smart_dataset[[#This Row],[Date]])</f>
        <v>2024</v>
      </c>
      <c r="E865" s="1">
        <f>MONTH(smart_dataset[[#This Row],[Timestamp]])</f>
        <v>3</v>
      </c>
      <c r="F865" t="s">
        <v>30</v>
      </c>
      <c r="G865">
        <v>53.517000000000003</v>
      </c>
      <c r="H865">
        <v>152.1576</v>
      </c>
      <c r="I865">
        <v>265</v>
      </c>
      <c r="J865" t="s">
        <v>26</v>
      </c>
      <c r="K865">
        <v>23.5</v>
      </c>
      <c r="L865">
        <v>78.400000000000006</v>
      </c>
      <c r="M865" t="s">
        <v>28</v>
      </c>
      <c r="N865">
        <v>60</v>
      </c>
      <c r="O865">
        <v>107</v>
      </c>
      <c r="P865">
        <v>3</v>
      </c>
      <c r="Q865" t="s">
        <v>23</v>
      </c>
      <c r="R865">
        <v>62.4</v>
      </c>
      <c r="S865">
        <v>237</v>
      </c>
      <c r="T865">
        <v>0</v>
      </c>
      <c r="U865" t="str" cm="1">
        <f t="array" ref="U865">_xlfn.IFS(smart_dataset[[#This Row],[Waiting_Time]]&lt;=20,"Low",smart_dataset[[#This Row],[Waiting_Time]]&lt;=40,"Medium",TRUE,"High")</f>
        <v>High</v>
      </c>
      <c r="V865" t="str" cm="1">
        <f t="array" ref="V865">_xlfn.IFS(smart_dataset[[#This Row],[Temperature]]&lt;=20,"Cold",smart_dataset[[#This Row],[Temperature]]&lt;=28,"Normal",TRUE,"Hot")</f>
        <v>Normal</v>
      </c>
      <c r="W865" t="str" cm="1">
        <f t="array" ref="W865">_xlfn.IFS(smart_dataset[[#This Row],[Asset_Utilization]]&lt;=75,"Low",smart_dataset[[#This Row],[Asset_Utilization]]&lt;=90,"Medium",TRUE,"High")</f>
        <v>Low</v>
      </c>
    </row>
    <row r="866" spans="1:23" hidden="1" x14ac:dyDescent="0.25">
      <c r="A866" s="1">
        <v>45452.257638888892</v>
      </c>
      <c r="B866" s="1">
        <f>INT(smart_dataset[[#This Row],[Timestamp]])</f>
        <v>45452</v>
      </c>
      <c r="C866" s="1">
        <f>MOD(smart_dataset[[#This Row],[Timestamp]],1)</f>
        <v>0.25763888889196096</v>
      </c>
      <c r="D866" s="1">
        <f>YEAR(smart_dataset[[#This Row],[Date]])</f>
        <v>2024</v>
      </c>
      <c r="E866" s="1">
        <f>MONTH(smart_dataset[[#This Row],[Timestamp]])</f>
        <v>6</v>
      </c>
      <c r="F866" t="s">
        <v>32</v>
      </c>
      <c r="G866">
        <v>-20.984000000000002</v>
      </c>
      <c r="H866">
        <v>-125.2428</v>
      </c>
      <c r="I866">
        <v>316</v>
      </c>
      <c r="J866" t="s">
        <v>17</v>
      </c>
      <c r="K866">
        <v>19.8</v>
      </c>
      <c r="L866">
        <v>70.599999999999994</v>
      </c>
      <c r="M866" t="s">
        <v>18</v>
      </c>
      <c r="N866">
        <v>18</v>
      </c>
      <c r="O866">
        <v>194</v>
      </c>
      <c r="P866">
        <v>4</v>
      </c>
      <c r="Q866" t="s">
        <v>31</v>
      </c>
      <c r="R866">
        <v>95.8</v>
      </c>
      <c r="S866">
        <v>240</v>
      </c>
      <c r="T866">
        <v>1</v>
      </c>
      <c r="U866" t="str" cm="1">
        <f t="array" ref="U866">_xlfn.IFS(smart_dataset[[#This Row],[Waiting_Time]]&lt;=20,"Low",smart_dataset[[#This Row],[Waiting_Time]]&lt;=40,"Medium",TRUE,"High")</f>
        <v>Low</v>
      </c>
      <c r="V866" t="str" cm="1">
        <f t="array" ref="V866">_xlfn.IFS(smart_dataset[[#This Row],[Temperature]]&lt;=20,"Cold",smart_dataset[[#This Row],[Temperature]]&lt;=28,"Normal",TRUE,"Hot")</f>
        <v>Cold</v>
      </c>
      <c r="W866" t="str" cm="1">
        <f t="array" ref="W866">_xlfn.IFS(smart_dataset[[#This Row],[Asset_Utilization]]&lt;=75,"Low",smart_dataset[[#This Row],[Asset_Utilization]]&lt;=90,"Medium",TRUE,"High")</f>
        <v>High</v>
      </c>
    </row>
    <row r="867" spans="1:23" hidden="1" x14ac:dyDescent="0.25">
      <c r="A867" s="1">
        <v>45507.858449074076</v>
      </c>
      <c r="B867" s="1">
        <f>INT(smart_dataset[[#This Row],[Timestamp]])</f>
        <v>45507</v>
      </c>
      <c r="C867" s="1">
        <f>MOD(smart_dataset[[#This Row],[Timestamp]],1)</f>
        <v>0.85844907407590654</v>
      </c>
      <c r="D867" s="1">
        <f>YEAR(smart_dataset[[#This Row],[Date]])</f>
        <v>2024</v>
      </c>
      <c r="E867" s="1">
        <f>MONTH(smart_dataset[[#This Row],[Timestamp]])</f>
        <v>8</v>
      </c>
      <c r="F867" t="s">
        <v>20</v>
      </c>
      <c r="G867">
        <v>-59.825699999999998</v>
      </c>
      <c r="H867">
        <v>-2.9502000000000002</v>
      </c>
      <c r="I867">
        <v>239</v>
      </c>
      <c r="J867" t="s">
        <v>21</v>
      </c>
      <c r="K867">
        <v>28.7</v>
      </c>
      <c r="L867">
        <v>64</v>
      </c>
      <c r="M867" t="s">
        <v>28</v>
      </c>
      <c r="N867">
        <v>35</v>
      </c>
      <c r="O867">
        <v>469</v>
      </c>
      <c r="P867">
        <v>3</v>
      </c>
      <c r="Q867" t="s">
        <v>23</v>
      </c>
      <c r="R867">
        <v>63.9</v>
      </c>
      <c r="S867">
        <v>293</v>
      </c>
      <c r="T867">
        <v>0</v>
      </c>
      <c r="U867" t="str" cm="1">
        <f t="array" ref="U867">_xlfn.IFS(smart_dataset[[#This Row],[Waiting_Time]]&lt;=20,"Low",smart_dataset[[#This Row],[Waiting_Time]]&lt;=40,"Medium",TRUE,"High")</f>
        <v>Medium</v>
      </c>
      <c r="V867" t="str" cm="1">
        <f t="array" ref="V867">_xlfn.IFS(smart_dataset[[#This Row],[Temperature]]&lt;=20,"Cold",smart_dataset[[#This Row],[Temperature]]&lt;=28,"Normal",TRUE,"Hot")</f>
        <v>Hot</v>
      </c>
      <c r="W867" t="str" cm="1">
        <f t="array" ref="W867">_xlfn.IFS(smart_dataset[[#This Row],[Asset_Utilization]]&lt;=75,"Low",smart_dataset[[#This Row],[Asset_Utilization]]&lt;=90,"Medium",TRUE,"High")</f>
        <v>Low</v>
      </c>
    </row>
    <row r="868" spans="1:23" hidden="1" x14ac:dyDescent="0.25">
      <c r="A868" s="1">
        <v>45396.345347222225</v>
      </c>
      <c r="B868" s="1">
        <f>INT(smart_dataset[[#This Row],[Timestamp]])</f>
        <v>45396</v>
      </c>
      <c r="C868" s="1">
        <f>MOD(smart_dataset[[#This Row],[Timestamp]],1)</f>
        <v>0.34534722222451819</v>
      </c>
      <c r="D868" s="1">
        <f>YEAR(smart_dataset[[#This Row],[Date]])</f>
        <v>2024</v>
      </c>
      <c r="E868" s="1">
        <f>MONTH(smart_dataset[[#This Row],[Timestamp]])</f>
        <v>4</v>
      </c>
      <c r="F868" t="s">
        <v>33</v>
      </c>
      <c r="G868">
        <v>-49.284500000000001</v>
      </c>
      <c r="H868">
        <v>40.581400000000002</v>
      </c>
      <c r="I868">
        <v>241</v>
      </c>
      <c r="J868" t="s">
        <v>17</v>
      </c>
      <c r="K868">
        <v>21.4</v>
      </c>
      <c r="L868">
        <v>70.900000000000006</v>
      </c>
      <c r="M868" t="s">
        <v>28</v>
      </c>
      <c r="N868">
        <v>48</v>
      </c>
      <c r="O868">
        <v>121</v>
      </c>
      <c r="P868">
        <v>4</v>
      </c>
      <c r="Q868" t="s">
        <v>23</v>
      </c>
      <c r="R868">
        <v>75.3</v>
      </c>
      <c r="S868">
        <v>195</v>
      </c>
      <c r="T868">
        <v>1</v>
      </c>
      <c r="U868" t="str" cm="1">
        <f t="array" ref="U868">_xlfn.IFS(smart_dataset[[#This Row],[Waiting_Time]]&lt;=20,"Low",smart_dataset[[#This Row],[Waiting_Time]]&lt;=40,"Medium",TRUE,"High")</f>
        <v>High</v>
      </c>
      <c r="V868" t="str" cm="1">
        <f t="array" ref="V868">_xlfn.IFS(smart_dataset[[#This Row],[Temperature]]&lt;=20,"Cold",smart_dataset[[#This Row],[Temperature]]&lt;=28,"Normal",TRUE,"Hot")</f>
        <v>Normal</v>
      </c>
      <c r="W868" t="str" cm="1">
        <f t="array" ref="W868">_xlfn.IFS(smart_dataset[[#This Row],[Asset_Utilization]]&lt;=75,"Low",smart_dataset[[#This Row],[Asset_Utilization]]&lt;=90,"Medium",TRUE,"High")</f>
        <v>Medium</v>
      </c>
    </row>
    <row r="869" spans="1:23" hidden="1" x14ac:dyDescent="0.25">
      <c r="A869" s="1">
        <v>45501.314618055556</v>
      </c>
      <c r="B869" s="1">
        <f>INT(smart_dataset[[#This Row],[Timestamp]])</f>
        <v>45501</v>
      </c>
      <c r="C869" s="1">
        <f>MOD(smart_dataset[[#This Row],[Timestamp]],1)</f>
        <v>0.31461805555591127</v>
      </c>
      <c r="D869" s="1">
        <f>YEAR(smart_dataset[[#This Row],[Date]])</f>
        <v>2024</v>
      </c>
      <c r="E869" s="1">
        <f>MONTH(smart_dataset[[#This Row],[Timestamp]])</f>
        <v>7</v>
      </c>
      <c r="F869" t="s">
        <v>24</v>
      </c>
      <c r="G869">
        <v>88.224599999999995</v>
      </c>
      <c r="H869">
        <v>-148.6037</v>
      </c>
      <c r="I869">
        <v>326</v>
      </c>
      <c r="J869" t="s">
        <v>17</v>
      </c>
      <c r="K869">
        <v>27.2</v>
      </c>
      <c r="L869">
        <v>69.3</v>
      </c>
      <c r="M869" t="s">
        <v>18</v>
      </c>
      <c r="N869">
        <v>24</v>
      </c>
      <c r="O869">
        <v>492</v>
      </c>
      <c r="P869">
        <v>9</v>
      </c>
      <c r="Q869" t="s">
        <v>23</v>
      </c>
      <c r="R869">
        <v>72.5</v>
      </c>
      <c r="S869">
        <v>223</v>
      </c>
      <c r="T869">
        <v>1</v>
      </c>
      <c r="U869" t="str" cm="1">
        <f t="array" ref="U869">_xlfn.IFS(smart_dataset[[#This Row],[Waiting_Time]]&lt;=20,"Low",smart_dataset[[#This Row],[Waiting_Time]]&lt;=40,"Medium",TRUE,"High")</f>
        <v>Medium</v>
      </c>
      <c r="V869" t="str" cm="1">
        <f t="array" ref="V869">_xlfn.IFS(smart_dataset[[#This Row],[Temperature]]&lt;=20,"Cold",smart_dataset[[#This Row],[Temperature]]&lt;=28,"Normal",TRUE,"Hot")</f>
        <v>Normal</v>
      </c>
      <c r="W869" t="str" cm="1">
        <f t="array" ref="W869">_xlfn.IFS(smart_dataset[[#This Row],[Asset_Utilization]]&lt;=75,"Low",smart_dataset[[#This Row],[Asset_Utilization]]&lt;=90,"Medium",TRUE,"High")</f>
        <v>Low</v>
      </c>
    </row>
    <row r="870" spans="1:23" hidden="1" x14ac:dyDescent="0.25">
      <c r="A870" s="1">
        <v>45548.524733796294</v>
      </c>
      <c r="B870" s="1">
        <f>INT(smart_dataset[[#This Row],[Timestamp]])</f>
        <v>45548</v>
      </c>
      <c r="C870" s="1">
        <f>MOD(smart_dataset[[#This Row],[Timestamp]],1)</f>
        <v>0.52473379629373085</v>
      </c>
      <c r="D870" s="1">
        <f>YEAR(smart_dataset[[#This Row],[Date]])</f>
        <v>2024</v>
      </c>
      <c r="E870" s="1">
        <f>MONTH(smart_dataset[[#This Row],[Timestamp]])</f>
        <v>9</v>
      </c>
      <c r="F870" t="s">
        <v>30</v>
      </c>
      <c r="G870">
        <v>-13.535</v>
      </c>
      <c r="H870">
        <v>94.625600000000006</v>
      </c>
      <c r="I870">
        <v>357</v>
      </c>
      <c r="J870" t="s">
        <v>26</v>
      </c>
      <c r="K870">
        <v>24</v>
      </c>
      <c r="L870">
        <v>76.099999999999994</v>
      </c>
      <c r="M870" t="s">
        <v>18</v>
      </c>
      <c r="N870">
        <v>39</v>
      </c>
      <c r="O870">
        <v>339</v>
      </c>
      <c r="P870">
        <v>9</v>
      </c>
      <c r="Q870" t="s">
        <v>27</v>
      </c>
      <c r="R870">
        <v>97.8</v>
      </c>
      <c r="S870">
        <v>146</v>
      </c>
      <c r="T870">
        <v>0</v>
      </c>
      <c r="U870" t="str" cm="1">
        <f t="array" ref="U870">_xlfn.IFS(smart_dataset[[#This Row],[Waiting_Time]]&lt;=20,"Low",smart_dataset[[#This Row],[Waiting_Time]]&lt;=40,"Medium",TRUE,"High")</f>
        <v>Medium</v>
      </c>
      <c r="V870" t="str" cm="1">
        <f t="array" ref="V870">_xlfn.IFS(smart_dataset[[#This Row],[Temperature]]&lt;=20,"Cold",smart_dataset[[#This Row],[Temperature]]&lt;=28,"Normal",TRUE,"Hot")</f>
        <v>Normal</v>
      </c>
      <c r="W870" t="str" cm="1">
        <f t="array" ref="W870">_xlfn.IFS(smart_dataset[[#This Row],[Asset_Utilization]]&lt;=75,"Low",smart_dataset[[#This Row],[Asset_Utilization]]&lt;=90,"Medium",TRUE,"High")</f>
        <v>High</v>
      </c>
    </row>
    <row r="871" spans="1:23" hidden="1" x14ac:dyDescent="0.25">
      <c r="A871" s="1">
        <v>45540.227962962963</v>
      </c>
      <c r="B871" s="1">
        <f>INT(smart_dataset[[#This Row],[Timestamp]])</f>
        <v>45540</v>
      </c>
      <c r="C871" s="1">
        <f>MOD(smart_dataset[[#This Row],[Timestamp]],1)</f>
        <v>0.22796296296291985</v>
      </c>
      <c r="D871" s="1">
        <f>YEAR(smart_dataset[[#This Row],[Date]])</f>
        <v>2024</v>
      </c>
      <c r="E871" s="1">
        <f>MONTH(smart_dataset[[#This Row],[Timestamp]])</f>
        <v>9</v>
      </c>
      <c r="F871" t="s">
        <v>20</v>
      </c>
      <c r="G871">
        <v>57.128700000000002</v>
      </c>
      <c r="H871">
        <v>148.18049999999999</v>
      </c>
      <c r="I871">
        <v>279</v>
      </c>
      <c r="J871" t="s">
        <v>26</v>
      </c>
      <c r="K871">
        <v>19.600000000000001</v>
      </c>
      <c r="L871">
        <v>55.9</v>
      </c>
      <c r="M871" t="s">
        <v>22</v>
      </c>
      <c r="N871">
        <v>30</v>
      </c>
      <c r="O871">
        <v>187</v>
      </c>
      <c r="P871">
        <v>9</v>
      </c>
      <c r="Q871" t="s">
        <v>27</v>
      </c>
      <c r="R871">
        <v>90.5</v>
      </c>
      <c r="S871">
        <v>126</v>
      </c>
      <c r="T871">
        <v>1</v>
      </c>
      <c r="U871" t="str" cm="1">
        <f t="array" ref="U871">_xlfn.IFS(smart_dataset[[#This Row],[Waiting_Time]]&lt;=20,"Low",smart_dataset[[#This Row],[Waiting_Time]]&lt;=40,"Medium",TRUE,"High")</f>
        <v>Medium</v>
      </c>
      <c r="V871" t="str" cm="1">
        <f t="array" ref="V871">_xlfn.IFS(smart_dataset[[#This Row],[Temperature]]&lt;=20,"Cold",smart_dataset[[#This Row],[Temperature]]&lt;=28,"Normal",TRUE,"Hot")</f>
        <v>Cold</v>
      </c>
      <c r="W871" t="str" cm="1">
        <f t="array" ref="W871">_xlfn.IFS(smart_dataset[[#This Row],[Asset_Utilization]]&lt;=75,"Low",smart_dataset[[#This Row],[Asset_Utilization]]&lt;=90,"Medium",TRUE,"High")</f>
        <v>High</v>
      </c>
    </row>
    <row r="872" spans="1:23" hidden="1" x14ac:dyDescent="0.25">
      <c r="A872" s="1">
        <v>45293.307581018518</v>
      </c>
      <c r="B872" s="1">
        <f>INT(smart_dataset[[#This Row],[Timestamp]])</f>
        <v>45293</v>
      </c>
      <c r="C872" s="1">
        <f>MOD(smart_dataset[[#This Row],[Timestamp]],1)</f>
        <v>0.30758101851824904</v>
      </c>
      <c r="D872" s="1">
        <f>YEAR(smart_dataset[[#This Row],[Date]])</f>
        <v>2024</v>
      </c>
      <c r="E872" s="1">
        <f>MONTH(smart_dataset[[#This Row],[Timestamp]])</f>
        <v>1</v>
      </c>
      <c r="F872" t="s">
        <v>30</v>
      </c>
      <c r="G872">
        <v>-61.854599999999998</v>
      </c>
      <c r="H872">
        <v>43.807400000000001</v>
      </c>
      <c r="I872">
        <v>106</v>
      </c>
      <c r="J872" t="s">
        <v>26</v>
      </c>
      <c r="K872">
        <v>26.7</v>
      </c>
      <c r="L872">
        <v>53.3</v>
      </c>
      <c r="M872" t="s">
        <v>18</v>
      </c>
      <c r="N872">
        <v>39</v>
      </c>
      <c r="O872">
        <v>128</v>
      </c>
      <c r="P872">
        <v>5</v>
      </c>
      <c r="Q872" t="s">
        <v>23</v>
      </c>
      <c r="R872">
        <v>88</v>
      </c>
      <c r="S872">
        <v>117</v>
      </c>
      <c r="T872">
        <v>0</v>
      </c>
      <c r="U872" t="str" cm="1">
        <f t="array" ref="U872">_xlfn.IFS(smart_dataset[[#This Row],[Waiting_Time]]&lt;=20,"Low",smart_dataset[[#This Row],[Waiting_Time]]&lt;=40,"Medium",TRUE,"High")</f>
        <v>Medium</v>
      </c>
      <c r="V872" t="str" cm="1">
        <f t="array" ref="V872">_xlfn.IFS(smart_dataset[[#This Row],[Temperature]]&lt;=20,"Cold",smart_dataset[[#This Row],[Temperature]]&lt;=28,"Normal",TRUE,"Hot")</f>
        <v>Normal</v>
      </c>
      <c r="W872" t="str" cm="1">
        <f t="array" ref="W872">_xlfn.IFS(smart_dataset[[#This Row],[Asset_Utilization]]&lt;=75,"Low",smart_dataset[[#This Row],[Asset_Utilization]]&lt;=90,"Medium",TRUE,"High")</f>
        <v>Medium</v>
      </c>
    </row>
    <row r="873" spans="1:23" hidden="1" x14ac:dyDescent="0.25">
      <c r="A873" s="1">
        <v>45604.211099537039</v>
      </c>
      <c r="B873" s="1">
        <f>INT(smart_dataset[[#This Row],[Timestamp]])</f>
        <v>45604</v>
      </c>
      <c r="C873" s="1">
        <f>MOD(smart_dataset[[#This Row],[Timestamp]],1)</f>
        <v>0.21109953703853535</v>
      </c>
      <c r="D873" s="1">
        <f>YEAR(smart_dataset[[#This Row],[Date]])</f>
        <v>2024</v>
      </c>
      <c r="E873" s="1">
        <f>MONTH(smart_dataset[[#This Row],[Timestamp]])</f>
        <v>11</v>
      </c>
      <c r="F873" t="s">
        <v>16</v>
      </c>
      <c r="G873">
        <v>9.0930999999999997</v>
      </c>
      <c r="H873">
        <v>-155.64109999999999</v>
      </c>
      <c r="I873">
        <v>381</v>
      </c>
      <c r="J873" t="s">
        <v>21</v>
      </c>
      <c r="K873">
        <v>20</v>
      </c>
      <c r="L873">
        <v>52.9</v>
      </c>
      <c r="M873" t="s">
        <v>28</v>
      </c>
      <c r="N873">
        <v>13</v>
      </c>
      <c r="O873">
        <v>216</v>
      </c>
      <c r="P873">
        <v>5</v>
      </c>
      <c r="Q873" t="s">
        <v>23</v>
      </c>
      <c r="R873">
        <v>87.3</v>
      </c>
      <c r="S873">
        <v>160</v>
      </c>
      <c r="T873">
        <v>0</v>
      </c>
      <c r="U873" t="str" cm="1">
        <f t="array" ref="U873">_xlfn.IFS(smart_dataset[[#This Row],[Waiting_Time]]&lt;=20,"Low",smart_dataset[[#This Row],[Waiting_Time]]&lt;=40,"Medium",TRUE,"High")</f>
        <v>Low</v>
      </c>
      <c r="V873" t="str" cm="1">
        <f t="array" ref="V873">_xlfn.IFS(smart_dataset[[#This Row],[Temperature]]&lt;=20,"Cold",smart_dataset[[#This Row],[Temperature]]&lt;=28,"Normal",TRUE,"Hot")</f>
        <v>Cold</v>
      </c>
      <c r="W873" t="str" cm="1">
        <f t="array" ref="W873">_xlfn.IFS(smart_dataset[[#This Row],[Asset_Utilization]]&lt;=75,"Low",smart_dataset[[#This Row],[Asset_Utilization]]&lt;=90,"Medium",TRUE,"High")</f>
        <v>Medium</v>
      </c>
    </row>
    <row r="874" spans="1:23" hidden="1" x14ac:dyDescent="0.25">
      <c r="A874" s="1">
        <v>45611.279363425929</v>
      </c>
      <c r="B874" s="1">
        <f>INT(smart_dataset[[#This Row],[Timestamp]])</f>
        <v>45611</v>
      </c>
      <c r="C874" s="1">
        <f>MOD(smart_dataset[[#This Row],[Timestamp]],1)</f>
        <v>0.27936342592875008</v>
      </c>
      <c r="D874" s="1">
        <f>YEAR(smart_dataset[[#This Row],[Date]])</f>
        <v>2024</v>
      </c>
      <c r="E874" s="1">
        <f>MONTH(smart_dataset[[#This Row],[Timestamp]])</f>
        <v>11</v>
      </c>
      <c r="F874" t="s">
        <v>16</v>
      </c>
      <c r="G874">
        <v>-19.6632</v>
      </c>
      <c r="H874">
        <v>-133.2353</v>
      </c>
      <c r="I874">
        <v>416</v>
      </c>
      <c r="J874" t="s">
        <v>26</v>
      </c>
      <c r="K874">
        <v>20.5</v>
      </c>
      <c r="L874">
        <v>61.9</v>
      </c>
      <c r="M874" t="s">
        <v>18</v>
      </c>
      <c r="N874">
        <v>51</v>
      </c>
      <c r="O874">
        <v>172</v>
      </c>
      <c r="P874">
        <v>1</v>
      </c>
      <c r="Q874" t="s">
        <v>23</v>
      </c>
      <c r="R874">
        <v>75.5</v>
      </c>
      <c r="S874">
        <v>112</v>
      </c>
      <c r="T874">
        <v>0</v>
      </c>
      <c r="U874" t="str" cm="1">
        <f t="array" ref="U874">_xlfn.IFS(smart_dataset[[#This Row],[Waiting_Time]]&lt;=20,"Low",smart_dataset[[#This Row],[Waiting_Time]]&lt;=40,"Medium",TRUE,"High")</f>
        <v>High</v>
      </c>
      <c r="V874" t="str" cm="1">
        <f t="array" ref="V874">_xlfn.IFS(smart_dataset[[#This Row],[Temperature]]&lt;=20,"Cold",smart_dataset[[#This Row],[Temperature]]&lt;=28,"Normal",TRUE,"Hot")</f>
        <v>Normal</v>
      </c>
      <c r="W874" t="str" cm="1">
        <f t="array" ref="W874">_xlfn.IFS(smart_dataset[[#This Row],[Asset_Utilization]]&lt;=75,"Low",smart_dataset[[#This Row],[Asset_Utilization]]&lt;=90,"Medium",TRUE,"High")</f>
        <v>Medium</v>
      </c>
    </row>
    <row r="875" spans="1:23" hidden="1" x14ac:dyDescent="0.25">
      <c r="A875" s="1">
        <v>45642.881585648145</v>
      </c>
      <c r="B875" s="1">
        <f>INT(smart_dataset[[#This Row],[Timestamp]])</f>
        <v>45642</v>
      </c>
      <c r="C875" s="1">
        <f>MOD(smart_dataset[[#This Row],[Timestamp]],1)</f>
        <v>0.88158564814511919</v>
      </c>
      <c r="D875" s="1">
        <f>YEAR(smart_dataset[[#This Row],[Date]])</f>
        <v>2024</v>
      </c>
      <c r="E875" s="1">
        <f>MONTH(smart_dataset[[#This Row],[Timestamp]])</f>
        <v>12</v>
      </c>
      <c r="F875" t="s">
        <v>25</v>
      </c>
      <c r="G875">
        <v>43.442900000000002</v>
      </c>
      <c r="H875">
        <v>-106.3154</v>
      </c>
      <c r="I875">
        <v>147</v>
      </c>
      <c r="J875" t="s">
        <v>17</v>
      </c>
      <c r="K875">
        <v>19</v>
      </c>
      <c r="L875">
        <v>73.2</v>
      </c>
      <c r="M875" t="s">
        <v>18</v>
      </c>
      <c r="N875">
        <v>60</v>
      </c>
      <c r="O875">
        <v>260</v>
      </c>
      <c r="P875">
        <v>5</v>
      </c>
      <c r="Q875" t="s">
        <v>31</v>
      </c>
      <c r="R875">
        <v>77.2</v>
      </c>
      <c r="S875">
        <v>216</v>
      </c>
      <c r="T875">
        <v>1</v>
      </c>
      <c r="U875" t="str" cm="1">
        <f t="array" ref="U875">_xlfn.IFS(smart_dataset[[#This Row],[Waiting_Time]]&lt;=20,"Low",smart_dataset[[#This Row],[Waiting_Time]]&lt;=40,"Medium",TRUE,"High")</f>
        <v>High</v>
      </c>
      <c r="V875" t="str" cm="1">
        <f t="array" ref="V875">_xlfn.IFS(smart_dataset[[#This Row],[Temperature]]&lt;=20,"Cold",smart_dataset[[#This Row],[Temperature]]&lt;=28,"Normal",TRUE,"Hot")</f>
        <v>Cold</v>
      </c>
      <c r="W875" t="str" cm="1">
        <f t="array" ref="W875">_xlfn.IFS(smart_dataset[[#This Row],[Asset_Utilization]]&lt;=75,"Low",smart_dataset[[#This Row],[Asset_Utilization]]&lt;=90,"Medium",TRUE,"High")</f>
        <v>Medium</v>
      </c>
    </row>
    <row r="876" spans="1:23" hidden="1" x14ac:dyDescent="0.25">
      <c r="A876" s="1">
        <v>45378.102430555555</v>
      </c>
      <c r="B876" s="1">
        <f>INT(smart_dataset[[#This Row],[Timestamp]])</f>
        <v>45378</v>
      </c>
      <c r="C876" s="1">
        <f>MOD(smart_dataset[[#This Row],[Timestamp]],1)</f>
        <v>0.10243055555474712</v>
      </c>
      <c r="D876" s="1">
        <f>YEAR(smart_dataset[[#This Row],[Date]])</f>
        <v>2024</v>
      </c>
      <c r="E876" s="1">
        <f>MONTH(smart_dataset[[#This Row],[Timestamp]])</f>
        <v>3</v>
      </c>
      <c r="F876" t="s">
        <v>33</v>
      </c>
      <c r="G876">
        <v>-24.622599999999998</v>
      </c>
      <c r="H876">
        <v>30.2486</v>
      </c>
      <c r="I876">
        <v>277</v>
      </c>
      <c r="J876" t="s">
        <v>21</v>
      </c>
      <c r="K876">
        <v>28.1</v>
      </c>
      <c r="L876">
        <v>55.1</v>
      </c>
      <c r="M876" t="s">
        <v>28</v>
      </c>
      <c r="N876">
        <v>44</v>
      </c>
      <c r="O876">
        <v>111</v>
      </c>
      <c r="P876">
        <v>3</v>
      </c>
      <c r="Q876" t="s">
        <v>23</v>
      </c>
      <c r="R876">
        <v>91.8</v>
      </c>
      <c r="S876">
        <v>282</v>
      </c>
      <c r="T876">
        <v>0</v>
      </c>
      <c r="U876" t="str" cm="1">
        <f t="array" ref="U876">_xlfn.IFS(smart_dataset[[#This Row],[Waiting_Time]]&lt;=20,"Low",smart_dataset[[#This Row],[Waiting_Time]]&lt;=40,"Medium",TRUE,"High")</f>
        <v>High</v>
      </c>
      <c r="V876" t="str" cm="1">
        <f t="array" ref="V876">_xlfn.IFS(smart_dataset[[#This Row],[Temperature]]&lt;=20,"Cold",smart_dataset[[#This Row],[Temperature]]&lt;=28,"Normal",TRUE,"Hot")</f>
        <v>Hot</v>
      </c>
      <c r="W876" t="str" cm="1">
        <f t="array" ref="W876">_xlfn.IFS(smart_dataset[[#This Row],[Asset_Utilization]]&lt;=75,"Low",smart_dataset[[#This Row],[Asset_Utilization]]&lt;=90,"Medium",TRUE,"High")</f>
        <v>High</v>
      </c>
    </row>
    <row r="877" spans="1:23" x14ac:dyDescent="0.25">
      <c r="A877" s="1">
        <v>45564.583483796298</v>
      </c>
      <c r="B877" s="1">
        <f>INT(smart_dataset[[#This Row],[Timestamp]])</f>
        <v>45564</v>
      </c>
      <c r="C877" s="7">
        <f>MOD(smart_dataset[[#This Row],[Timestamp]],1)</f>
        <v>0.58348379629751435</v>
      </c>
      <c r="D877">
        <f>YEAR(smart_dataset[[#This Row],[Date]])</f>
        <v>2024</v>
      </c>
      <c r="E877">
        <f>MONTH(smart_dataset[[#This Row],[Timestamp]])</f>
        <v>9</v>
      </c>
      <c r="F877" t="s">
        <v>35</v>
      </c>
      <c r="G877">
        <v>5.6237000000000004</v>
      </c>
      <c r="H877">
        <v>177.8639</v>
      </c>
      <c r="I877">
        <v>116</v>
      </c>
      <c r="J877" t="s">
        <v>26</v>
      </c>
      <c r="K877">
        <v>23</v>
      </c>
      <c r="L877">
        <v>79.599999999999994</v>
      </c>
      <c r="M877" t="s">
        <v>18</v>
      </c>
      <c r="N877">
        <v>55</v>
      </c>
      <c r="O877">
        <v>362</v>
      </c>
      <c r="P877">
        <v>1</v>
      </c>
      <c r="Q877" t="s">
        <v>19</v>
      </c>
      <c r="R877">
        <v>96.6</v>
      </c>
      <c r="S877">
        <v>222</v>
      </c>
      <c r="T877">
        <v>0</v>
      </c>
      <c r="U877" t="str" cm="1">
        <f t="array" ref="U877">_xlfn.IFS(smart_dataset[[#This Row],[Waiting_Time]]&lt;=20,"Low",smart_dataset[[#This Row],[Waiting_Time]]&lt;=40,"Medium",TRUE,"High")</f>
        <v>High</v>
      </c>
      <c r="V877" t="str" cm="1">
        <f t="array" ref="V877">_xlfn.IFS(smart_dataset[[#This Row],[Temperature]]&lt;=20,"Cold",smart_dataset[[#This Row],[Temperature]]&lt;=28,"Normal",TRUE,"Hot")</f>
        <v>Normal</v>
      </c>
      <c r="W877" t="str" cm="1">
        <f t="array" ref="W877">_xlfn.IFS(smart_dataset[[#This Row],[Asset_Utilization]]&lt;=75,"Low",smart_dataset[[#This Row],[Asset_Utilization]]&lt;=90,"Medium",TRUE,"High")</f>
        <v>High</v>
      </c>
    </row>
    <row r="878" spans="1:23" hidden="1" x14ac:dyDescent="0.25">
      <c r="A878" s="1">
        <v>45573.583958333336</v>
      </c>
      <c r="B878" s="1">
        <f>INT(smart_dataset[[#This Row],[Timestamp]])</f>
        <v>45573</v>
      </c>
      <c r="C878" s="1">
        <f>MOD(smart_dataset[[#This Row],[Timestamp]],1)</f>
        <v>0.58395833333634073</v>
      </c>
      <c r="D878" s="1">
        <f>YEAR(smart_dataset[[#This Row],[Date]])</f>
        <v>2024</v>
      </c>
      <c r="E878" s="1">
        <f>MONTH(smart_dataset[[#This Row],[Timestamp]])</f>
        <v>10</v>
      </c>
      <c r="F878" t="s">
        <v>16</v>
      </c>
      <c r="G878">
        <v>-49.842100000000002</v>
      </c>
      <c r="H878">
        <v>-83.296300000000002</v>
      </c>
      <c r="I878">
        <v>324</v>
      </c>
      <c r="J878" t="s">
        <v>26</v>
      </c>
      <c r="K878">
        <v>22.2</v>
      </c>
      <c r="L878">
        <v>62.9</v>
      </c>
      <c r="M878" t="s">
        <v>22</v>
      </c>
      <c r="N878">
        <v>50</v>
      </c>
      <c r="O878">
        <v>365</v>
      </c>
      <c r="P878">
        <v>7</v>
      </c>
      <c r="Q878" t="s">
        <v>23</v>
      </c>
      <c r="R878">
        <v>95.8</v>
      </c>
      <c r="S878">
        <v>210</v>
      </c>
      <c r="T878">
        <v>1</v>
      </c>
      <c r="U878" t="str" cm="1">
        <f t="array" ref="U878">_xlfn.IFS(smart_dataset[[#This Row],[Waiting_Time]]&lt;=20,"Low",smart_dataset[[#This Row],[Waiting_Time]]&lt;=40,"Medium",TRUE,"High")</f>
        <v>High</v>
      </c>
      <c r="V878" t="str" cm="1">
        <f t="array" ref="V878">_xlfn.IFS(smart_dataset[[#This Row],[Temperature]]&lt;=20,"Cold",smart_dataset[[#This Row],[Temperature]]&lt;=28,"Normal",TRUE,"Hot")</f>
        <v>Normal</v>
      </c>
      <c r="W878" t="str" cm="1">
        <f t="array" ref="W878">_xlfn.IFS(smart_dataset[[#This Row],[Asset_Utilization]]&lt;=75,"Low",smart_dataset[[#This Row],[Asset_Utilization]]&lt;=90,"Medium",TRUE,"High")</f>
        <v>High</v>
      </c>
    </row>
    <row r="879" spans="1:23" x14ac:dyDescent="0.25">
      <c r="A879" s="1">
        <v>45649.933888888889</v>
      </c>
      <c r="B879" s="1">
        <f>INT(smart_dataset[[#This Row],[Timestamp]])</f>
        <v>45649</v>
      </c>
      <c r="C879" s="7">
        <f>MOD(smart_dataset[[#This Row],[Timestamp]],1)</f>
        <v>0.93388888888875954</v>
      </c>
      <c r="D879">
        <f>YEAR(smart_dataset[[#This Row],[Date]])</f>
        <v>2024</v>
      </c>
      <c r="E879">
        <f>MONTH(smart_dataset[[#This Row],[Timestamp]])</f>
        <v>12</v>
      </c>
      <c r="F879" t="s">
        <v>35</v>
      </c>
      <c r="G879">
        <v>22.535900000000002</v>
      </c>
      <c r="H879">
        <v>82.624799999999993</v>
      </c>
      <c r="I879">
        <v>325</v>
      </c>
      <c r="J879" t="s">
        <v>21</v>
      </c>
      <c r="K879">
        <v>26</v>
      </c>
      <c r="L879">
        <v>56</v>
      </c>
      <c r="M879" t="s">
        <v>28</v>
      </c>
      <c r="N879">
        <v>34</v>
      </c>
      <c r="O879">
        <v>359</v>
      </c>
      <c r="P879">
        <v>4</v>
      </c>
      <c r="Q879" t="s">
        <v>19</v>
      </c>
      <c r="R879">
        <v>72.2</v>
      </c>
      <c r="S879">
        <v>248</v>
      </c>
      <c r="T879">
        <v>0</v>
      </c>
      <c r="U879" t="str" cm="1">
        <f t="array" ref="U879">_xlfn.IFS(smart_dataset[[#This Row],[Waiting_Time]]&lt;=20,"Low",smart_dataset[[#This Row],[Waiting_Time]]&lt;=40,"Medium",TRUE,"High")</f>
        <v>Medium</v>
      </c>
      <c r="V879" t="str" cm="1">
        <f t="array" ref="V879">_xlfn.IFS(smart_dataset[[#This Row],[Temperature]]&lt;=20,"Cold",smart_dataset[[#This Row],[Temperature]]&lt;=28,"Normal",TRUE,"Hot")</f>
        <v>Normal</v>
      </c>
      <c r="W879" t="str" cm="1">
        <f t="array" ref="W879">_xlfn.IFS(smart_dataset[[#This Row],[Asset_Utilization]]&lt;=75,"Low",smart_dataset[[#This Row],[Asset_Utilization]]&lt;=90,"Medium",TRUE,"High")</f>
        <v>Low</v>
      </c>
    </row>
    <row r="880" spans="1:23" hidden="1" x14ac:dyDescent="0.25">
      <c r="A880" s="1">
        <v>45446.403263888889</v>
      </c>
      <c r="B880" s="1">
        <f>INT(smart_dataset[[#This Row],[Timestamp]])</f>
        <v>45446</v>
      </c>
      <c r="C880" s="1">
        <f>MOD(smart_dataset[[#This Row],[Timestamp]],1)</f>
        <v>0.40326388888934162</v>
      </c>
      <c r="D880" s="1">
        <f>YEAR(smart_dataset[[#This Row],[Date]])</f>
        <v>2024</v>
      </c>
      <c r="E880" s="1">
        <f>MONTH(smart_dataset[[#This Row],[Timestamp]])</f>
        <v>6</v>
      </c>
      <c r="F880" t="s">
        <v>24</v>
      </c>
      <c r="G880">
        <v>30.8916</v>
      </c>
      <c r="H880">
        <v>173.48330000000001</v>
      </c>
      <c r="I880">
        <v>245</v>
      </c>
      <c r="J880" t="s">
        <v>26</v>
      </c>
      <c r="K880">
        <v>22</v>
      </c>
      <c r="L880">
        <v>61.2</v>
      </c>
      <c r="M880" t="s">
        <v>18</v>
      </c>
      <c r="N880">
        <v>22</v>
      </c>
      <c r="O880">
        <v>480</v>
      </c>
      <c r="P880">
        <v>6</v>
      </c>
      <c r="Q880" t="s">
        <v>23</v>
      </c>
      <c r="R880">
        <v>89.3</v>
      </c>
      <c r="S880">
        <v>284</v>
      </c>
      <c r="T880">
        <v>0</v>
      </c>
      <c r="U880" t="str" cm="1">
        <f t="array" ref="U880">_xlfn.IFS(smart_dataset[[#This Row],[Waiting_Time]]&lt;=20,"Low",smart_dataset[[#This Row],[Waiting_Time]]&lt;=40,"Medium",TRUE,"High")</f>
        <v>Medium</v>
      </c>
      <c r="V880" t="str" cm="1">
        <f t="array" ref="V880">_xlfn.IFS(smart_dataset[[#This Row],[Temperature]]&lt;=20,"Cold",smart_dataset[[#This Row],[Temperature]]&lt;=28,"Normal",TRUE,"Hot")</f>
        <v>Normal</v>
      </c>
      <c r="W880" t="str" cm="1">
        <f t="array" ref="W880">_xlfn.IFS(smart_dataset[[#This Row],[Asset_Utilization]]&lt;=75,"Low",smart_dataset[[#This Row],[Asset_Utilization]]&lt;=90,"Medium",TRUE,"High")</f>
        <v>Medium</v>
      </c>
    </row>
    <row r="881" spans="1:23" hidden="1" x14ac:dyDescent="0.25">
      <c r="A881" s="1">
        <v>45469.472013888888</v>
      </c>
      <c r="B881" s="1">
        <f>INT(smart_dataset[[#This Row],[Timestamp]])</f>
        <v>45469</v>
      </c>
      <c r="C881" s="1">
        <f>MOD(smart_dataset[[#This Row],[Timestamp]],1)</f>
        <v>0.47201388888788642</v>
      </c>
      <c r="D881" s="1">
        <f>YEAR(smart_dataset[[#This Row],[Date]])</f>
        <v>2024</v>
      </c>
      <c r="E881" s="1">
        <f>MONTH(smart_dataset[[#This Row],[Timestamp]])</f>
        <v>6</v>
      </c>
      <c r="F881" t="s">
        <v>34</v>
      </c>
      <c r="G881">
        <v>3.0051000000000001</v>
      </c>
      <c r="H881">
        <v>-89.495699999999999</v>
      </c>
      <c r="I881">
        <v>424</v>
      </c>
      <c r="J881" t="s">
        <v>26</v>
      </c>
      <c r="K881">
        <v>23.2</v>
      </c>
      <c r="L881">
        <v>50.2</v>
      </c>
      <c r="M881" t="s">
        <v>28</v>
      </c>
      <c r="N881">
        <v>55</v>
      </c>
      <c r="O881">
        <v>385</v>
      </c>
      <c r="P881">
        <v>9</v>
      </c>
      <c r="Q881" t="s">
        <v>23</v>
      </c>
      <c r="R881">
        <v>83.2</v>
      </c>
      <c r="S881">
        <v>228</v>
      </c>
      <c r="T881">
        <v>0</v>
      </c>
      <c r="U881" t="str" cm="1">
        <f t="array" ref="U881">_xlfn.IFS(smart_dataset[[#This Row],[Waiting_Time]]&lt;=20,"Low",smart_dataset[[#This Row],[Waiting_Time]]&lt;=40,"Medium",TRUE,"High")</f>
        <v>High</v>
      </c>
      <c r="V881" t="str" cm="1">
        <f t="array" ref="V881">_xlfn.IFS(smart_dataset[[#This Row],[Temperature]]&lt;=20,"Cold",smart_dataset[[#This Row],[Temperature]]&lt;=28,"Normal",TRUE,"Hot")</f>
        <v>Normal</v>
      </c>
      <c r="W881" t="str" cm="1">
        <f t="array" ref="W881">_xlfn.IFS(smart_dataset[[#This Row],[Asset_Utilization]]&lt;=75,"Low",smart_dataset[[#This Row],[Asset_Utilization]]&lt;=90,"Medium",TRUE,"High")</f>
        <v>Medium</v>
      </c>
    </row>
    <row r="882" spans="1:23" hidden="1" x14ac:dyDescent="0.25">
      <c r="A882" s="1">
        <v>45639.726701388892</v>
      </c>
      <c r="B882" s="1">
        <f>INT(smart_dataset[[#This Row],[Timestamp]])</f>
        <v>45639</v>
      </c>
      <c r="C882" s="1">
        <f>MOD(smart_dataset[[#This Row],[Timestamp]],1)</f>
        <v>0.726701388892252</v>
      </c>
      <c r="D882" s="1">
        <f>YEAR(smart_dataset[[#This Row],[Date]])</f>
        <v>2024</v>
      </c>
      <c r="E882" s="1">
        <f>MONTH(smart_dataset[[#This Row],[Timestamp]])</f>
        <v>12</v>
      </c>
      <c r="F882" t="s">
        <v>34</v>
      </c>
      <c r="G882">
        <v>-9.8415999999999997</v>
      </c>
      <c r="H882">
        <v>87.344399999999993</v>
      </c>
      <c r="I882">
        <v>467</v>
      </c>
      <c r="J882" t="s">
        <v>17</v>
      </c>
      <c r="K882">
        <v>26.5</v>
      </c>
      <c r="L882">
        <v>62.1</v>
      </c>
      <c r="M882" t="s">
        <v>22</v>
      </c>
      <c r="N882">
        <v>54</v>
      </c>
      <c r="O882">
        <v>222</v>
      </c>
      <c r="P882">
        <v>2</v>
      </c>
      <c r="Q882" t="s">
        <v>27</v>
      </c>
      <c r="R882">
        <v>97.3</v>
      </c>
      <c r="S882">
        <v>259</v>
      </c>
      <c r="T882">
        <v>1</v>
      </c>
      <c r="U882" t="str" cm="1">
        <f t="array" ref="U882">_xlfn.IFS(smart_dataset[[#This Row],[Waiting_Time]]&lt;=20,"Low",smart_dataset[[#This Row],[Waiting_Time]]&lt;=40,"Medium",TRUE,"High")</f>
        <v>High</v>
      </c>
      <c r="V882" t="str" cm="1">
        <f t="array" ref="V882">_xlfn.IFS(smart_dataset[[#This Row],[Temperature]]&lt;=20,"Cold",smart_dataset[[#This Row],[Temperature]]&lt;=28,"Normal",TRUE,"Hot")</f>
        <v>Normal</v>
      </c>
      <c r="W882" t="str" cm="1">
        <f t="array" ref="W882">_xlfn.IFS(smart_dataset[[#This Row],[Asset_Utilization]]&lt;=75,"Low",smart_dataset[[#This Row],[Asset_Utilization]]&lt;=90,"Medium",TRUE,"High")</f>
        <v>High</v>
      </c>
    </row>
    <row r="883" spans="1:23" x14ac:dyDescent="0.25">
      <c r="A883" s="1">
        <v>45375.504907407405</v>
      </c>
      <c r="B883" s="1">
        <f>INT(smart_dataset[[#This Row],[Timestamp]])</f>
        <v>45375</v>
      </c>
      <c r="C883" s="7">
        <f>MOD(smart_dataset[[#This Row],[Timestamp]],1)</f>
        <v>0.50490740740497131</v>
      </c>
      <c r="D883">
        <f>YEAR(smart_dataset[[#This Row],[Date]])</f>
        <v>2024</v>
      </c>
      <c r="E883">
        <f>MONTH(smart_dataset[[#This Row],[Timestamp]])</f>
        <v>3</v>
      </c>
      <c r="F883" t="s">
        <v>29</v>
      </c>
      <c r="G883">
        <v>-84.642499999999998</v>
      </c>
      <c r="H883">
        <v>70.456999999999994</v>
      </c>
      <c r="I883">
        <v>262</v>
      </c>
      <c r="J883" t="s">
        <v>21</v>
      </c>
      <c r="K883">
        <v>23.4</v>
      </c>
      <c r="L883">
        <v>62</v>
      </c>
      <c r="M883" t="s">
        <v>22</v>
      </c>
      <c r="N883">
        <v>36</v>
      </c>
      <c r="O883">
        <v>272</v>
      </c>
      <c r="P883">
        <v>7</v>
      </c>
      <c r="Q883" t="s">
        <v>19</v>
      </c>
      <c r="R883">
        <v>82.9</v>
      </c>
      <c r="S883">
        <v>146</v>
      </c>
      <c r="T883">
        <v>1</v>
      </c>
      <c r="U883" t="str" cm="1">
        <f t="array" ref="U883">_xlfn.IFS(smart_dataset[[#This Row],[Waiting_Time]]&lt;=20,"Low",smart_dataset[[#This Row],[Waiting_Time]]&lt;=40,"Medium",TRUE,"High")</f>
        <v>Medium</v>
      </c>
      <c r="V883" t="str" cm="1">
        <f t="array" ref="V883">_xlfn.IFS(smart_dataset[[#This Row],[Temperature]]&lt;=20,"Cold",smart_dataset[[#This Row],[Temperature]]&lt;=28,"Normal",TRUE,"Hot")</f>
        <v>Normal</v>
      </c>
      <c r="W883" t="str" cm="1">
        <f t="array" ref="W883">_xlfn.IFS(smart_dataset[[#This Row],[Asset_Utilization]]&lt;=75,"Low",smart_dataset[[#This Row],[Asset_Utilization]]&lt;=90,"Medium",TRUE,"High")</f>
        <v>Medium</v>
      </c>
    </row>
    <row r="884" spans="1:23" hidden="1" x14ac:dyDescent="0.25">
      <c r="A884" s="1">
        <v>45552.15861111111</v>
      </c>
      <c r="B884" s="1">
        <f>INT(smart_dataset[[#This Row],[Timestamp]])</f>
        <v>45552</v>
      </c>
      <c r="C884" s="1">
        <f>MOD(smart_dataset[[#This Row],[Timestamp]],1)</f>
        <v>0.15861111111007631</v>
      </c>
      <c r="D884" s="1">
        <f>YEAR(smart_dataset[[#This Row],[Date]])</f>
        <v>2024</v>
      </c>
      <c r="E884" s="1">
        <f>MONTH(smart_dataset[[#This Row],[Timestamp]])</f>
        <v>9</v>
      </c>
      <c r="F884" t="s">
        <v>16</v>
      </c>
      <c r="G884">
        <v>1.8374999999999999</v>
      </c>
      <c r="H884">
        <v>71.811000000000007</v>
      </c>
      <c r="I884">
        <v>356</v>
      </c>
      <c r="J884" t="s">
        <v>26</v>
      </c>
      <c r="K884">
        <v>21.6</v>
      </c>
      <c r="L884">
        <v>60.4</v>
      </c>
      <c r="M884" t="s">
        <v>28</v>
      </c>
      <c r="N884">
        <v>45</v>
      </c>
      <c r="O884">
        <v>292</v>
      </c>
      <c r="P884">
        <v>1</v>
      </c>
      <c r="Q884" t="s">
        <v>31</v>
      </c>
      <c r="R884">
        <v>94.3</v>
      </c>
      <c r="S884">
        <v>196</v>
      </c>
      <c r="T884">
        <v>0</v>
      </c>
      <c r="U884" t="str" cm="1">
        <f t="array" ref="U884">_xlfn.IFS(smart_dataset[[#This Row],[Waiting_Time]]&lt;=20,"Low",smart_dataset[[#This Row],[Waiting_Time]]&lt;=40,"Medium",TRUE,"High")</f>
        <v>High</v>
      </c>
      <c r="V884" t="str" cm="1">
        <f t="array" ref="V884">_xlfn.IFS(smart_dataset[[#This Row],[Temperature]]&lt;=20,"Cold",smart_dataset[[#This Row],[Temperature]]&lt;=28,"Normal",TRUE,"Hot")</f>
        <v>Normal</v>
      </c>
      <c r="W884" t="str" cm="1">
        <f t="array" ref="W884">_xlfn.IFS(smart_dataset[[#This Row],[Asset_Utilization]]&lt;=75,"Low",smart_dataset[[#This Row],[Asset_Utilization]]&lt;=90,"Medium",TRUE,"High")</f>
        <v>High</v>
      </c>
    </row>
    <row r="885" spans="1:23" x14ac:dyDescent="0.25">
      <c r="A885" s="1">
        <v>45558.738611111112</v>
      </c>
      <c r="B885" s="1">
        <f>INT(smart_dataset[[#This Row],[Timestamp]])</f>
        <v>45558</v>
      </c>
      <c r="C885" s="7">
        <f>MOD(smart_dataset[[#This Row],[Timestamp]],1)</f>
        <v>0.73861111111182254</v>
      </c>
      <c r="D885">
        <f>YEAR(smart_dataset[[#This Row],[Date]])</f>
        <v>2024</v>
      </c>
      <c r="E885">
        <f>MONTH(smart_dataset[[#This Row],[Timestamp]])</f>
        <v>9</v>
      </c>
      <c r="F885" t="s">
        <v>20</v>
      </c>
      <c r="G885">
        <v>-69.867099999999994</v>
      </c>
      <c r="H885">
        <v>-68.072999999999993</v>
      </c>
      <c r="I885">
        <v>166</v>
      </c>
      <c r="J885" t="s">
        <v>17</v>
      </c>
      <c r="K885">
        <v>20.399999999999999</v>
      </c>
      <c r="L885">
        <v>70.2</v>
      </c>
      <c r="M885" t="s">
        <v>28</v>
      </c>
      <c r="N885">
        <v>19</v>
      </c>
      <c r="O885">
        <v>391</v>
      </c>
      <c r="P885">
        <v>5</v>
      </c>
      <c r="Q885" t="s">
        <v>19</v>
      </c>
      <c r="R885">
        <v>74</v>
      </c>
      <c r="S885">
        <v>238</v>
      </c>
      <c r="T885">
        <v>1</v>
      </c>
      <c r="U885" t="str" cm="1">
        <f t="array" ref="U885">_xlfn.IFS(smart_dataset[[#This Row],[Waiting_Time]]&lt;=20,"Low",smart_dataset[[#This Row],[Waiting_Time]]&lt;=40,"Medium",TRUE,"High")</f>
        <v>Low</v>
      </c>
      <c r="V885" t="str" cm="1">
        <f t="array" ref="V885">_xlfn.IFS(smart_dataset[[#This Row],[Temperature]]&lt;=20,"Cold",smart_dataset[[#This Row],[Temperature]]&lt;=28,"Normal",TRUE,"Hot")</f>
        <v>Normal</v>
      </c>
      <c r="W885" t="str" cm="1">
        <f t="array" ref="W885">_xlfn.IFS(smart_dataset[[#This Row],[Asset_Utilization]]&lt;=75,"Low",smart_dataset[[#This Row],[Asset_Utilization]]&lt;=90,"Medium",TRUE,"High")</f>
        <v>Low</v>
      </c>
    </row>
    <row r="886" spans="1:23" hidden="1" x14ac:dyDescent="0.25">
      <c r="A886" s="1">
        <v>45615.171087962961</v>
      </c>
      <c r="B886" s="1">
        <f>INT(smart_dataset[[#This Row],[Timestamp]])</f>
        <v>45615</v>
      </c>
      <c r="C886" s="1">
        <f>MOD(smart_dataset[[#This Row],[Timestamp]],1)</f>
        <v>0.17108796296088258</v>
      </c>
      <c r="D886" s="1">
        <f>YEAR(smart_dataset[[#This Row],[Date]])</f>
        <v>2024</v>
      </c>
      <c r="E886" s="1">
        <f>MONTH(smart_dataset[[#This Row],[Timestamp]])</f>
        <v>11</v>
      </c>
      <c r="F886" t="s">
        <v>29</v>
      </c>
      <c r="G886">
        <v>72.837400000000002</v>
      </c>
      <c r="H886">
        <v>179.4522</v>
      </c>
      <c r="I886">
        <v>349</v>
      </c>
      <c r="J886" t="s">
        <v>21</v>
      </c>
      <c r="K886">
        <v>25.6</v>
      </c>
      <c r="L886">
        <v>53.9</v>
      </c>
      <c r="M886" t="s">
        <v>22</v>
      </c>
      <c r="N886">
        <v>26</v>
      </c>
      <c r="O886">
        <v>189</v>
      </c>
      <c r="P886">
        <v>9</v>
      </c>
      <c r="Q886" t="s">
        <v>23</v>
      </c>
      <c r="R886">
        <v>77.099999999999994</v>
      </c>
      <c r="S886">
        <v>285</v>
      </c>
      <c r="T886">
        <v>1</v>
      </c>
      <c r="U886" t="str" cm="1">
        <f t="array" ref="U886">_xlfn.IFS(smart_dataset[[#This Row],[Waiting_Time]]&lt;=20,"Low",smart_dataset[[#This Row],[Waiting_Time]]&lt;=40,"Medium",TRUE,"High")</f>
        <v>Medium</v>
      </c>
      <c r="V886" t="str" cm="1">
        <f t="array" ref="V886">_xlfn.IFS(smart_dataset[[#This Row],[Temperature]]&lt;=20,"Cold",smart_dataset[[#This Row],[Temperature]]&lt;=28,"Normal",TRUE,"Hot")</f>
        <v>Normal</v>
      </c>
      <c r="W886" t="str" cm="1">
        <f t="array" ref="W886">_xlfn.IFS(smart_dataset[[#This Row],[Asset_Utilization]]&lt;=75,"Low",smart_dataset[[#This Row],[Asset_Utilization]]&lt;=90,"Medium",TRUE,"High")</f>
        <v>Medium</v>
      </c>
    </row>
    <row r="887" spans="1:23" hidden="1" x14ac:dyDescent="0.25">
      <c r="A887" s="1">
        <v>45517.07135416667</v>
      </c>
      <c r="B887" s="1">
        <f>INT(smart_dataset[[#This Row],[Timestamp]])</f>
        <v>45517</v>
      </c>
      <c r="C887" s="1">
        <f>MOD(smart_dataset[[#This Row],[Timestamp]],1)</f>
        <v>7.1354166670062114E-2</v>
      </c>
      <c r="D887" s="1">
        <f>YEAR(smart_dataset[[#This Row],[Date]])</f>
        <v>2024</v>
      </c>
      <c r="E887" s="1">
        <f>MONTH(smart_dataset[[#This Row],[Timestamp]])</f>
        <v>8</v>
      </c>
      <c r="F887" t="s">
        <v>16</v>
      </c>
      <c r="G887">
        <v>50.877499999999998</v>
      </c>
      <c r="H887">
        <v>-155.5478</v>
      </c>
      <c r="I887">
        <v>338</v>
      </c>
      <c r="J887" t="s">
        <v>26</v>
      </c>
      <c r="K887">
        <v>26.8</v>
      </c>
      <c r="L887">
        <v>68.3</v>
      </c>
      <c r="M887" t="s">
        <v>18</v>
      </c>
      <c r="N887">
        <v>45</v>
      </c>
      <c r="O887">
        <v>458</v>
      </c>
      <c r="P887">
        <v>9</v>
      </c>
      <c r="Q887" t="s">
        <v>31</v>
      </c>
      <c r="R887">
        <v>76.7</v>
      </c>
      <c r="S887">
        <v>191</v>
      </c>
      <c r="T887">
        <v>0</v>
      </c>
      <c r="U887" t="str" cm="1">
        <f t="array" ref="U887">_xlfn.IFS(smart_dataset[[#This Row],[Waiting_Time]]&lt;=20,"Low",smart_dataset[[#This Row],[Waiting_Time]]&lt;=40,"Medium",TRUE,"High")</f>
        <v>High</v>
      </c>
      <c r="V887" t="str" cm="1">
        <f t="array" ref="V887">_xlfn.IFS(smart_dataset[[#This Row],[Temperature]]&lt;=20,"Cold",smart_dataset[[#This Row],[Temperature]]&lt;=28,"Normal",TRUE,"Hot")</f>
        <v>Normal</v>
      </c>
      <c r="W887" t="str" cm="1">
        <f t="array" ref="W887">_xlfn.IFS(smart_dataset[[#This Row],[Asset_Utilization]]&lt;=75,"Low",smart_dataset[[#This Row],[Asset_Utilization]]&lt;=90,"Medium",TRUE,"High")</f>
        <v>Medium</v>
      </c>
    </row>
    <row r="888" spans="1:23" hidden="1" x14ac:dyDescent="0.25">
      <c r="A888" s="1">
        <v>45512.549861111111</v>
      </c>
      <c r="B888" s="1">
        <f>INT(smart_dataset[[#This Row],[Timestamp]])</f>
        <v>45512</v>
      </c>
      <c r="C888" s="1">
        <f>MOD(smart_dataset[[#This Row],[Timestamp]],1)</f>
        <v>0.54986111111065838</v>
      </c>
      <c r="D888" s="1">
        <f>YEAR(smart_dataset[[#This Row],[Date]])</f>
        <v>2024</v>
      </c>
      <c r="E888" s="1">
        <f>MONTH(smart_dataset[[#This Row],[Timestamp]])</f>
        <v>8</v>
      </c>
      <c r="F888" t="s">
        <v>34</v>
      </c>
      <c r="G888">
        <v>23.7118</v>
      </c>
      <c r="H888">
        <v>-92.909800000000004</v>
      </c>
      <c r="I888">
        <v>273</v>
      </c>
      <c r="J888" t="s">
        <v>26</v>
      </c>
      <c r="K888">
        <v>19.899999999999999</v>
      </c>
      <c r="L888">
        <v>63.6</v>
      </c>
      <c r="M888" t="s">
        <v>28</v>
      </c>
      <c r="N888">
        <v>27</v>
      </c>
      <c r="O888">
        <v>265</v>
      </c>
      <c r="P888">
        <v>8</v>
      </c>
      <c r="Q888" t="s">
        <v>23</v>
      </c>
      <c r="R888">
        <v>77</v>
      </c>
      <c r="S888">
        <v>243</v>
      </c>
      <c r="T888">
        <v>0</v>
      </c>
      <c r="U888" t="str" cm="1">
        <f t="array" ref="U888">_xlfn.IFS(smart_dataset[[#This Row],[Waiting_Time]]&lt;=20,"Low",smart_dataset[[#This Row],[Waiting_Time]]&lt;=40,"Medium",TRUE,"High")</f>
        <v>Medium</v>
      </c>
      <c r="V888" t="str" cm="1">
        <f t="array" ref="V888">_xlfn.IFS(smart_dataset[[#This Row],[Temperature]]&lt;=20,"Cold",smart_dataset[[#This Row],[Temperature]]&lt;=28,"Normal",TRUE,"Hot")</f>
        <v>Cold</v>
      </c>
      <c r="W888" t="str" cm="1">
        <f t="array" ref="W888">_xlfn.IFS(smart_dataset[[#This Row],[Asset_Utilization]]&lt;=75,"Low",smart_dataset[[#This Row],[Asset_Utilization]]&lt;=90,"Medium",TRUE,"High")</f>
        <v>Medium</v>
      </c>
    </row>
    <row r="889" spans="1:23" hidden="1" x14ac:dyDescent="0.25">
      <c r="A889" s="1">
        <v>45544.453611111108</v>
      </c>
      <c r="B889" s="1">
        <f>INT(smart_dataset[[#This Row],[Timestamp]])</f>
        <v>45544</v>
      </c>
      <c r="C889" s="1">
        <f>MOD(smart_dataset[[#This Row],[Timestamp]],1)</f>
        <v>0.45361111110833008</v>
      </c>
      <c r="D889" s="1">
        <f>YEAR(smart_dataset[[#This Row],[Date]])</f>
        <v>2024</v>
      </c>
      <c r="E889" s="1">
        <f>MONTH(smart_dataset[[#This Row],[Timestamp]])</f>
        <v>9</v>
      </c>
      <c r="F889" t="s">
        <v>16</v>
      </c>
      <c r="G889">
        <v>65.964100000000002</v>
      </c>
      <c r="H889">
        <v>85.992500000000007</v>
      </c>
      <c r="I889">
        <v>239</v>
      </c>
      <c r="J889" t="s">
        <v>21</v>
      </c>
      <c r="K889">
        <v>25.8</v>
      </c>
      <c r="L889">
        <v>56</v>
      </c>
      <c r="M889" t="s">
        <v>18</v>
      </c>
      <c r="N889">
        <v>50</v>
      </c>
      <c r="O889">
        <v>274</v>
      </c>
      <c r="P889">
        <v>7</v>
      </c>
      <c r="Q889" t="s">
        <v>23</v>
      </c>
      <c r="R889">
        <v>88.3</v>
      </c>
      <c r="S889">
        <v>261</v>
      </c>
      <c r="T889">
        <v>0</v>
      </c>
      <c r="U889" t="str" cm="1">
        <f t="array" ref="U889">_xlfn.IFS(smart_dataset[[#This Row],[Waiting_Time]]&lt;=20,"Low",smart_dataset[[#This Row],[Waiting_Time]]&lt;=40,"Medium",TRUE,"High")</f>
        <v>High</v>
      </c>
      <c r="V889" t="str" cm="1">
        <f t="array" ref="V889">_xlfn.IFS(smart_dataset[[#This Row],[Temperature]]&lt;=20,"Cold",smart_dataset[[#This Row],[Temperature]]&lt;=28,"Normal",TRUE,"Hot")</f>
        <v>Normal</v>
      </c>
      <c r="W889" t="str" cm="1">
        <f t="array" ref="W889">_xlfn.IFS(smart_dataset[[#This Row],[Asset_Utilization]]&lt;=75,"Low",smart_dataset[[#This Row],[Asset_Utilization]]&lt;=90,"Medium",TRUE,"High")</f>
        <v>Medium</v>
      </c>
    </row>
    <row r="890" spans="1:23" hidden="1" x14ac:dyDescent="0.25">
      <c r="A890" s="1">
        <v>45623.378981481481</v>
      </c>
      <c r="B890" s="1">
        <f>INT(smart_dataset[[#This Row],[Timestamp]])</f>
        <v>45623</v>
      </c>
      <c r="C890" s="1">
        <f>MOD(smart_dataset[[#This Row],[Timestamp]],1)</f>
        <v>0.37898148148087785</v>
      </c>
      <c r="D890" s="1">
        <f>YEAR(smart_dataset[[#This Row],[Date]])</f>
        <v>2024</v>
      </c>
      <c r="E890" s="1">
        <f>MONTH(smart_dataset[[#This Row],[Timestamp]])</f>
        <v>11</v>
      </c>
      <c r="F890" t="s">
        <v>25</v>
      </c>
      <c r="G890">
        <v>41.728499999999997</v>
      </c>
      <c r="H890">
        <v>131.83760000000001</v>
      </c>
      <c r="I890">
        <v>278</v>
      </c>
      <c r="J890" t="s">
        <v>26</v>
      </c>
      <c r="K890">
        <v>22.8</v>
      </c>
      <c r="L890">
        <v>52.9</v>
      </c>
      <c r="M890" t="s">
        <v>22</v>
      </c>
      <c r="N890">
        <v>18</v>
      </c>
      <c r="O890">
        <v>104</v>
      </c>
      <c r="P890">
        <v>4</v>
      </c>
      <c r="Q890" t="s">
        <v>27</v>
      </c>
      <c r="R890">
        <v>71.2</v>
      </c>
      <c r="S890">
        <v>190</v>
      </c>
      <c r="T890">
        <v>1</v>
      </c>
      <c r="U890" t="str" cm="1">
        <f t="array" ref="U890">_xlfn.IFS(smart_dataset[[#This Row],[Waiting_Time]]&lt;=20,"Low",smart_dataset[[#This Row],[Waiting_Time]]&lt;=40,"Medium",TRUE,"High")</f>
        <v>Low</v>
      </c>
      <c r="V890" t="str" cm="1">
        <f t="array" ref="V890">_xlfn.IFS(smart_dataset[[#This Row],[Temperature]]&lt;=20,"Cold",smart_dataset[[#This Row],[Temperature]]&lt;=28,"Normal",TRUE,"Hot")</f>
        <v>Normal</v>
      </c>
      <c r="W890" t="str" cm="1">
        <f t="array" ref="W890">_xlfn.IFS(smart_dataset[[#This Row],[Asset_Utilization]]&lt;=75,"Low",smart_dataset[[#This Row],[Asset_Utilization]]&lt;=90,"Medium",TRUE,"High")</f>
        <v>Low</v>
      </c>
    </row>
    <row r="891" spans="1:23" hidden="1" x14ac:dyDescent="0.25">
      <c r="A891" s="1">
        <v>45411.647291666668</v>
      </c>
      <c r="B891" s="1">
        <f>INT(smart_dataset[[#This Row],[Timestamp]])</f>
        <v>45411</v>
      </c>
      <c r="C891" s="1">
        <f>MOD(smart_dataset[[#This Row],[Timestamp]],1)</f>
        <v>0.64729166666802485</v>
      </c>
      <c r="D891" s="1">
        <f>YEAR(smart_dataset[[#This Row],[Date]])</f>
        <v>2024</v>
      </c>
      <c r="E891" s="1">
        <f>MONTH(smart_dataset[[#This Row],[Timestamp]])</f>
        <v>4</v>
      </c>
      <c r="F891" t="s">
        <v>35</v>
      </c>
      <c r="G891">
        <v>-79.293300000000002</v>
      </c>
      <c r="H891">
        <v>52.619599999999998</v>
      </c>
      <c r="I891">
        <v>412</v>
      </c>
      <c r="J891" t="s">
        <v>17</v>
      </c>
      <c r="K891">
        <v>20.2</v>
      </c>
      <c r="L891">
        <v>65</v>
      </c>
      <c r="M891" t="s">
        <v>28</v>
      </c>
      <c r="N891">
        <v>14</v>
      </c>
      <c r="O891">
        <v>230</v>
      </c>
      <c r="P891">
        <v>2</v>
      </c>
      <c r="Q891" t="s">
        <v>31</v>
      </c>
      <c r="R891">
        <v>72.900000000000006</v>
      </c>
      <c r="S891">
        <v>249</v>
      </c>
      <c r="T891">
        <v>1</v>
      </c>
      <c r="U891" t="str" cm="1">
        <f t="array" ref="U891">_xlfn.IFS(smart_dataset[[#This Row],[Waiting_Time]]&lt;=20,"Low",smart_dataset[[#This Row],[Waiting_Time]]&lt;=40,"Medium",TRUE,"High")</f>
        <v>Low</v>
      </c>
      <c r="V891" t="str" cm="1">
        <f t="array" ref="V891">_xlfn.IFS(smart_dataset[[#This Row],[Temperature]]&lt;=20,"Cold",smart_dataset[[#This Row],[Temperature]]&lt;=28,"Normal",TRUE,"Hot")</f>
        <v>Normal</v>
      </c>
      <c r="W891" t="str" cm="1">
        <f t="array" ref="W891">_xlfn.IFS(smart_dataset[[#This Row],[Asset_Utilization]]&lt;=75,"Low",smart_dataset[[#This Row],[Asset_Utilization]]&lt;=90,"Medium",TRUE,"High")</f>
        <v>Low</v>
      </c>
    </row>
    <row r="892" spans="1:23" x14ac:dyDescent="0.25">
      <c r="A892" s="1">
        <v>45656.807615740741</v>
      </c>
      <c r="B892" s="1">
        <f>INT(smart_dataset[[#This Row],[Timestamp]])</f>
        <v>45656</v>
      </c>
      <c r="C892" s="7">
        <f>MOD(smart_dataset[[#This Row],[Timestamp]],1)</f>
        <v>0.80761574074131204</v>
      </c>
      <c r="D892">
        <f>YEAR(smart_dataset[[#This Row],[Date]])</f>
        <v>2024</v>
      </c>
      <c r="E892">
        <f>MONTH(smart_dataset[[#This Row],[Timestamp]])</f>
        <v>12</v>
      </c>
      <c r="F892" t="s">
        <v>20</v>
      </c>
      <c r="G892">
        <v>78.128500000000003</v>
      </c>
      <c r="H892">
        <v>162.4365</v>
      </c>
      <c r="I892">
        <v>125</v>
      </c>
      <c r="J892" t="s">
        <v>21</v>
      </c>
      <c r="K892">
        <v>25.4</v>
      </c>
      <c r="L892">
        <v>61.5</v>
      </c>
      <c r="M892" t="s">
        <v>18</v>
      </c>
      <c r="N892">
        <v>50</v>
      </c>
      <c r="O892">
        <v>408</v>
      </c>
      <c r="P892">
        <v>6</v>
      </c>
      <c r="Q892" t="s">
        <v>19</v>
      </c>
      <c r="R892">
        <v>83.4</v>
      </c>
      <c r="S892">
        <v>221</v>
      </c>
      <c r="T892">
        <v>0</v>
      </c>
      <c r="U892" t="str" cm="1">
        <f t="array" ref="U892">_xlfn.IFS(smart_dataset[[#This Row],[Waiting_Time]]&lt;=20,"Low",smart_dataset[[#This Row],[Waiting_Time]]&lt;=40,"Medium",TRUE,"High")</f>
        <v>High</v>
      </c>
      <c r="V892" t="str" cm="1">
        <f t="array" ref="V892">_xlfn.IFS(smart_dataset[[#This Row],[Temperature]]&lt;=20,"Cold",smart_dataset[[#This Row],[Temperature]]&lt;=28,"Normal",TRUE,"Hot")</f>
        <v>Normal</v>
      </c>
      <c r="W892" t="str" cm="1">
        <f t="array" ref="W892">_xlfn.IFS(smart_dataset[[#This Row],[Asset_Utilization]]&lt;=75,"Low",smart_dataset[[#This Row],[Asset_Utilization]]&lt;=90,"Medium",TRUE,"High")</f>
        <v>Medium</v>
      </c>
    </row>
    <row r="893" spans="1:23" hidden="1" x14ac:dyDescent="0.25">
      <c r="A893" s="1">
        <v>45645.887928240743</v>
      </c>
      <c r="B893" s="1">
        <f>INT(smart_dataset[[#This Row],[Timestamp]])</f>
        <v>45645</v>
      </c>
      <c r="C893" s="1">
        <f>MOD(smart_dataset[[#This Row],[Timestamp]],1)</f>
        <v>0.88792824074334931</v>
      </c>
      <c r="D893" s="1">
        <f>YEAR(smart_dataset[[#This Row],[Date]])</f>
        <v>2024</v>
      </c>
      <c r="E893" s="1">
        <f>MONTH(smart_dataset[[#This Row],[Timestamp]])</f>
        <v>12</v>
      </c>
      <c r="F893" t="s">
        <v>32</v>
      </c>
      <c r="G893">
        <v>56.544499999999999</v>
      </c>
      <c r="H893">
        <v>31.2501</v>
      </c>
      <c r="I893">
        <v>404</v>
      </c>
      <c r="J893" t="s">
        <v>26</v>
      </c>
      <c r="K893">
        <v>24.7</v>
      </c>
      <c r="L893">
        <v>74.2</v>
      </c>
      <c r="M893" t="s">
        <v>22</v>
      </c>
      <c r="N893">
        <v>23</v>
      </c>
      <c r="O893">
        <v>459</v>
      </c>
      <c r="P893">
        <v>1</v>
      </c>
      <c r="Q893" t="s">
        <v>27</v>
      </c>
      <c r="R893">
        <v>71.7</v>
      </c>
      <c r="S893">
        <v>127</v>
      </c>
      <c r="T893">
        <v>1</v>
      </c>
      <c r="U893" t="str" cm="1">
        <f t="array" ref="U893">_xlfn.IFS(smart_dataset[[#This Row],[Waiting_Time]]&lt;=20,"Low",smart_dataset[[#This Row],[Waiting_Time]]&lt;=40,"Medium",TRUE,"High")</f>
        <v>Medium</v>
      </c>
      <c r="V893" t="str" cm="1">
        <f t="array" ref="V893">_xlfn.IFS(smart_dataset[[#This Row],[Temperature]]&lt;=20,"Cold",smart_dataset[[#This Row],[Temperature]]&lt;=28,"Normal",TRUE,"Hot")</f>
        <v>Normal</v>
      </c>
      <c r="W893" t="str" cm="1">
        <f t="array" ref="W893">_xlfn.IFS(smart_dataset[[#This Row],[Asset_Utilization]]&lt;=75,"Low",smart_dataset[[#This Row],[Asset_Utilization]]&lt;=90,"Medium",TRUE,"High")</f>
        <v>Low</v>
      </c>
    </row>
    <row r="894" spans="1:23" x14ac:dyDescent="0.25">
      <c r="A894" s="1">
        <v>45541.537094907406</v>
      </c>
      <c r="B894" s="1">
        <f>INT(smart_dataset[[#This Row],[Timestamp]])</f>
        <v>45541</v>
      </c>
      <c r="C894" s="7">
        <f>MOD(smart_dataset[[#This Row],[Timestamp]],1)</f>
        <v>0.53709490740584442</v>
      </c>
      <c r="D894">
        <f>YEAR(smart_dataset[[#This Row],[Date]])</f>
        <v>2024</v>
      </c>
      <c r="E894">
        <f>MONTH(smart_dataset[[#This Row],[Timestamp]])</f>
        <v>9</v>
      </c>
      <c r="F894" t="s">
        <v>25</v>
      </c>
      <c r="G894">
        <v>44.245100000000001</v>
      </c>
      <c r="H894">
        <v>-34.257100000000001</v>
      </c>
      <c r="I894">
        <v>392</v>
      </c>
      <c r="J894" t="s">
        <v>26</v>
      </c>
      <c r="K894">
        <v>29.1</v>
      </c>
      <c r="L894">
        <v>51.3</v>
      </c>
      <c r="M894" t="s">
        <v>28</v>
      </c>
      <c r="N894">
        <v>35</v>
      </c>
      <c r="O894">
        <v>434</v>
      </c>
      <c r="P894">
        <v>7</v>
      </c>
      <c r="Q894" t="s">
        <v>19</v>
      </c>
      <c r="R894">
        <v>70.8</v>
      </c>
      <c r="S894">
        <v>249</v>
      </c>
      <c r="T894">
        <v>0</v>
      </c>
      <c r="U894" t="str" cm="1">
        <f t="array" ref="U894">_xlfn.IFS(smart_dataset[[#This Row],[Waiting_Time]]&lt;=20,"Low",smart_dataset[[#This Row],[Waiting_Time]]&lt;=40,"Medium",TRUE,"High")</f>
        <v>Medium</v>
      </c>
      <c r="V894" t="str" cm="1">
        <f t="array" ref="V894">_xlfn.IFS(smart_dataset[[#This Row],[Temperature]]&lt;=20,"Cold",smart_dataset[[#This Row],[Temperature]]&lt;=28,"Normal",TRUE,"Hot")</f>
        <v>Hot</v>
      </c>
      <c r="W894" t="str" cm="1">
        <f t="array" ref="W894">_xlfn.IFS(smart_dataset[[#This Row],[Asset_Utilization]]&lt;=75,"Low",smart_dataset[[#This Row],[Asset_Utilization]]&lt;=90,"Medium",TRUE,"High")</f>
        <v>Low</v>
      </c>
    </row>
    <row r="895" spans="1:23" hidden="1" x14ac:dyDescent="0.25">
      <c r="A895" s="1">
        <v>45656.297789351855</v>
      </c>
      <c r="B895" s="1">
        <f>INT(smart_dataset[[#This Row],[Timestamp]])</f>
        <v>45656</v>
      </c>
      <c r="C895" s="1">
        <f>MOD(smart_dataset[[#This Row],[Timestamp]],1)</f>
        <v>0.29778935185458977</v>
      </c>
      <c r="D895" s="1">
        <f>YEAR(smart_dataset[[#This Row],[Date]])</f>
        <v>2024</v>
      </c>
      <c r="E895" s="1">
        <f>MONTH(smart_dataset[[#This Row],[Timestamp]])</f>
        <v>12</v>
      </c>
      <c r="F895" t="s">
        <v>16</v>
      </c>
      <c r="G895">
        <v>-27.894400000000001</v>
      </c>
      <c r="H895">
        <v>104.517</v>
      </c>
      <c r="I895">
        <v>145</v>
      </c>
      <c r="J895" t="s">
        <v>26</v>
      </c>
      <c r="K895">
        <v>29.8</v>
      </c>
      <c r="L895">
        <v>75.7</v>
      </c>
      <c r="M895" t="s">
        <v>18</v>
      </c>
      <c r="N895">
        <v>60</v>
      </c>
      <c r="O895">
        <v>287</v>
      </c>
      <c r="P895">
        <v>9</v>
      </c>
      <c r="Q895" t="s">
        <v>27</v>
      </c>
      <c r="R895">
        <v>87.6</v>
      </c>
      <c r="S895">
        <v>216</v>
      </c>
      <c r="T895">
        <v>0</v>
      </c>
      <c r="U895" t="str" cm="1">
        <f t="array" ref="U895">_xlfn.IFS(smart_dataset[[#This Row],[Waiting_Time]]&lt;=20,"Low",smart_dataset[[#This Row],[Waiting_Time]]&lt;=40,"Medium",TRUE,"High")</f>
        <v>High</v>
      </c>
      <c r="V895" t="str" cm="1">
        <f t="array" ref="V895">_xlfn.IFS(smart_dataset[[#This Row],[Temperature]]&lt;=20,"Cold",smart_dataset[[#This Row],[Temperature]]&lt;=28,"Normal",TRUE,"Hot")</f>
        <v>Hot</v>
      </c>
      <c r="W895" t="str" cm="1">
        <f t="array" ref="W895">_xlfn.IFS(smart_dataset[[#This Row],[Asset_Utilization]]&lt;=75,"Low",smart_dataset[[#This Row],[Asset_Utilization]]&lt;=90,"Medium",TRUE,"High")</f>
        <v>Medium</v>
      </c>
    </row>
    <row r="896" spans="1:23" hidden="1" x14ac:dyDescent="0.25">
      <c r="A896" s="1">
        <v>45612.69326388889</v>
      </c>
      <c r="B896" s="1">
        <f>INT(smart_dataset[[#This Row],[Timestamp]])</f>
        <v>45612</v>
      </c>
      <c r="C896" s="1">
        <f>MOD(smart_dataset[[#This Row],[Timestamp]],1)</f>
        <v>0.69326388889021473</v>
      </c>
      <c r="D896" s="1">
        <f>YEAR(smart_dataset[[#This Row],[Date]])</f>
        <v>2024</v>
      </c>
      <c r="E896" s="1">
        <f>MONTH(smart_dataset[[#This Row],[Timestamp]])</f>
        <v>11</v>
      </c>
      <c r="F896" t="s">
        <v>29</v>
      </c>
      <c r="G896">
        <v>77.020600000000002</v>
      </c>
      <c r="H896">
        <v>0.82210000000000005</v>
      </c>
      <c r="I896">
        <v>485</v>
      </c>
      <c r="J896" t="s">
        <v>17</v>
      </c>
      <c r="K896">
        <v>24.6</v>
      </c>
      <c r="L896">
        <v>50.3</v>
      </c>
      <c r="M896" t="s">
        <v>22</v>
      </c>
      <c r="N896">
        <v>11</v>
      </c>
      <c r="O896">
        <v>155</v>
      </c>
      <c r="P896">
        <v>1</v>
      </c>
      <c r="Q896" t="s">
        <v>31</v>
      </c>
      <c r="R896">
        <v>84.9</v>
      </c>
      <c r="S896">
        <v>161</v>
      </c>
      <c r="T896">
        <v>1</v>
      </c>
      <c r="U896" t="str" cm="1">
        <f t="array" ref="U896">_xlfn.IFS(smart_dataset[[#This Row],[Waiting_Time]]&lt;=20,"Low",smart_dataset[[#This Row],[Waiting_Time]]&lt;=40,"Medium",TRUE,"High")</f>
        <v>Low</v>
      </c>
      <c r="V896" t="str" cm="1">
        <f t="array" ref="V896">_xlfn.IFS(smart_dataset[[#This Row],[Temperature]]&lt;=20,"Cold",smart_dataset[[#This Row],[Temperature]]&lt;=28,"Normal",TRUE,"Hot")</f>
        <v>Normal</v>
      </c>
      <c r="W896" t="str" cm="1">
        <f t="array" ref="W896">_xlfn.IFS(smart_dataset[[#This Row],[Asset_Utilization]]&lt;=75,"Low",smart_dataset[[#This Row],[Asset_Utilization]]&lt;=90,"Medium",TRUE,"High")</f>
        <v>Medium</v>
      </c>
    </row>
    <row r="897" spans="1:23" x14ac:dyDescent="0.25">
      <c r="A897" s="1">
        <v>45451.381365740737</v>
      </c>
      <c r="B897" s="1">
        <f>INT(smart_dataset[[#This Row],[Timestamp]])</f>
        <v>45451</v>
      </c>
      <c r="C897" s="7">
        <f>MOD(smart_dataset[[#This Row],[Timestamp]],1)</f>
        <v>0.3813657407372375</v>
      </c>
      <c r="D897">
        <f>YEAR(smart_dataset[[#This Row],[Date]])</f>
        <v>2024</v>
      </c>
      <c r="E897">
        <f>MONTH(smart_dataset[[#This Row],[Timestamp]])</f>
        <v>6</v>
      </c>
      <c r="F897" t="s">
        <v>29</v>
      </c>
      <c r="G897">
        <v>72.331100000000006</v>
      </c>
      <c r="H897">
        <v>-105.9002</v>
      </c>
      <c r="I897">
        <v>312</v>
      </c>
      <c r="J897" t="s">
        <v>17</v>
      </c>
      <c r="K897">
        <v>19.100000000000001</v>
      </c>
      <c r="L897">
        <v>52</v>
      </c>
      <c r="M897" t="s">
        <v>18</v>
      </c>
      <c r="N897">
        <v>50</v>
      </c>
      <c r="O897">
        <v>263</v>
      </c>
      <c r="P897">
        <v>2</v>
      </c>
      <c r="Q897" t="s">
        <v>19</v>
      </c>
      <c r="R897">
        <v>87.6</v>
      </c>
      <c r="S897">
        <v>123</v>
      </c>
      <c r="T897">
        <v>1</v>
      </c>
      <c r="U897" t="str" cm="1">
        <f t="array" ref="U897">_xlfn.IFS(smart_dataset[[#This Row],[Waiting_Time]]&lt;=20,"Low",smart_dataset[[#This Row],[Waiting_Time]]&lt;=40,"Medium",TRUE,"High")</f>
        <v>High</v>
      </c>
      <c r="V897" t="str" cm="1">
        <f t="array" ref="V897">_xlfn.IFS(smart_dataset[[#This Row],[Temperature]]&lt;=20,"Cold",smart_dataset[[#This Row],[Temperature]]&lt;=28,"Normal",TRUE,"Hot")</f>
        <v>Cold</v>
      </c>
      <c r="W897" t="str" cm="1">
        <f t="array" ref="W897">_xlfn.IFS(smart_dataset[[#This Row],[Asset_Utilization]]&lt;=75,"Low",smart_dataset[[#This Row],[Asset_Utilization]]&lt;=90,"Medium",TRUE,"High")</f>
        <v>Medium</v>
      </c>
    </row>
    <row r="898" spans="1:23" hidden="1" x14ac:dyDescent="0.25">
      <c r="A898" s="1">
        <v>45406.748136574075</v>
      </c>
      <c r="B898" s="1">
        <f>INT(smart_dataset[[#This Row],[Timestamp]])</f>
        <v>45406</v>
      </c>
      <c r="C898" s="1">
        <f>MOD(smart_dataset[[#This Row],[Timestamp]],1)</f>
        <v>0.74813657407503342</v>
      </c>
      <c r="D898" s="1">
        <f>YEAR(smart_dataset[[#This Row],[Date]])</f>
        <v>2024</v>
      </c>
      <c r="E898" s="1">
        <f>MONTH(smart_dataset[[#This Row],[Timestamp]])</f>
        <v>4</v>
      </c>
      <c r="F898" t="s">
        <v>20</v>
      </c>
      <c r="G898">
        <v>-30.420400000000001</v>
      </c>
      <c r="H898">
        <v>70.999799999999993</v>
      </c>
      <c r="I898">
        <v>286</v>
      </c>
      <c r="J898" t="s">
        <v>21</v>
      </c>
      <c r="K898">
        <v>25.1</v>
      </c>
      <c r="L898">
        <v>56.2</v>
      </c>
      <c r="M898" t="s">
        <v>18</v>
      </c>
      <c r="N898">
        <v>50</v>
      </c>
      <c r="O898">
        <v>408</v>
      </c>
      <c r="P898">
        <v>10</v>
      </c>
      <c r="Q898" t="s">
        <v>27</v>
      </c>
      <c r="R898">
        <v>99.3</v>
      </c>
      <c r="S898">
        <v>148</v>
      </c>
      <c r="T898">
        <v>0</v>
      </c>
      <c r="U898" t="str" cm="1">
        <f t="array" ref="U898">_xlfn.IFS(smart_dataset[[#This Row],[Waiting_Time]]&lt;=20,"Low",smart_dataset[[#This Row],[Waiting_Time]]&lt;=40,"Medium",TRUE,"High")</f>
        <v>High</v>
      </c>
      <c r="V898" t="str" cm="1">
        <f t="array" ref="V898">_xlfn.IFS(smart_dataset[[#This Row],[Temperature]]&lt;=20,"Cold",smart_dataset[[#This Row],[Temperature]]&lt;=28,"Normal",TRUE,"Hot")</f>
        <v>Normal</v>
      </c>
      <c r="W898" t="str" cm="1">
        <f t="array" ref="W898">_xlfn.IFS(smart_dataset[[#This Row],[Asset_Utilization]]&lt;=75,"Low",smart_dataset[[#This Row],[Asset_Utilization]]&lt;=90,"Medium",TRUE,"High")</f>
        <v>High</v>
      </c>
    </row>
    <row r="899" spans="1:23" x14ac:dyDescent="0.25">
      <c r="A899" s="1">
        <v>45352.856111111112</v>
      </c>
      <c r="B899" s="1">
        <f>INT(smart_dataset[[#This Row],[Timestamp]])</f>
        <v>45352</v>
      </c>
      <c r="C899" s="7">
        <f>MOD(smart_dataset[[#This Row],[Timestamp]],1)</f>
        <v>0.85611111111211358</v>
      </c>
      <c r="D899">
        <f>YEAR(smart_dataset[[#This Row],[Date]])</f>
        <v>2024</v>
      </c>
      <c r="E899">
        <f>MONTH(smart_dataset[[#This Row],[Timestamp]])</f>
        <v>3</v>
      </c>
      <c r="F899" t="s">
        <v>33</v>
      </c>
      <c r="G899">
        <v>-71.527900000000002</v>
      </c>
      <c r="H899">
        <v>-171.94280000000001</v>
      </c>
      <c r="I899">
        <v>396</v>
      </c>
      <c r="J899" t="s">
        <v>21</v>
      </c>
      <c r="K899">
        <v>23</v>
      </c>
      <c r="L899">
        <v>61.1</v>
      </c>
      <c r="M899" t="s">
        <v>28</v>
      </c>
      <c r="N899">
        <v>14</v>
      </c>
      <c r="O899">
        <v>439</v>
      </c>
      <c r="P899">
        <v>8</v>
      </c>
      <c r="Q899" t="s">
        <v>19</v>
      </c>
      <c r="R899">
        <v>91.9</v>
      </c>
      <c r="S899">
        <v>119</v>
      </c>
      <c r="T899">
        <v>0</v>
      </c>
      <c r="U899" t="str" cm="1">
        <f t="array" ref="U899">_xlfn.IFS(smart_dataset[[#This Row],[Waiting_Time]]&lt;=20,"Low",smart_dataset[[#This Row],[Waiting_Time]]&lt;=40,"Medium",TRUE,"High")</f>
        <v>Low</v>
      </c>
      <c r="V899" t="str" cm="1">
        <f t="array" ref="V899">_xlfn.IFS(smart_dataset[[#This Row],[Temperature]]&lt;=20,"Cold",smart_dataset[[#This Row],[Temperature]]&lt;=28,"Normal",TRUE,"Hot")</f>
        <v>Normal</v>
      </c>
      <c r="W899" t="str" cm="1">
        <f t="array" ref="W899">_xlfn.IFS(smart_dataset[[#This Row],[Asset_Utilization]]&lt;=75,"Low",smart_dataset[[#This Row],[Asset_Utilization]]&lt;=90,"Medium",TRUE,"High")</f>
        <v>High</v>
      </c>
    </row>
    <row r="900" spans="1:23" hidden="1" x14ac:dyDescent="0.25">
      <c r="A900" s="1">
        <v>45345.778182870374</v>
      </c>
      <c r="B900" s="1">
        <f>INT(smart_dataset[[#This Row],[Timestamp]])</f>
        <v>45345</v>
      </c>
      <c r="C900" s="1">
        <f>MOD(smart_dataset[[#This Row],[Timestamp]],1)</f>
        <v>0.77818287037371192</v>
      </c>
      <c r="D900" s="1">
        <f>YEAR(smart_dataset[[#This Row],[Date]])</f>
        <v>2024</v>
      </c>
      <c r="E900" s="1">
        <f>MONTH(smart_dataset[[#This Row],[Timestamp]])</f>
        <v>2</v>
      </c>
      <c r="F900" t="s">
        <v>35</v>
      </c>
      <c r="G900">
        <v>-53.249200000000002</v>
      </c>
      <c r="H900">
        <v>-17.117999999999999</v>
      </c>
      <c r="I900">
        <v>352</v>
      </c>
      <c r="J900" t="s">
        <v>26</v>
      </c>
      <c r="K900">
        <v>26.6</v>
      </c>
      <c r="L900">
        <v>70.3</v>
      </c>
      <c r="M900" t="s">
        <v>18</v>
      </c>
      <c r="N900">
        <v>12</v>
      </c>
      <c r="O900">
        <v>260</v>
      </c>
      <c r="P900">
        <v>7</v>
      </c>
      <c r="Q900" t="s">
        <v>27</v>
      </c>
      <c r="R900">
        <v>77.400000000000006</v>
      </c>
      <c r="S900">
        <v>267</v>
      </c>
      <c r="T900">
        <v>0</v>
      </c>
      <c r="U900" t="str" cm="1">
        <f t="array" ref="U900">_xlfn.IFS(smart_dataset[[#This Row],[Waiting_Time]]&lt;=20,"Low",smart_dataset[[#This Row],[Waiting_Time]]&lt;=40,"Medium",TRUE,"High")</f>
        <v>Low</v>
      </c>
      <c r="V900" t="str" cm="1">
        <f t="array" ref="V900">_xlfn.IFS(smart_dataset[[#This Row],[Temperature]]&lt;=20,"Cold",smart_dataset[[#This Row],[Temperature]]&lt;=28,"Normal",TRUE,"Hot")</f>
        <v>Normal</v>
      </c>
      <c r="W900" t="str" cm="1">
        <f t="array" ref="W900">_xlfn.IFS(smart_dataset[[#This Row],[Asset_Utilization]]&lt;=75,"Low",smart_dataset[[#This Row],[Asset_Utilization]]&lt;=90,"Medium",TRUE,"High")</f>
        <v>Medium</v>
      </c>
    </row>
    <row r="901" spans="1:23" hidden="1" x14ac:dyDescent="0.25">
      <c r="A901" s="1">
        <v>45560.218495370369</v>
      </c>
      <c r="B901" s="1">
        <f>INT(smart_dataset[[#This Row],[Timestamp]])</f>
        <v>45560</v>
      </c>
      <c r="C901" s="1">
        <f>MOD(smart_dataset[[#This Row],[Timestamp]],1)</f>
        <v>0.21849537036905531</v>
      </c>
      <c r="D901" s="1">
        <f>YEAR(smart_dataset[[#This Row],[Date]])</f>
        <v>2024</v>
      </c>
      <c r="E901" s="1">
        <f>MONTH(smart_dataset[[#This Row],[Timestamp]])</f>
        <v>9</v>
      </c>
      <c r="F901" t="s">
        <v>16</v>
      </c>
      <c r="G901">
        <v>-30.807600000000001</v>
      </c>
      <c r="H901">
        <v>-167.47559999999999</v>
      </c>
      <c r="I901">
        <v>410</v>
      </c>
      <c r="J901" t="s">
        <v>26</v>
      </c>
      <c r="K901">
        <v>28.4</v>
      </c>
      <c r="L901">
        <v>52.7</v>
      </c>
      <c r="M901" t="s">
        <v>18</v>
      </c>
      <c r="N901">
        <v>48</v>
      </c>
      <c r="O901">
        <v>352</v>
      </c>
      <c r="P901">
        <v>8</v>
      </c>
      <c r="Q901" t="s">
        <v>23</v>
      </c>
      <c r="R901">
        <v>95.5</v>
      </c>
      <c r="S901">
        <v>213</v>
      </c>
      <c r="T901">
        <v>0</v>
      </c>
      <c r="U901" t="str" cm="1">
        <f t="array" ref="U901">_xlfn.IFS(smart_dataset[[#This Row],[Waiting_Time]]&lt;=20,"Low",smart_dataset[[#This Row],[Waiting_Time]]&lt;=40,"Medium",TRUE,"High")</f>
        <v>High</v>
      </c>
      <c r="V901" t="str" cm="1">
        <f t="array" ref="V901">_xlfn.IFS(smart_dataset[[#This Row],[Temperature]]&lt;=20,"Cold",smart_dataset[[#This Row],[Temperature]]&lt;=28,"Normal",TRUE,"Hot")</f>
        <v>Hot</v>
      </c>
      <c r="W901" t="str" cm="1">
        <f t="array" ref="W901">_xlfn.IFS(smart_dataset[[#This Row],[Asset_Utilization]]&lt;=75,"Low",smart_dataset[[#This Row],[Asset_Utilization]]&lt;=90,"Medium",TRUE,"High")</f>
        <v>High</v>
      </c>
    </row>
    <row r="902" spans="1:23" hidden="1" x14ac:dyDescent="0.25">
      <c r="A902" s="1">
        <v>45360.799363425926</v>
      </c>
      <c r="B902" s="1">
        <f>INT(smart_dataset[[#This Row],[Timestamp]])</f>
        <v>45360</v>
      </c>
      <c r="C902" s="1">
        <f>MOD(smart_dataset[[#This Row],[Timestamp]],1)</f>
        <v>0.79936342592554865</v>
      </c>
      <c r="D902" s="1">
        <f>YEAR(smart_dataset[[#This Row],[Date]])</f>
        <v>2024</v>
      </c>
      <c r="E902" s="1">
        <f>MONTH(smart_dataset[[#This Row],[Timestamp]])</f>
        <v>3</v>
      </c>
      <c r="F902" t="s">
        <v>24</v>
      </c>
      <c r="G902">
        <v>-44.764000000000003</v>
      </c>
      <c r="H902">
        <v>-118.3579</v>
      </c>
      <c r="I902">
        <v>484</v>
      </c>
      <c r="J902" t="s">
        <v>17</v>
      </c>
      <c r="K902">
        <v>22.8</v>
      </c>
      <c r="L902">
        <v>53.7</v>
      </c>
      <c r="M902" t="s">
        <v>28</v>
      </c>
      <c r="N902">
        <v>18</v>
      </c>
      <c r="O902">
        <v>176</v>
      </c>
      <c r="P902">
        <v>4</v>
      </c>
      <c r="Q902" t="s">
        <v>23</v>
      </c>
      <c r="R902">
        <v>73.7</v>
      </c>
      <c r="S902">
        <v>131</v>
      </c>
      <c r="T902">
        <v>1</v>
      </c>
      <c r="U902" t="str" cm="1">
        <f t="array" ref="U902">_xlfn.IFS(smart_dataset[[#This Row],[Waiting_Time]]&lt;=20,"Low",smart_dataset[[#This Row],[Waiting_Time]]&lt;=40,"Medium",TRUE,"High")</f>
        <v>Low</v>
      </c>
      <c r="V902" t="str" cm="1">
        <f t="array" ref="V902">_xlfn.IFS(smart_dataset[[#This Row],[Temperature]]&lt;=20,"Cold",smart_dataset[[#This Row],[Temperature]]&lt;=28,"Normal",TRUE,"Hot")</f>
        <v>Normal</v>
      </c>
      <c r="W902" t="str" cm="1">
        <f t="array" ref="W902">_xlfn.IFS(smart_dataset[[#This Row],[Asset_Utilization]]&lt;=75,"Low",smart_dataset[[#This Row],[Asset_Utilization]]&lt;=90,"Medium",TRUE,"High")</f>
        <v>Low</v>
      </c>
    </row>
    <row r="903" spans="1:23" hidden="1" x14ac:dyDescent="0.25">
      <c r="A903" s="1">
        <v>45320.621493055558</v>
      </c>
      <c r="B903" s="1">
        <f>INT(smart_dataset[[#This Row],[Timestamp]])</f>
        <v>45320</v>
      </c>
      <c r="C903" s="1">
        <f>MOD(smart_dataset[[#This Row],[Timestamp]],1)</f>
        <v>0.62149305555794854</v>
      </c>
      <c r="D903" s="1">
        <f>YEAR(smart_dataset[[#This Row],[Date]])</f>
        <v>2024</v>
      </c>
      <c r="E903" s="1">
        <f>MONTH(smart_dataset[[#This Row],[Timestamp]])</f>
        <v>1</v>
      </c>
      <c r="F903" t="s">
        <v>35</v>
      </c>
      <c r="G903">
        <v>47.574300000000001</v>
      </c>
      <c r="H903">
        <v>144.99799999999999</v>
      </c>
      <c r="I903">
        <v>152</v>
      </c>
      <c r="J903" t="s">
        <v>21</v>
      </c>
      <c r="K903">
        <v>18.7</v>
      </c>
      <c r="L903">
        <v>68.599999999999994</v>
      </c>
      <c r="M903" t="s">
        <v>28</v>
      </c>
      <c r="N903">
        <v>51</v>
      </c>
      <c r="O903">
        <v>483</v>
      </c>
      <c r="P903">
        <v>2</v>
      </c>
      <c r="Q903" t="s">
        <v>23</v>
      </c>
      <c r="R903">
        <v>87.8</v>
      </c>
      <c r="S903">
        <v>163</v>
      </c>
      <c r="T903">
        <v>0</v>
      </c>
      <c r="U903" t="str" cm="1">
        <f t="array" ref="U903">_xlfn.IFS(smart_dataset[[#This Row],[Waiting_Time]]&lt;=20,"Low",smart_dataset[[#This Row],[Waiting_Time]]&lt;=40,"Medium",TRUE,"High")</f>
        <v>High</v>
      </c>
      <c r="V903" t="str" cm="1">
        <f t="array" ref="V903">_xlfn.IFS(smart_dataset[[#This Row],[Temperature]]&lt;=20,"Cold",smart_dataset[[#This Row],[Temperature]]&lt;=28,"Normal",TRUE,"Hot")</f>
        <v>Cold</v>
      </c>
      <c r="W903" t="str" cm="1">
        <f t="array" ref="W903">_xlfn.IFS(smart_dataset[[#This Row],[Asset_Utilization]]&lt;=75,"Low",smart_dataset[[#This Row],[Asset_Utilization]]&lt;=90,"Medium",TRUE,"High")</f>
        <v>Medium</v>
      </c>
    </row>
    <row r="904" spans="1:23" hidden="1" x14ac:dyDescent="0.25">
      <c r="A904" s="1">
        <v>45572.745775462965</v>
      </c>
      <c r="B904" s="1">
        <f>INT(smart_dataset[[#This Row],[Timestamp]])</f>
        <v>45572</v>
      </c>
      <c r="C904" s="1">
        <f>MOD(smart_dataset[[#This Row],[Timestamp]],1)</f>
        <v>0.74577546296495711</v>
      </c>
      <c r="D904" s="1">
        <f>YEAR(smart_dataset[[#This Row],[Date]])</f>
        <v>2024</v>
      </c>
      <c r="E904" s="1">
        <f>MONTH(smart_dataset[[#This Row],[Timestamp]])</f>
        <v>10</v>
      </c>
      <c r="F904" t="s">
        <v>34</v>
      </c>
      <c r="G904">
        <v>-23.2761</v>
      </c>
      <c r="H904">
        <v>-88.069599999999994</v>
      </c>
      <c r="I904">
        <v>329</v>
      </c>
      <c r="J904" t="s">
        <v>26</v>
      </c>
      <c r="K904">
        <v>27.3</v>
      </c>
      <c r="L904">
        <v>68.400000000000006</v>
      </c>
      <c r="M904" t="s">
        <v>18</v>
      </c>
      <c r="N904">
        <v>57</v>
      </c>
      <c r="O904">
        <v>418</v>
      </c>
      <c r="P904">
        <v>1</v>
      </c>
      <c r="Q904" t="s">
        <v>27</v>
      </c>
      <c r="R904">
        <v>90</v>
      </c>
      <c r="S904">
        <v>101</v>
      </c>
      <c r="T904">
        <v>0</v>
      </c>
      <c r="U904" t="str" cm="1">
        <f t="array" ref="U904">_xlfn.IFS(smart_dataset[[#This Row],[Waiting_Time]]&lt;=20,"Low",smart_dataset[[#This Row],[Waiting_Time]]&lt;=40,"Medium",TRUE,"High")</f>
        <v>High</v>
      </c>
      <c r="V904" t="str" cm="1">
        <f t="array" ref="V904">_xlfn.IFS(smart_dataset[[#This Row],[Temperature]]&lt;=20,"Cold",smart_dataset[[#This Row],[Temperature]]&lt;=28,"Normal",TRUE,"Hot")</f>
        <v>Normal</v>
      </c>
      <c r="W904" t="str" cm="1">
        <f t="array" ref="W904">_xlfn.IFS(smart_dataset[[#This Row],[Asset_Utilization]]&lt;=75,"Low",smart_dataset[[#This Row],[Asset_Utilization]]&lt;=90,"Medium",TRUE,"High")</f>
        <v>Medium</v>
      </c>
    </row>
    <row r="905" spans="1:23" x14ac:dyDescent="0.25">
      <c r="A905" s="1">
        <v>45582.641504629632</v>
      </c>
      <c r="B905" s="1">
        <f>INT(smart_dataset[[#This Row],[Timestamp]])</f>
        <v>45582</v>
      </c>
      <c r="C905" s="7">
        <f>MOD(smart_dataset[[#This Row],[Timestamp]],1)</f>
        <v>0.64150462963152677</v>
      </c>
      <c r="D905">
        <f>YEAR(smart_dataset[[#This Row],[Date]])</f>
        <v>2024</v>
      </c>
      <c r="E905">
        <f>MONTH(smart_dataset[[#This Row],[Timestamp]])</f>
        <v>10</v>
      </c>
      <c r="F905" t="s">
        <v>33</v>
      </c>
      <c r="G905">
        <v>-18.829499999999999</v>
      </c>
      <c r="H905">
        <v>76.864500000000007</v>
      </c>
      <c r="I905">
        <v>314</v>
      </c>
      <c r="J905" t="s">
        <v>17</v>
      </c>
      <c r="K905">
        <v>23.8</v>
      </c>
      <c r="L905">
        <v>63.7</v>
      </c>
      <c r="M905" t="s">
        <v>18</v>
      </c>
      <c r="N905">
        <v>41</v>
      </c>
      <c r="O905">
        <v>117</v>
      </c>
      <c r="P905">
        <v>8</v>
      </c>
      <c r="Q905" t="s">
        <v>19</v>
      </c>
      <c r="R905">
        <v>69.5</v>
      </c>
      <c r="S905">
        <v>147</v>
      </c>
      <c r="T905">
        <v>1</v>
      </c>
      <c r="U905" t="str" cm="1">
        <f t="array" ref="U905">_xlfn.IFS(smart_dataset[[#This Row],[Waiting_Time]]&lt;=20,"Low",smart_dataset[[#This Row],[Waiting_Time]]&lt;=40,"Medium",TRUE,"High")</f>
        <v>High</v>
      </c>
      <c r="V905" t="str" cm="1">
        <f t="array" ref="V905">_xlfn.IFS(smart_dataset[[#This Row],[Temperature]]&lt;=20,"Cold",smart_dataset[[#This Row],[Temperature]]&lt;=28,"Normal",TRUE,"Hot")</f>
        <v>Normal</v>
      </c>
      <c r="W905" t="str" cm="1">
        <f t="array" ref="W905">_xlfn.IFS(smart_dataset[[#This Row],[Asset_Utilization]]&lt;=75,"Low",smart_dataset[[#This Row],[Asset_Utilization]]&lt;=90,"Medium",TRUE,"High")</f>
        <v>Low</v>
      </c>
    </row>
    <row r="906" spans="1:23" x14ac:dyDescent="0.25">
      <c r="A906" s="1">
        <v>45321.040752314817</v>
      </c>
      <c r="B906" s="1">
        <f>INT(smart_dataset[[#This Row],[Timestamp]])</f>
        <v>45321</v>
      </c>
      <c r="C906" s="7">
        <f>MOD(smart_dataset[[#This Row],[Timestamp]],1)</f>
        <v>4.0752314816927537E-2</v>
      </c>
      <c r="D906">
        <f>YEAR(smart_dataset[[#This Row],[Date]])</f>
        <v>2024</v>
      </c>
      <c r="E906">
        <f>MONTH(smart_dataset[[#This Row],[Timestamp]])</f>
        <v>1</v>
      </c>
      <c r="F906" t="s">
        <v>33</v>
      </c>
      <c r="G906">
        <v>58.319699999999997</v>
      </c>
      <c r="H906">
        <v>6.9800000000000001E-2</v>
      </c>
      <c r="I906">
        <v>121</v>
      </c>
      <c r="J906" t="s">
        <v>21</v>
      </c>
      <c r="K906">
        <v>27.2</v>
      </c>
      <c r="L906">
        <v>71.099999999999994</v>
      </c>
      <c r="M906" t="s">
        <v>18</v>
      </c>
      <c r="N906">
        <v>44</v>
      </c>
      <c r="O906">
        <v>340</v>
      </c>
      <c r="P906">
        <v>8</v>
      </c>
      <c r="Q906" t="s">
        <v>19</v>
      </c>
      <c r="R906">
        <v>74.599999999999994</v>
      </c>
      <c r="S906">
        <v>286</v>
      </c>
      <c r="T906">
        <v>0</v>
      </c>
      <c r="U906" t="str" cm="1">
        <f t="array" ref="U906">_xlfn.IFS(smart_dataset[[#This Row],[Waiting_Time]]&lt;=20,"Low",smart_dataset[[#This Row],[Waiting_Time]]&lt;=40,"Medium",TRUE,"High")</f>
        <v>High</v>
      </c>
      <c r="V906" t="str" cm="1">
        <f t="array" ref="V906">_xlfn.IFS(smart_dataset[[#This Row],[Temperature]]&lt;=20,"Cold",smart_dataset[[#This Row],[Temperature]]&lt;=28,"Normal",TRUE,"Hot")</f>
        <v>Normal</v>
      </c>
      <c r="W906" t="str" cm="1">
        <f t="array" ref="W906">_xlfn.IFS(smart_dataset[[#This Row],[Asset_Utilization]]&lt;=75,"Low",smart_dataset[[#This Row],[Asset_Utilization]]&lt;=90,"Medium",TRUE,"High")</f>
        <v>Low</v>
      </c>
    </row>
    <row r="907" spans="1:23" hidden="1" x14ac:dyDescent="0.25">
      <c r="A907" s="1">
        <v>45519.336377314816</v>
      </c>
      <c r="B907" s="1">
        <f>INT(smart_dataset[[#This Row],[Timestamp]])</f>
        <v>45519</v>
      </c>
      <c r="C907" s="1">
        <f>MOD(smart_dataset[[#This Row],[Timestamp]],1)</f>
        <v>0.33637731481576338</v>
      </c>
      <c r="D907" s="1">
        <f>YEAR(smart_dataset[[#This Row],[Date]])</f>
        <v>2024</v>
      </c>
      <c r="E907" s="1">
        <f>MONTH(smart_dataset[[#This Row],[Timestamp]])</f>
        <v>8</v>
      </c>
      <c r="F907" t="s">
        <v>35</v>
      </c>
      <c r="G907">
        <v>-84.878799999999998</v>
      </c>
      <c r="H907">
        <v>-37.260899999999999</v>
      </c>
      <c r="I907">
        <v>428</v>
      </c>
      <c r="J907" t="s">
        <v>26</v>
      </c>
      <c r="K907">
        <v>24.1</v>
      </c>
      <c r="L907">
        <v>58.4</v>
      </c>
      <c r="M907" t="s">
        <v>18</v>
      </c>
      <c r="N907">
        <v>11</v>
      </c>
      <c r="O907">
        <v>111</v>
      </c>
      <c r="P907">
        <v>6</v>
      </c>
      <c r="Q907" t="s">
        <v>23</v>
      </c>
      <c r="R907">
        <v>81.099999999999994</v>
      </c>
      <c r="S907">
        <v>111</v>
      </c>
      <c r="T907">
        <v>0</v>
      </c>
      <c r="U907" t="str" cm="1">
        <f t="array" ref="U907">_xlfn.IFS(smart_dataset[[#This Row],[Waiting_Time]]&lt;=20,"Low",smart_dataset[[#This Row],[Waiting_Time]]&lt;=40,"Medium",TRUE,"High")</f>
        <v>Low</v>
      </c>
      <c r="V907" t="str" cm="1">
        <f t="array" ref="V907">_xlfn.IFS(smart_dataset[[#This Row],[Temperature]]&lt;=20,"Cold",smart_dataset[[#This Row],[Temperature]]&lt;=28,"Normal",TRUE,"Hot")</f>
        <v>Normal</v>
      </c>
      <c r="W907" t="str" cm="1">
        <f t="array" ref="W907">_xlfn.IFS(smart_dataset[[#This Row],[Asset_Utilization]]&lt;=75,"Low",smart_dataset[[#This Row],[Asset_Utilization]]&lt;=90,"Medium",TRUE,"High")</f>
        <v>Medium</v>
      </c>
    </row>
    <row r="908" spans="1:23" hidden="1" x14ac:dyDescent="0.25">
      <c r="A908" s="1">
        <v>45328.376134259262</v>
      </c>
      <c r="B908" s="1">
        <f>INT(smart_dataset[[#This Row],[Timestamp]])</f>
        <v>45328</v>
      </c>
      <c r="C908" s="1">
        <f>MOD(smart_dataset[[#This Row],[Timestamp]],1)</f>
        <v>0.37613425926247146</v>
      </c>
      <c r="D908" s="1">
        <f>YEAR(smart_dataset[[#This Row],[Date]])</f>
        <v>2024</v>
      </c>
      <c r="E908" s="1">
        <f>MONTH(smart_dataset[[#This Row],[Timestamp]])</f>
        <v>2</v>
      </c>
      <c r="F908" t="s">
        <v>24</v>
      </c>
      <c r="G908">
        <v>28.387</v>
      </c>
      <c r="H908">
        <v>33.482700000000001</v>
      </c>
      <c r="I908">
        <v>113</v>
      </c>
      <c r="J908" t="s">
        <v>21</v>
      </c>
      <c r="K908">
        <v>23</v>
      </c>
      <c r="L908">
        <v>73.400000000000006</v>
      </c>
      <c r="M908" t="s">
        <v>18</v>
      </c>
      <c r="N908">
        <v>50</v>
      </c>
      <c r="O908">
        <v>309</v>
      </c>
      <c r="P908">
        <v>8</v>
      </c>
      <c r="Q908" t="s">
        <v>27</v>
      </c>
      <c r="R908">
        <v>71.7</v>
      </c>
      <c r="S908">
        <v>293</v>
      </c>
      <c r="T908">
        <v>0</v>
      </c>
      <c r="U908" t="str" cm="1">
        <f t="array" ref="U908">_xlfn.IFS(smart_dataset[[#This Row],[Waiting_Time]]&lt;=20,"Low",smart_dataset[[#This Row],[Waiting_Time]]&lt;=40,"Medium",TRUE,"High")</f>
        <v>High</v>
      </c>
      <c r="V908" t="str" cm="1">
        <f t="array" ref="V908">_xlfn.IFS(smart_dataset[[#This Row],[Temperature]]&lt;=20,"Cold",smart_dataset[[#This Row],[Temperature]]&lt;=28,"Normal",TRUE,"Hot")</f>
        <v>Normal</v>
      </c>
      <c r="W908" t="str" cm="1">
        <f t="array" ref="W908">_xlfn.IFS(smart_dataset[[#This Row],[Asset_Utilization]]&lt;=75,"Low",smart_dataset[[#This Row],[Asset_Utilization]]&lt;=90,"Medium",TRUE,"High")</f>
        <v>Low</v>
      </c>
    </row>
    <row r="909" spans="1:23" hidden="1" x14ac:dyDescent="0.25">
      <c r="A909" s="1">
        <v>45299.610879629632</v>
      </c>
      <c r="B909" s="1">
        <f>INT(smart_dataset[[#This Row],[Timestamp]])</f>
        <v>45299</v>
      </c>
      <c r="C909" s="1">
        <f>MOD(smart_dataset[[#This Row],[Timestamp]],1)</f>
        <v>0.61087962963210884</v>
      </c>
      <c r="D909" s="1">
        <f>YEAR(smart_dataset[[#This Row],[Date]])</f>
        <v>2024</v>
      </c>
      <c r="E909" s="1">
        <f>MONTH(smart_dataset[[#This Row],[Timestamp]])</f>
        <v>1</v>
      </c>
      <c r="F909" t="s">
        <v>16</v>
      </c>
      <c r="G909">
        <v>87.018000000000001</v>
      </c>
      <c r="H909">
        <v>-27.305299999999999</v>
      </c>
      <c r="I909">
        <v>201</v>
      </c>
      <c r="J909" t="s">
        <v>17</v>
      </c>
      <c r="K909">
        <v>27.9</v>
      </c>
      <c r="L909">
        <v>64.400000000000006</v>
      </c>
      <c r="M909" t="s">
        <v>28</v>
      </c>
      <c r="N909">
        <v>30</v>
      </c>
      <c r="O909">
        <v>198</v>
      </c>
      <c r="P909">
        <v>7</v>
      </c>
      <c r="Q909" t="s">
        <v>23</v>
      </c>
      <c r="R909">
        <v>93.9</v>
      </c>
      <c r="S909">
        <v>276</v>
      </c>
      <c r="T909">
        <v>1</v>
      </c>
      <c r="U909" t="str" cm="1">
        <f t="array" ref="U909">_xlfn.IFS(smart_dataset[[#This Row],[Waiting_Time]]&lt;=20,"Low",smart_dataset[[#This Row],[Waiting_Time]]&lt;=40,"Medium",TRUE,"High")</f>
        <v>Medium</v>
      </c>
      <c r="V909" t="str" cm="1">
        <f t="array" ref="V909">_xlfn.IFS(smart_dataset[[#This Row],[Temperature]]&lt;=20,"Cold",smart_dataset[[#This Row],[Temperature]]&lt;=28,"Normal",TRUE,"Hot")</f>
        <v>Normal</v>
      </c>
      <c r="W909" t="str" cm="1">
        <f t="array" ref="W909">_xlfn.IFS(smart_dataset[[#This Row],[Asset_Utilization]]&lt;=75,"Low",smart_dataset[[#This Row],[Asset_Utilization]]&lt;=90,"Medium",TRUE,"High")</f>
        <v>High</v>
      </c>
    </row>
    <row r="910" spans="1:23" hidden="1" x14ac:dyDescent="0.25">
      <c r="A910" s="1">
        <v>45393.250648148147</v>
      </c>
      <c r="B910" s="1">
        <f>INT(smart_dataset[[#This Row],[Timestamp]])</f>
        <v>45393</v>
      </c>
      <c r="C910" s="1">
        <f>MOD(smart_dataset[[#This Row],[Timestamp]],1)</f>
        <v>0.25064814814686542</v>
      </c>
      <c r="D910" s="1">
        <f>YEAR(smart_dataset[[#This Row],[Date]])</f>
        <v>2024</v>
      </c>
      <c r="E910" s="1">
        <f>MONTH(smart_dataset[[#This Row],[Timestamp]])</f>
        <v>4</v>
      </c>
      <c r="F910" t="s">
        <v>32</v>
      </c>
      <c r="G910">
        <v>-9.7508999999999997</v>
      </c>
      <c r="H910">
        <v>-86.298100000000005</v>
      </c>
      <c r="I910">
        <v>227</v>
      </c>
      <c r="J910" t="s">
        <v>17</v>
      </c>
      <c r="K910">
        <v>28.3</v>
      </c>
      <c r="L910">
        <v>62.8</v>
      </c>
      <c r="M910" t="s">
        <v>18</v>
      </c>
      <c r="N910">
        <v>30</v>
      </c>
      <c r="O910">
        <v>400</v>
      </c>
      <c r="P910">
        <v>4</v>
      </c>
      <c r="Q910" t="s">
        <v>27</v>
      </c>
      <c r="R910">
        <v>68.2</v>
      </c>
      <c r="S910">
        <v>194</v>
      </c>
      <c r="T910">
        <v>1</v>
      </c>
      <c r="U910" t="str" cm="1">
        <f t="array" ref="U910">_xlfn.IFS(smart_dataset[[#This Row],[Waiting_Time]]&lt;=20,"Low",smart_dataset[[#This Row],[Waiting_Time]]&lt;=40,"Medium",TRUE,"High")</f>
        <v>Medium</v>
      </c>
      <c r="V910" t="str" cm="1">
        <f t="array" ref="V910">_xlfn.IFS(smart_dataset[[#This Row],[Temperature]]&lt;=20,"Cold",smart_dataset[[#This Row],[Temperature]]&lt;=28,"Normal",TRUE,"Hot")</f>
        <v>Hot</v>
      </c>
      <c r="W910" t="str" cm="1">
        <f t="array" ref="W910">_xlfn.IFS(smart_dataset[[#This Row],[Asset_Utilization]]&lt;=75,"Low",smart_dataset[[#This Row],[Asset_Utilization]]&lt;=90,"Medium",TRUE,"High")</f>
        <v>Low</v>
      </c>
    </row>
    <row r="911" spans="1:23" hidden="1" x14ac:dyDescent="0.25">
      <c r="A911" s="1">
        <v>45371.897557870368</v>
      </c>
      <c r="B911" s="1">
        <f>INT(smart_dataset[[#This Row],[Timestamp]])</f>
        <v>45371</v>
      </c>
      <c r="C911" s="1">
        <f>MOD(smart_dataset[[#This Row],[Timestamp]],1)</f>
        <v>0.89755787036847323</v>
      </c>
      <c r="D911" s="1">
        <f>YEAR(smart_dataset[[#This Row],[Date]])</f>
        <v>2024</v>
      </c>
      <c r="E911" s="1">
        <f>MONTH(smart_dataset[[#This Row],[Timestamp]])</f>
        <v>3</v>
      </c>
      <c r="F911" t="s">
        <v>30</v>
      </c>
      <c r="G911">
        <v>79.821200000000005</v>
      </c>
      <c r="H911">
        <v>-21.697500000000002</v>
      </c>
      <c r="I911">
        <v>445</v>
      </c>
      <c r="J911" t="s">
        <v>26</v>
      </c>
      <c r="K911">
        <v>25.3</v>
      </c>
      <c r="L911">
        <v>57.9</v>
      </c>
      <c r="M911" t="s">
        <v>18</v>
      </c>
      <c r="N911">
        <v>38</v>
      </c>
      <c r="O911">
        <v>364</v>
      </c>
      <c r="P911">
        <v>1</v>
      </c>
      <c r="Q911" t="s">
        <v>27</v>
      </c>
      <c r="R911">
        <v>93.6</v>
      </c>
      <c r="S911">
        <v>275</v>
      </c>
      <c r="T911">
        <v>0</v>
      </c>
      <c r="U911" t="str" cm="1">
        <f t="array" ref="U911">_xlfn.IFS(smart_dataset[[#This Row],[Waiting_Time]]&lt;=20,"Low",smart_dataset[[#This Row],[Waiting_Time]]&lt;=40,"Medium",TRUE,"High")</f>
        <v>Medium</v>
      </c>
      <c r="V911" t="str" cm="1">
        <f t="array" ref="V911">_xlfn.IFS(smart_dataset[[#This Row],[Temperature]]&lt;=20,"Cold",smart_dataset[[#This Row],[Temperature]]&lt;=28,"Normal",TRUE,"Hot")</f>
        <v>Normal</v>
      </c>
      <c r="W911" t="str" cm="1">
        <f t="array" ref="W911">_xlfn.IFS(smart_dataset[[#This Row],[Asset_Utilization]]&lt;=75,"Low",smart_dataset[[#This Row],[Asset_Utilization]]&lt;=90,"Medium",TRUE,"High")</f>
        <v>High</v>
      </c>
    </row>
    <row r="912" spans="1:23" x14ac:dyDescent="0.25">
      <c r="A912" s="1">
        <v>45411.438287037039</v>
      </c>
      <c r="B912" s="1">
        <f>INT(smart_dataset[[#This Row],[Timestamp]])</f>
        <v>45411</v>
      </c>
      <c r="C912" s="7">
        <f>MOD(smart_dataset[[#This Row],[Timestamp]],1)</f>
        <v>0.43828703703911742</v>
      </c>
      <c r="D912">
        <f>YEAR(smart_dataset[[#This Row],[Date]])</f>
        <v>2024</v>
      </c>
      <c r="E912">
        <f>MONTH(smart_dataset[[#This Row],[Timestamp]])</f>
        <v>4</v>
      </c>
      <c r="F912" t="s">
        <v>30</v>
      </c>
      <c r="G912">
        <v>33.002699999999997</v>
      </c>
      <c r="H912">
        <v>-70.585400000000007</v>
      </c>
      <c r="I912">
        <v>407</v>
      </c>
      <c r="J912" t="s">
        <v>21</v>
      </c>
      <c r="K912">
        <v>29.6</v>
      </c>
      <c r="L912">
        <v>64.3</v>
      </c>
      <c r="M912" t="s">
        <v>22</v>
      </c>
      <c r="N912">
        <v>10</v>
      </c>
      <c r="O912">
        <v>102</v>
      </c>
      <c r="P912">
        <v>6</v>
      </c>
      <c r="Q912" t="s">
        <v>19</v>
      </c>
      <c r="R912">
        <v>98.5</v>
      </c>
      <c r="S912">
        <v>133</v>
      </c>
      <c r="T912">
        <v>1</v>
      </c>
      <c r="U912" t="str" cm="1">
        <f t="array" ref="U912">_xlfn.IFS(smart_dataset[[#This Row],[Waiting_Time]]&lt;=20,"Low",smart_dataset[[#This Row],[Waiting_Time]]&lt;=40,"Medium",TRUE,"High")</f>
        <v>Low</v>
      </c>
      <c r="V912" t="str" cm="1">
        <f t="array" ref="V912">_xlfn.IFS(smart_dataset[[#This Row],[Temperature]]&lt;=20,"Cold",smart_dataset[[#This Row],[Temperature]]&lt;=28,"Normal",TRUE,"Hot")</f>
        <v>Hot</v>
      </c>
      <c r="W912" t="str" cm="1">
        <f t="array" ref="W912">_xlfn.IFS(smart_dataset[[#This Row],[Asset_Utilization]]&lt;=75,"Low",smart_dataset[[#This Row],[Asset_Utilization]]&lt;=90,"Medium",TRUE,"High")</f>
        <v>High</v>
      </c>
    </row>
    <row r="913" spans="1:23" hidden="1" x14ac:dyDescent="0.25">
      <c r="A913" s="1">
        <v>45646.466990740744</v>
      </c>
      <c r="B913" s="1">
        <f>INT(smart_dataset[[#This Row],[Timestamp]])</f>
        <v>45646</v>
      </c>
      <c r="C913" s="1">
        <f>MOD(smart_dataset[[#This Row],[Timestamp]],1)</f>
        <v>0.46699074074422242</v>
      </c>
      <c r="D913" s="1">
        <f>YEAR(smart_dataset[[#This Row],[Date]])</f>
        <v>2024</v>
      </c>
      <c r="E913" s="1">
        <f>MONTH(smart_dataset[[#This Row],[Timestamp]])</f>
        <v>12</v>
      </c>
      <c r="F913" t="s">
        <v>32</v>
      </c>
      <c r="G913">
        <v>-12.452</v>
      </c>
      <c r="H913">
        <v>-174.33969999999999</v>
      </c>
      <c r="I913">
        <v>135</v>
      </c>
      <c r="J913" t="s">
        <v>21</v>
      </c>
      <c r="K913">
        <v>22.9</v>
      </c>
      <c r="L913">
        <v>60.9</v>
      </c>
      <c r="M913" t="s">
        <v>22</v>
      </c>
      <c r="N913">
        <v>42</v>
      </c>
      <c r="O913">
        <v>379</v>
      </c>
      <c r="P913">
        <v>8</v>
      </c>
      <c r="Q913" t="s">
        <v>27</v>
      </c>
      <c r="R913">
        <v>93.2</v>
      </c>
      <c r="S913">
        <v>159</v>
      </c>
      <c r="T913">
        <v>1</v>
      </c>
      <c r="U913" t="str" cm="1">
        <f t="array" ref="U913">_xlfn.IFS(smart_dataset[[#This Row],[Waiting_Time]]&lt;=20,"Low",smart_dataset[[#This Row],[Waiting_Time]]&lt;=40,"Medium",TRUE,"High")</f>
        <v>High</v>
      </c>
      <c r="V913" t="str" cm="1">
        <f t="array" ref="V913">_xlfn.IFS(smart_dataset[[#This Row],[Temperature]]&lt;=20,"Cold",smart_dataset[[#This Row],[Temperature]]&lt;=28,"Normal",TRUE,"Hot")</f>
        <v>Normal</v>
      </c>
      <c r="W913" t="str" cm="1">
        <f t="array" ref="W913">_xlfn.IFS(smart_dataset[[#This Row],[Asset_Utilization]]&lt;=75,"Low",smart_dataset[[#This Row],[Asset_Utilization]]&lt;=90,"Medium",TRUE,"High")</f>
        <v>High</v>
      </c>
    </row>
    <row r="914" spans="1:23" hidden="1" x14ac:dyDescent="0.25">
      <c r="A914" s="1">
        <v>45478.78806712963</v>
      </c>
      <c r="B914" s="1">
        <f>INT(smart_dataset[[#This Row],[Timestamp]])</f>
        <v>45478</v>
      </c>
      <c r="C914" s="1">
        <f>MOD(smart_dataset[[#This Row],[Timestamp]],1)</f>
        <v>0.78806712962978054</v>
      </c>
      <c r="D914" s="1">
        <f>YEAR(smart_dataset[[#This Row],[Date]])</f>
        <v>2024</v>
      </c>
      <c r="E914" s="1">
        <f>MONTH(smart_dataset[[#This Row],[Timestamp]])</f>
        <v>7</v>
      </c>
      <c r="F914" t="s">
        <v>35</v>
      </c>
      <c r="G914">
        <v>-19.617100000000001</v>
      </c>
      <c r="H914">
        <v>-163.0539</v>
      </c>
      <c r="I914">
        <v>160</v>
      </c>
      <c r="J914" t="s">
        <v>26</v>
      </c>
      <c r="K914">
        <v>22.3</v>
      </c>
      <c r="L914">
        <v>69.7</v>
      </c>
      <c r="M914" t="s">
        <v>18</v>
      </c>
      <c r="N914">
        <v>37</v>
      </c>
      <c r="O914">
        <v>255</v>
      </c>
      <c r="P914">
        <v>7</v>
      </c>
      <c r="Q914" t="s">
        <v>27</v>
      </c>
      <c r="R914">
        <v>66.8</v>
      </c>
      <c r="S914">
        <v>170</v>
      </c>
      <c r="T914">
        <v>0</v>
      </c>
      <c r="U914" t="str" cm="1">
        <f t="array" ref="U914">_xlfn.IFS(smart_dataset[[#This Row],[Waiting_Time]]&lt;=20,"Low",smart_dataset[[#This Row],[Waiting_Time]]&lt;=40,"Medium",TRUE,"High")</f>
        <v>Medium</v>
      </c>
      <c r="V914" t="str" cm="1">
        <f t="array" ref="V914">_xlfn.IFS(smart_dataset[[#This Row],[Temperature]]&lt;=20,"Cold",smart_dataset[[#This Row],[Temperature]]&lt;=28,"Normal",TRUE,"Hot")</f>
        <v>Normal</v>
      </c>
      <c r="W914" t="str" cm="1">
        <f t="array" ref="W914">_xlfn.IFS(smart_dataset[[#This Row],[Asset_Utilization]]&lt;=75,"Low",smart_dataset[[#This Row],[Asset_Utilization]]&lt;=90,"Medium",TRUE,"High")</f>
        <v>Low</v>
      </c>
    </row>
    <row r="915" spans="1:23" hidden="1" x14ac:dyDescent="0.25">
      <c r="A915" s="1">
        <v>45349.068807870368</v>
      </c>
      <c r="B915" s="1">
        <f>INT(smart_dataset[[#This Row],[Timestamp]])</f>
        <v>45349</v>
      </c>
      <c r="C915" s="1">
        <f>MOD(smart_dataset[[#This Row],[Timestamp]],1)</f>
        <v>6.8807870367891155E-2</v>
      </c>
      <c r="D915" s="1">
        <f>YEAR(smart_dataset[[#This Row],[Date]])</f>
        <v>2024</v>
      </c>
      <c r="E915" s="1">
        <f>MONTH(smart_dataset[[#This Row],[Timestamp]])</f>
        <v>2</v>
      </c>
      <c r="F915" t="s">
        <v>34</v>
      </c>
      <c r="G915">
        <v>13.793900000000001</v>
      </c>
      <c r="H915">
        <v>25.2973</v>
      </c>
      <c r="I915">
        <v>472</v>
      </c>
      <c r="J915" t="s">
        <v>21</v>
      </c>
      <c r="K915">
        <v>22.7</v>
      </c>
      <c r="L915">
        <v>53</v>
      </c>
      <c r="M915" t="s">
        <v>22</v>
      </c>
      <c r="N915">
        <v>30</v>
      </c>
      <c r="O915">
        <v>389</v>
      </c>
      <c r="P915">
        <v>6</v>
      </c>
      <c r="Q915" t="s">
        <v>23</v>
      </c>
      <c r="R915">
        <v>86.8</v>
      </c>
      <c r="S915">
        <v>232</v>
      </c>
      <c r="T915">
        <v>1</v>
      </c>
      <c r="U915" t="str" cm="1">
        <f t="array" ref="U915">_xlfn.IFS(smart_dataset[[#This Row],[Waiting_Time]]&lt;=20,"Low",smart_dataset[[#This Row],[Waiting_Time]]&lt;=40,"Medium",TRUE,"High")</f>
        <v>Medium</v>
      </c>
      <c r="V915" t="str" cm="1">
        <f t="array" ref="V915">_xlfn.IFS(smart_dataset[[#This Row],[Temperature]]&lt;=20,"Cold",smart_dataset[[#This Row],[Temperature]]&lt;=28,"Normal",TRUE,"Hot")</f>
        <v>Normal</v>
      </c>
      <c r="W915" t="str" cm="1">
        <f t="array" ref="W915">_xlfn.IFS(smart_dataset[[#This Row],[Asset_Utilization]]&lt;=75,"Low",smart_dataset[[#This Row],[Asset_Utilization]]&lt;=90,"Medium",TRUE,"High")</f>
        <v>Medium</v>
      </c>
    </row>
    <row r="916" spans="1:23" hidden="1" x14ac:dyDescent="0.25">
      <c r="A916" s="1">
        <v>45576.816886574074</v>
      </c>
      <c r="B916" s="1">
        <f>INT(smart_dataset[[#This Row],[Timestamp]])</f>
        <v>45576</v>
      </c>
      <c r="C916" s="1">
        <f>MOD(smart_dataset[[#This Row],[Timestamp]],1)</f>
        <v>0.81688657407357823</v>
      </c>
      <c r="D916" s="1">
        <f>YEAR(smart_dataset[[#This Row],[Date]])</f>
        <v>2024</v>
      </c>
      <c r="E916" s="1">
        <f>MONTH(smart_dataset[[#This Row],[Timestamp]])</f>
        <v>10</v>
      </c>
      <c r="F916" t="s">
        <v>24</v>
      </c>
      <c r="G916">
        <v>-46.8643</v>
      </c>
      <c r="H916">
        <v>158.72929999999999</v>
      </c>
      <c r="I916">
        <v>408</v>
      </c>
      <c r="J916" t="s">
        <v>21</v>
      </c>
      <c r="K916">
        <v>19.5</v>
      </c>
      <c r="L916">
        <v>65.2</v>
      </c>
      <c r="M916" t="s">
        <v>18</v>
      </c>
      <c r="N916">
        <v>25</v>
      </c>
      <c r="O916">
        <v>230</v>
      </c>
      <c r="P916">
        <v>3</v>
      </c>
      <c r="Q916" t="s">
        <v>27</v>
      </c>
      <c r="R916">
        <v>61.9</v>
      </c>
      <c r="S916">
        <v>245</v>
      </c>
      <c r="T916">
        <v>0</v>
      </c>
      <c r="U916" t="str" cm="1">
        <f t="array" ref="U916">_xlfn.IFS(smart_dataset[[#This Row],[Waiting_Time]]&lt;=20,"Low",smart_dataset[[#This Row],[Waiting_Time]]&lt;=40,"Medium",TRUE,"High")</f>
        <v>Medium</v>
      </c>
      <c r="V916" t="str" cm="1">
        <f t="array" ref="V916">_xlfn.IFS(smart_dataset[[#This Row],[Temperature]]&lt;=20,"Cold",smart_dataset[[#This Row],[Temperature]]&lt;=28,"Normal",TRUE,"Hot")</f>
        <v>Cold</v>
      </c>
      <c r="W916" t="str" cm="1">
        <f t="array" ref="W916">_xlfn.IFS(smart_dataset[[#This Row],[Asset_Utilization]]&lt;=75,"Low",smart_dataset[[#This Row],[Asset_Utilization]]&lt;=90,"Medium",TRUE,"High")</f>
        <v>Low</v>
      </c>
    </row>
    <row r="917" spans="1:23" x14ac:dyDescent="0.25">
      <c r="A917" s="1">
        <v>45654.433067129627</v>
      </c>
      <c r="B917" s="1">
        <f>INT(smart_dataset[[#This Row],[Timestamp]])</f>
        <v>45654</v>
      </c>
      <c r="C917" s="7">
        <f>MOD(smart_dataset[[#This Row],[Timestamp]],1)</f>
        <v>0.43306712962657912</v>
      </c>
      <c r="D917">
        <f>YEAR(smart_dataset[[#This Row],[Date]])</f>
        <v>2024</v>
      </c>
      <c r="E917">
        <f>MONTH(smart_dataset[[#This Row],[Timestamp]])</f>
        <v>12</v>
      </c>
      <c r="F917" t="s">
        <v>29</v>
      </c>
      <c r="G917">
        <v>-35.245199999999997</v>
      </c>
      <c r="H917">
        <v>78.254400000000004</v>
      </c>
      <c r="I917">
        <v>306</v>
      </c>
      <c r="J917" t="s">
        <v>17</v>
      </c>
      <c r="K917">
        <v>26.1</v>
      </c>
      <c r="L917">
        <v>74.8</v>
      </c>
      <c r="M917" t="s">
        <v>22</v>
      </c>
      <c r="N917">
        <v>37</v>
      </c>
      <c r="O917">
        <v>232</v>
      </c>
      <c r="P917">
        <v>7</v>
      </c>
      <c r="Q917" t="s">
        <v>19</v>
      </c>
      <c r="R917">
        <v>77.099999999999994</v>
      </c>
      <c r="S917">
        <v>289</v>
      </c>
      <c r="T917">
        <v>1</v>
      </c>
      <c r="U917" t="str" cm="1">
        <f t="array" ref="U917">_xlfn.IFS(smart_dataset[[#This Row],[Waiting_Time]]&lt;=20,"Low",smart_dataset[[#This Row],[Waiting_Time]]&lt;=40,"Medium",TRUE,"High")</f>
        <v>Medium</v>
      </c>
      <c r="V917" t="str" cm="1">
        <f t="array" ref="V917">_xlfn.IFS(smart_dataset[[#This Row],[Temperature]]&lt;=20,"Cold",smart_dataset[[#This Row],[Temperature]]&lt;=28,"Normal",TRUE,"Hot")</f>
        <v>Normal</v>
      </c>
      <c r="W917" t="str" cm="1">
        <f t="array" ref="W917">_xlfn.IFS(smart_dataset[[#This Row],[Asset_Utilization]]&lt;=75,"Low",smart_dataset[[#This Row],[Asset_Utilization]]&lt;=90,"Medium",TRUE,"High")</f>
        <v>Medium</v>
      </c>
    </row>
    <row r="918" spans="1:23" hidden="1" x14ac:dyDescent="0.25">
      <c r="A918" s="1">
        <v>45319.096435185187</v>
      </c>
      <c r="B918" s="1">
        <f>INT(smart_dataset[[#This Row],[Timestamp]])</f>
        <v>45319</v>
      </c>
      <c r="C918" s="1">
        <f>MOD(smart_dataset[[#This Row],[Timestamp]],1)</f>
        <v>9.6435185187146999E-2</v>
      </c>
      <c r="D918" s="1">
        <f>YEAR(smart_dataset[[#This Row],[Date]])</f>
        <v>2024</v>
      </c>
      <c r="E918" s="1">
        <f>MONTH(smart_dataset[[#This Row],[Timestamp]])</f>
        <v>1</v>
      </c>
      <c r="F918" t="s">
        <v>33</v>
      </c>
      <c r="G918">
        <v>17.544799999999999</v>
      </c>
      <c r="H918">
        <v>-68.5291</v>
      </c>
      <c r="I918">
        <v>107</v>
      </c>
      <c r="J918" t="s">
        <v>21</v>
      </c>
      <c r="K918">
        <v>28.6</v>
      </c>
      <c r="L918">
        <v>54.6</v>
      </c>
      <c r="M918" t="s">
        <v>18</v>
      </c>
      <c r="N918">
        <v>52</v>
      </c>
      <c r="O918">
        <v>180</v>
      </c>
      <c r="P918">
        <v>1</v>
      </c>
      <c r="Q918" t="s">
        <v>27</v>
      </c>
      <c r="R918">
        <v>89.8</v>
      </c>
      <c r="S918">
        <v>194</v>
      </c>
      <c r="T918">
        <v>0</v>
      </c>
      <c r="U918" t="str" cm="1">
        <f t="array" ref="U918">_xlfn.IFS(smart_dataset[[#This Row],[Waiting_Time]]&lt;=20,"Low",smart_dataset[[#This Row],[Waiting_Time]]&lt;=40,"Medium",TRUE,"High")</f>
        <v>High</v>
      </c>
      <c r="V918" t="str" cm="1">
        <f t="array" ref="V918">_xlfn.IFS(smart_dataset[[#This Row],[Temperature]]&lt;=20,"Cold",smart_dataset[[#This Row],[Temperature]]&lt;=28,"Normal",TRUE,"Hot")</f>
        <v>Hot</v>
      </c>
      <c r="W918" t="str" cm="1">
        <f t="array" ref="W918">_xlfn.IFS(smart_dataset[[#This Row],[Asset_Utilization]]&lt;=75,"Low",smart_dataset[[#This Row],[Asset_Utilization]]&lt;=90,"Medium",TRUE,"High")</f>
        <v>Medium</v>
      </c>
    </row>
    <row r="919" spans="1:23" hidden="1" x14ac:dyDescent="0.25">
      <c r="A919" s="1">
        <v>45576.22997685185</v>
      </c>
      <c r="B919" s="1">
        <f>INT(smart_dataset[[#This Row],[Timestamp]])</f>
        <v>45576</v>
      </c>
      <c r="C919" s="1">
        <f>MOD(smart_dataset[[#This Row],[Timestamp]],1)</f>
        <v>0.22997685184964212</v>
      </c>
      <c r="D919" s="1">
        <f>YEAR(smart_dataset[[#This Row],[Date]])</f>
        <v>2024</v>
      </c>
      <c r="E919" s="1">
        <f>MONTH(smart_dataset[[#This Row],[Timestamp]])</f>
        <v>10</v>
      </c>
      <c r="F919" t="s">
        <v>30</v>
      </c>
      <c r="G919">
        <v>-87.140799999999999</v>
      </c>
      <c r="H919">
        <v>-147.3922</v>
      </c>
      <c r="I919">
        <v>155</v>
      </c>
      <c r="J919" t="s">
        <v>26</v>
      </c>
      <c r="K919">
        <v>26.9</v>
      </c>
      <c r="L919">
        <v>75</v>
      </c>
      <c r="M919" t="s">
        <v>18</v>
      </c>
      <c r="N919">
        <v>25</v>
      </c>
      <c r="O919">
        <v>446</v>
      </c>
      <c r="P919">
        <v>5</v>
      </c>
      <c r="Q919" t="s">
        <v>31</v>
      </c>
      <c r="R919">
        <v>96.8</v>
      </c>
      <c r="S919">
        <v>176</v>
      </c>
      <c r="T919">
        <v>0</v>
      </c>
      <c r="U919" t="str" cm="1">
        <f t="array" ref="U919">_xlfn.IFS(smart_dataset[[#This Row],[Waiting_Time]]&lt;=20,"Low",smart_dataset[[#This Row],[Waiting_Time]]&lt;=40,"Medium",TRUE,"High")</f>
        <v>Medium</v>
      </c>
      <c r="V919" t="str" cm="1">
        <f t="array" ref="V919">_xlfn.IFS(smart_dataset[[#This Row],[Temperature]]&lt;=20,"Cold",smart_dataset[[#This Row],[Temperature]]&lt;=28,"Normal",TRUE,"Hot")</f>
        <v>Normal</v>
      </c>
      <c r="W919" t="str" cm="1">
        <f t="array" ref="W919">_xlfn.IFS(smart_dataset[[#This Row],[Asset_Utilization]]&lt;=75,"Low",smart_dataset[[#This Row],[Asset_Utilization]]&lt;=90,"Medium",TRUE,"High")</f>
        <v>High</v>
      </c>
    </row>
    <row r="920" spans="1:23" hidden="1" x14ac:dyDescent="0.25">
      <c r="A920" s="1">
        <v>45572.572824074072</v>
      </c>
      <c r="B920" s="1">
        <f>INT(smart_dataset[[#This Row],[Timestamp]])</f>
        <v>45572</v>
      </c>
      <c r="C920" s="1">
        <f>MOD(smart_dataset[[#This Row],[Timestamp]],1)</f>
        <v>0.572824074071832</v>
      </c>
      <c r="D920" s="1">
        <f>YEAR(smart_dataset[[#This Row],[Date]])</f>
        <v>2024</v>
      </c>
      <c r="E920" s="1">
        <f>MONTH(smart_dataset[[#This Row],[Timestamp]])</f>
        <v>10</v>
      </c>
      <c r="F920" t="s">
        <v>24</v>
      </c>
      <c r="G920">
        <v>-73.549800000000005</v>
      </c>
      <c r="H920">
        <v>115.02679999999999</v>
      </c>
      <c r="I920">
        <v>414</v>
      </c>
      <c r="J920" t="s">
        <v>26</v>
      </c>
      <c r="K920">
        <v>26.8</v>
      </c>
      <c r="L920">
        <v>73.900000000000006</v>
      </c>
      <c r="M920" t="s">
        <v>22</v>
      </c>
      <c r="N920">
        <v>14</v>
      </c>
      <c r="O920">
        <v>130</v>
      </c>
      <c r="P920">
        <v>1</v>
      </c>
      <c r="Q920" t="s">
        <v>31</v>
      </c>
      <c r="R920">
        <v>86.9</v>
      </c>
      <c r="S920">
        <v>267</v>
      </c>
      <c r="T920">
        <v>1</v>
      </c>
      <c r="U920" t="str" cm="1">
        <f t="array" ref="U920">_xlfn.IFS(smart_dataset[[#This Row],[Waiting_Time]]&lt;=20,"Low",smart_dataset[[#This Row],[Waiting_Time]]&lt;=40,"Medium",TRUE,"High")</f>
        <v>Low</v>
      </c>
      <c r="V920" t="str" cm="1">
        <f t="array" ref="V920">_xlfn.IFS(smart_dataset[[#This Row],[Temperature]]&lt;=20,"Cold",smart_dataset[[#This Row],[Temperature]]&lt;=28,"Normal",TRUE,"Hot")</f>
        <v>Normal</v>
      </c>
      <c r="W920" t="str" cm="1">
        <f t="array" ref="W920">_xlfn.IFS(smart_dataset[[#This Row],[Asset_Utilization]]&lt;=75,"Low",smart_dataset[[#This Row],[Asset_Utilization]]&lt;=90,"Medium",TRUE,"High")</f>
        <v>Medium</v>
      </c>
    </row>
    <row r="921" spans="1:23" hidden="1" x14ac:dyDescent="0.25">
      <c r="A921" s="1">
        <v>45450.442754629628</v>
      </c>
      <c r="B921" s="1">
        <f>INT(smart_dataset[[#This Row],[Timestamp]])</f>
        <v>45450</v>
      </c>
      <c r="C921" s="1">
        <f>MOD(smart_dataset[[#This Row],[Timestamp]],1)</f>
        <v>0.44275462962832535</v>
      </c>
      <c r="D921" s="1">
        <f>YEAR(smart_dataset[[#This Row],[Date]])</f>
        <v>2024</v>
      </c>
      <c r="E921" s="1">
        <f>MONTH(smart_dataset[[#This Row],[Timestamp]])</f>
        <v>6</v>
      </c>
      <c r="F921" t="s">
        <v>34</v>
      </c>
      <c r="G921">
        <v>75.222999999999999</v>
      </c>
      <c r="H921">
        <v>158.86019999999999</v>
      </c>
      <c r="I921">
        <v>177</v>
      </c>
      <c r="J921" t="s">
        <v>17</v>
      </c>
      <c r="K921">
        <v>19.899999999999999</v>
      </c>
      <c r="L921">
        <v>58.4</v>
      </c>
      <c r="M921" t="s">
        <v>28</v>
      </c>
      <c r="N921">
        <v>57</v>
      </c>
      <c r="O921">
        <v>335</v>
      </c>
      <c r="P921">
        <v>5</v>
      </c>
      <c r="Q921" t="s">
        <v>23</v>
      </c>
      <c r="R921">
        <v>98.6</v>
      </c>
      <c r="S921">
        <v>283</v>
      </c>
      <c r="T921">
        <v>1</v>
      </c>
      <c r="U921" t="str" cm="1">
        <f t="array" ref="U921">_xlfn.IFS(smart_dataset[[#This Row],[Waiting_Time]]&lt;=20,"Low",smart_dataset[[#This Row],[Waiting_Time]]&lt;=40,"Medium",TRUE,"High")</f>
        <v>High</v>
      </c>
      <c r="V921" t="str" cm="1">
        <f t="array" ref="V921">_xlfn.IFS(smart_dataset[[#This Row],[Temperature]]&lt;=20,"Cold",smart_dataset[[#This Row],[Temperature]]&lt;=28,"Normal",TRUE,"Hot")</f>
        <v>Cold</v>
      </c>
      <c r="W921" t="str" cm="1">
        <f t="array" ref="W921">_xlfn.IFS(smart_dataset[[#This Row],[Asset_Utilization]]&lt;=75,"Low",smart_dataset[[#This Row],[Asset_Utilization]]&lt;=90,"Medium",TRUE,"High")</f>
        <v>High</v>
      </c>
    </row>
    <row r="922" spans="1:23" hidden="1" x14ac:dyDescent="0.25">
      <c r="A922" s="1">
        <v>45646.177141203705</v>
      </c>
      <c r="B922" s="1">
        <f>INT(smart_dataset[[#This Row],[Timestamp]])</f>
        <v>45646</v>
      </c>
      <c r="C922" s="1">
        <f>MOD(smart_dataset[[#This Row],[Timestamp]],1)</f>
        <v>0.177141203705105</v>
      </c>
      <c r="D922" s="1">
        <f>YEAR(smart_dataset[[#This Row],[Date]])</f>
        <v>2024</v>
      </c>
      <c r="E922" s="1">
        <f>MONTH(smart_dataset[[#This Row],[Timestamp]])</f>
        <v>12</v>
      </c>
      <c r="F922" t="s">
        <v>25</v>
      </c>
      <c r="G922">
        <v>-40.826700000000002</v>
      </c>
      <c r="H922">
        <v>51.467300000000002</v>
      </c>
      <c r="I922">
        <v>118</v>
      </c>
      <c r="J922" t="s">
        <v>26</v>
      </c>
      <c r="K922">
        <v>26.8</v>
      </c>
      <c r="L922">
        <v>65.400000000000006</v>
      </c>
      <c r="M922" t="s">
        <v>18</v>
      </c>
      <c r="N922">
        <v>21</v>
      </c>
      <c r="O922">
        <v>475</v>
      </c>
      <c r="P922">
        <v>1</v>
      </c>
      <c r="Q922" t="s">
        <v>31</v>
      </c>
      <c r="R922">
        <v>96.9</v>
      </c>
      <c r="S922">
        <v>165</v>
      </c>
      <c r="T922">
        <v>0</v>
      </c>
      <c r="U922" t="str" cm="1">
        <f t="array" ref="U922">_xlfn.IFS(smart_dataset[[#This Row],[Waiting_Time]]&lt;=20,"Low",smart_dataset[[#This Row],[Waiting_Time]]&lt;=40,"Medium",TRUE,"High")</f>
        <v>Medium</v>
      </c>
      <c r="V922" t="str" cm="1">
        <f t="array" ref="V922">_xlfn.IFS(smart_dataset[[#This Row],[Temperature]]&lt;=20,"Cold",smart_dataset[[#This Row],[Temperature]]&lt;=28,"Normal",TRUE,"Hot")</f>
        <v>Normal</v>
      </c>
      <c r="W922" t="str" cm="1">
        <f t="array" ref="W922">_xlfn.IFS(smart_dataset[[#This Row],[Asset_Utilization]]&lt;=75,"Low",smart_dataset[[#This Row],[Asset_Utilization]]&lt;=90,"Medium",TRUE,"High")</f>
        <v>High</v>
      </c>
    </row>
    <row r="923" spans="1:23" x14ac:dyDescent="0.25">
      <c r="A923" s="1">
        <v>45333.878738425927</v>
      </c>
      <c r="B923" s="1">
        <f>INT(smart_dataset[[#This Row],[Timestamp]])</f>
        <v>45333</v>
      </c>
      <c r="C923" s="7">
        <f>MOD(smart_dataset[[#This Row],[Timestamp]],1)</f>
        <v>0.87873842592671281</v>
      </c>
      <c r="D923">
        <f>YEAR(smart_dataset[[#This Row],[Date]])</f>
        <v>2024</v>
      </c>
      <c r="E923">
        <f>MONTH(smart_dataset[[#This Row],[Timestamp]])</f>
        <v>2</v>
      </c>
      <c r="F923" t="s">
        <v>35</v>
      </c>
      <c r="G923">
        <v>-80.212900000000005</v>
      </c>
      <c r="H923">
        <v>116.4288</v>
      </c>
      <c r="I923">
        <v>438</v>
      </c>
      <c r="J923" t="s">
        <v>21</v>
      </c>
      <c r="K923">
        <v>25</v>
      </c>
      <c r="L923">
        <v>65.2</v>
      </c>
      <c r="M923" t="s">
        <v>18</v>
      </c>
      <c r="N923">
        <v>49</v>
      </c>
      <c r="O923">
        <v>421</v>
      </c>
      <c r="P923">
        <v>3</v>
      </c>
      <c r="Q923" t="s">
        <v>19</v>
      </c>
      <c r="R923">
        <v>82.4</v>
      </c>
      <c r="S923">
        <v>273</v>
      </c>
      <c r="T923">
        <v>0</v>
      </c>
      <c r="U923" t="str" cm="1">
        <f t="array" ref="U923">_xlfn.IFS(smart_dataset[[#This Row],[Waiting_Time]]&lt;=20,"Low",smart_dataset[[#This Row],[Waiting_Time]]&lt;=40,"Medium",TRUE,"High")</f>
        <v>High</v>
      </c>
      <c r="V923" t="str" cm="1">
        <f t="array" ref="V923">_xlfn.IFS(smart_dataset[[#This Row],[Temperature]]&lt;=20,"Cold",smart_dataset[[#This Row],[Temperature]]&lt;=28,"Normal",TRUE,"Hot")</f>
        <v>Normal</v>
      </c>
      <c r="W923" t="str" cm="1">
        <f t="array" ref="W923">_xlfn.IFS(smart_dataset[[#This Row],[Asset_Utilization]]&lt;=75,"Low",smart_dataset[[#This Row],[Asset_Utilization]]&lt;=90,"Medium",TRUE,"High")</f>
        <v>Medium</v>
      </c>
    </row>
    <row r="924" spans="1:23" hidden="1" x14ac:dyDescent="0.25">
      <c r="A924" s="1">
        <v>45344.838738425926</v>
      </c>
      <c r="B924" s="1">
        <f>INT(smart_dataset[[#This Row],[Timestamp]])</f>
        <v>45344</v>
      </c>
      <c r="C924" s="1">
        <f>MOD(smart_dataset[[#This Row],[Timestamp]],1)</f>
        <v>0.83873842592583969</v>
      </c>
      <c r="D924" s="1">
        <f>YEAR(smart_dataset[[#This Row],[Date]])</f>
        <v>2024</v>
      </c>
      <c r="E924" s="1">
        <f>MONTH(smart_dataset[[#This Row],[Timestamp]])</f>
        <v>2</v>
      </c>
      <c r="F924" t="s">
        <v>35</v>
      </c>
      <c r="G924">
        <v>18.760999999999999</v>
      </c>
      <c r="H924">
        <v>139.95660000000001</v>
      </c>
      <c r="I924">
        <v>154</v>
      </c>
      <c r="J924" t="s">
        <v>17</v>
      </c>
      <c r="K924">
        <v>26.8</v>
      </c>
      <c r="L924">
        <v>56</v>
      </c>
      <c r="M924" t="s">
        <v>28</v>
      </c>
      <c r="N924">
        <v>13</v>
      </c>
      <c r="O924">
        <v>413</v>
      </c>
      <c r="P924">
        <v>8</v>
      </c>
      <c r="Q924" t="s">
        <v>27</v>
      </c>
      <c r="R924">
        <v>73.8</v>
      </c>
      <c r="S924">
        <v>220</v>
      </c>
      <c r="T924">
        <v>1</v>
      </c>
      <c r="U924" t="str" cm="1">
        <f t="array" ref="U924">_xlfn.IFS(smart_dataset[[#This Row],[Waiting_Time]]&lt;=20,"Low",smart_dataset[[#This Row],[Waiting_Time]]&lt;=40,"Medium",TRUE,"High")</f>
        <v>Low</v>
      </c>
      <c r="V924" t="str" cm="1">
        <f t="array" ref="V924">_xlfn.IFS(smart_dataset[[#This Row],[Temperature]]&lt;=20,"Cold",smart_dataset[[#This Row],[Temperature]]&lt;=28,"Normal",TRUE,"Hot")</f>
        <v>Normal</v>
      </c>
      <c r="W924" t="str" cm="1">
        <f t="array" ref="W924">_xlfn.IFS(smart_dataset[[#This Row],[Asset_Utilization]]&lt;=75,"Low",smart_dataset[[#This Row],[Asset_Utilization]]&lt;=90,"Medium",TRUE,"High")</f>
        <v>Low</v>
      </c>
    </row>
    <row r="925" spans="1:23" hidden="1" x14ac:dyDescent="0.25">
      <c r="A925" s="1">
        <v>45437.348749999997</v>
      </c>
      <c r="B925" s="1">
        <f>INT(smart_dataset[[#This Row],[Timestamp]])</f>
        <v>45437</v>
      </c>
      <c r="C925" s="1">
        <f>MOD(smart_dataset[[#This Row],[Timestamp]],1)</f>
        <v>0.34874999999738066</v>
      </c>
      <c r="D925" s="1">
        <f>YEAR(smart_dataset[[#This Row],[Date]])</f>
        <v>2024</v>
      </c>
      <c r="E925" s="1">
        <f>MONTH(smart_dataset[[#This Row],[Timestamp]])</f>
        <v>5</v>
      </c>
      <c r="F925" t="s">
        <v>32</v>
      </c>
      <c r="G925">
        <v>9.1346000000000007</v>
      </c>
      <c r="H925">
        <v>9.0052000000000003</v>
      </c>
      <c r="I925">
        <v>320</v>
      </c>
      <c r="J925" t="s">
        <v>21</v>
      </c>
      <c r="K925">
        <v>24.3</v>
      </c>
      <c r="L925">
        <v>77</v>
      </c>
      <c r="M925" t="s">
        <v>28</v>
      </c>
      <c r="N925">
        <v>56</v>
      </c>
      <c r="O925">
        <v>410</v>
      </c>
      <c r="P925">
        <v>3</v>
      </c>
      <c r="Q925" t="s">
        <v>27</v>
      </c>
      <c r="R925">
        <v>73.400000000000006</v>
      </c>
      <c r="S925">
        <v>141</v>
      </c>
      <c r="T925">
        <v>0</v>
      </c>
      <c r="U925" t="str" cm="1">
        <f t="array" ref="U925">_xlfn.IFS(smart_dataset[[#This Row],[Waiting_Time]]&lt;=20,"Low",smart_dataset[[#This Row],[Waiting_Time]]&lt;=40,"Medium",TRUE,"High")</f>
        <v>High</v>
      </c>
      <c r="V925" t="str" cm="1">
        <f t="array" ref="V925">_xlfn.IFS(smart_dataset[[#This Row],[Temperature]]&lt;=20,"Cold",smart_dataset[[#This Row],[Temperature]]&lt;=28,"Normal",TRUE,"Hot")</f>
        <v>Normal</v>
      </c>
      <c r="W925" t="str" cm="1">
        <f t="array" ref="W925">_xlfn.IFS(smart_dataset[[#This Row],[Asset_Utilization]]&lt;=75,"Low",smart_dataset[[#This Row],[Asset_Utilization]]&lt;=90,"Medium",TRUE,"High")</f>
        <v>Low</v>
      </c>
    </row>
    <row r="926" spans="1:23" hidden="1" x14ac:dyDescent="0.25">
      <c r="A926" s="1">
        <v>45476.514594907407</v>
      </c>
      <c r="B926" s="1">
        <f>INT(smart_dataset[[#This Row],[Timestamp]])</f>
        <v>45476</v>
      </c>
      <c r="C926" s="1">
        <f>MOD(smart_dataset[[#This Row],[Timestamp]],1)</f>
        <v>0.51459490740671754</v>
      </c>
      <c r="D926" s="1">
        <f>YEAR(smart_dataset[[#This Row],[Date]])</f>
        <v>2024</v>
      </c>
      <c r="E926" s="1">
        <f>MONTH(smart_dataset[[#This Row],[Timestamp]])</f>
        <v>7</v>
      </c>
      <c r="F926" t="s">
        <v>35</v>
      </c>
      <c r="G926">
        <v>-28.694199999999999</v>
      </c>
      <c r="H926">
        <v>-75.424400000000006</v>
      </c>
      <c r="I926">
        <v>402</v>
      </c>
      <c r="J926" t="s">
        <v>17</v>
      </c>
      <c r="K926">
        <v>20.3</v>
      </c>
      <c r="L926">
        <v>56.6</v>
      </c>
      <c r="M926" t="s">
        <v>18</v>
      </c>
      <c r="N926">
        <v>52</v>
      </c>
      <c r="O926">
        <v>149</v>
      </c>
      <c r="P926">
        <v>4</v>
      </c>
      <c r="Q926" t="s">
        <v>23</v>
      </c>
      <c r="R926">
        <v>82.6</v>
      </c>
      <c r="S926">
        <v>158</v>
      </c>
      <c r="T926">
        <v>1</v>
      </c>
      <c r="U926" t="str" cm="1">
        <f t="array" ref="U926">_xlfn.IFS(smart_dataset[[#This Row],[Waiting_Time]]&lt;=20,"Low",smart_dataset[[#This Row],[Waiting_Time]]&lt;=40,"Medium",TRUE,"High")</f>
        <v>High</v>
      </c>
      <c r="V926" t="str" cm="1">
        <f t="array" ref="V926">_xlfn.IFS(smart_dataset[[#This Row],[Temperature]]&lt;=20,"Cold",smart_dataset[[#This Row],[Temperature]]&lt;=28,"Normal",TRUE,"Hot")</f>
        <v>Normal</v>
      </c>
      <c r="W926" t="str" cm="1">
        <f t="array" ref="W926">_xlfn.IFS(smart_dataset[[#This Row],[Asset_Utilization]]&lt;=75,"Low",smart_dataset[[#This Row],[Asset_Utilization]]&lt;=90,"Medium",TRUE,"High")</f>
        <v>Medium</v>
      </c>
    </row>
    <row r="927" spans="1:23" hidden="1" x14ac:dyDescent="0.25">
      <c r="A927" s="1">
        <v>45319.975590277776</v>
      </c>
      <c r="B927" s="1">
        <f>INT(smart_dataset[[#This Row],[Timestamp]])</f>
        <v>45319</v>
      </c>
      <c r="C927" s="1">
        <f>MOD(smart_dataset[[#This Row],[Timestamp]],1)</f>
        <v>0.97559027777606389</v>
      </c>
      <c r="D927" s="1">
        <f>YEAR(smart_dataset[[#This Row],[Date]])</f>
        <v>2024</v>
      </c>
      <c r="E927" s="1">
        <f>MONTH(smart_dataset[[#This Row],[Timestamp]])</f>
        <v>1</v>
      </c>
      <c r="F927" t="s">
        <v>16</v>
      </c>
      <c r="G927">
        <v>23.959199999999999</v>
      </c>
      <c r="H927">
        <v>-88.760199999999998</v>
      </c>
      <c r="I927">
        <v>443</v>
      </c>
      <c r="J927" t="s">
        <v>26</v>
      </c>
      <c r="K927">
        <v>18.899999999999999</v>
      </c>
      <c r="L927">
        <v>68.8</v>
      </c>
      <c r="M927" t="s">
        <v>28</v>
      </c>
      <c r="N927">
        <v>36</v>
      </c>
      <c r="O927">
        <v>159</v>
      </c>
      <c r="P927">
        <v>2</v>
      </c>
      <c r="Q927" t="s">
        <v>23</v>
      </c>
      <c r="R927">
        <v>86.3</v>
      </c>
      <c r="S927">
        <v>171</v>
      </c>
      <c r="T927">
        <v>0</v>
      </c>
      <c r="U927" t="str" cm="1">
        <f t="array" ref="U927">_xlfn.IFS(smart_dataset[[#This Row],[Waiting_Time]]&lt;=20,"Low",smart_dataset[[#This Row],[Waiting_Time]]&lt;=40,"Medium",TRUE,"High")</f>
        <v>Medium</v>
      </c>
      <c r="V927" t="str" cm="1">
        <f t="array" ref="V927">_xlfn.IFS(smart_dataset[[#This Row],[Temperature]]&lt;=20,"Cold",smart_dataset[[#This Row],[Temperature]]&lt;=28,"Normal",TRUE,"Hot")</f>
        <v>Cold</v>
      </c>
      <c r="W927" t="str" cm="1">
        <f t="array" ref="W927">_xlfn.IFS(smart_dataset[[#This Row],[Asset_Utilization]]&lt;=75,"Low",smart_dataset[[#This Row],[Asset_Utilization]]&lt;=90,"Medium",TRUE,"High")</f>
        <v>Medium</v>
      </c>
    </row>
    <row r="928" spans="1:23" hidden="1" x14ac:dyDescent="0.25">
      <c r="A928" s="1">
        <v>45453.375092592592</v>
      </c>
      <c r="B928" s="1">
        <f>INT(smart_dataset[[#This Row],[Timestamp]])</f>
        <v>45453</v>
      </c>
      <c r="C928" s="1">
        <f>MOD(smart_dataset[[#This Row],[Timestamp]],1)</f>
        <v>0.37509259259240935</v>
      </c>
      <c r="D928" s="1">
        <f>YEAR(smart_dataset[[#This Row],[Date]])</f>
        <v>2024</v>
      </c>
      <c r="E928" s="1">
        <f>MONTH(smart_dataset[[#This Row],[Timestamp]])</f>
        <v>6</v>
      </c>
      <c r="F928" t="s">
        <v>16</v>
      </c>
      <c r="G928">
        <v>68.154499999999999</v>
      </c>
      <c r="H928">
        <v>43.800699999999999</v>
      </c>
      <c r="I928">
        <v>246</v>
      </c>
      <c r="J928" t="s">
        <v>21</v>
      </c>
      <c r="K928">
        <v>22</v>
      </c>
      <c r="L928">
        <v>58.1</v>
      </c>
      <c r="M928" t="s">
        <v>22</v>
      </c>
      <c r="N928">
        <v>54</v>
      </c>
      <c r="O928">
        <v>128</v>
      </c>
      <c r="P928">
        <v>7</v>
      </c>
      <c r="Q928" t="s">
        <v>27</v>
      </c>
      <c r="R928">
        <v>61</v>
      </c>
      <c r="S928">
        <v>265</v>
      </c>
      <c r="T928">
        <v>1</v>
      </c>
      <c r="U928" t="str" cm="1">
        <f t="array" ref="U928">_xlfn.IFS(smart_dataset[[#This Row],[Waiting_Time]]&lt;=20,"Low",smart_dataset[[#This Row],[Waiting_Time]]&lt;=40,"Medium",TRUE,"High")</f>
        <v>High</v>
      </c>
      <c r="V928" t="str" cm="1">
        <f t="array" ref="V928">_xlfn.IFS(smart_dataset[[#This Row],[Temperature]]&lt;=20,"Cold",smart_dataset[[#This Row],[Temperature]]&lt;=28,"Normal",TRUE,"Hot")</f>
        <v>Normal</v>
      </c>
      <c r="W928" t="str" cm="1">
        <f t="array" ref="W928">_xlfn.IFS(smart_dataset[[#This Row],[Asset_Utilization]]&lt;=75,"Low",smart_dataset[[#This Row],[Asset_Utilization]]&lt;=90,"Medium",TRUE,"High")</f>
        <v>Low</v>
      </c>
    </row>
    <row r="929" spans="1:23" hidden="1" x14ac:dyDescent="0.25">
      <c r="A929" s="1">
        <v>45359.967465277776</v>
      </c>
      <c r="B929" s="1">
        <f>INT(smart_dataset[[#This Row],[Timestamp]])</f>
        <v>45359</v>
      </c>
      <c r="C929" s="1">
        <f>MOD(smart_dataset[[#This Row],[Timestamp]],1)</f>
        <v>0.96746527777577285</v>
      </c>
      <c r="D929" s="1">
        <f>YEAR(smart_dataset[[#This Row],[Date]])</f>
        <v>2024</v>
      </c>
      <c r="E929" s="1">
        <f>MONTH(smart_dataset[[#This Row],[Timestamp]])</f>
        <v>3</v>
      </c>
      <c r="F929" t="s">
        <v>25</v>
      </c>
      <c r="G929">
        <v>76.035799999999995</v>
      </c>
      <c r="H929">
        <v>53.042999999999999</v>
      </c>
      <c r="I929">
        <v>146</v>
      </c>
      <c r="J929" t="s">
        <v>21</v>
      </c>
      <c r="K929">
        <v>20.7</v>
      </c>
      <c r="L929">
        <v>50.6</v>
      </c>
      <c r="M929" t="s">
        <v>28</v>
      </c>
      <c r="N929">
        <v>28</v>
      </c>
      <c r="O929">
        <v>201</v>
      </c>
      <c r="P929">
        <v>10</v>
      </c>
      <c r="Q929" t="s">
        <v>23</v>
      </c>
      <c r="R929">
        <v>75.900000000000006</v>
      </c>
      <c r="S929">
        <v>178</v>
      </c>
      <c r="T929">
        <v>0</v>
      </c>
      <c r="U929" t="str" cm="1">
        <f t="array" ref="U929">_xlfn.IFS(smart_dataset[[#This Row],[Waiting_Time]]&lt;=20,"Low",smart_dataset[[#This Row],[Waiting_Time]]&lt;=40,"Medium",TRUE,"High")</f>
        <v>Medium</v>
      </c>
      <c r="V929" t="str" cm="1">
        <f t="array" ref="V929">_xlfn.IFS(smart_dataset[[#This Row],[Temperature]]&lt;=20,"Cold",smart_dataset[[#This Row],[Temperature]]&lt;=28,"Normal",TRUE,"Hot")</f>
        <v>Normal</v>
      </c>
      <c r="W929" t="str" cm="1">
        <f t="array" ref="W929">_xlfn.IFS(smart_dataset[[#This Row],[Asset_Utilization]]&lt;=75,"Low",smart_dataset[[#This Row],[Asset_Utilization]]&lt;=90,"Medium",TRUE,"High")</f>
        <v>Medium</v>
      </c>
    </row>
    <row r="930" spans="1:23" hidden="1" x14ac:dyDescent="0.25">
      <c r="A930" s="1">
        <v>45500.425798611112</v>
      </c>
      <c r="B930" s="1">
        <f>INT(smart_dataset[[#This Row],[Timestamp]])</f>
        <v>45500</v>
      </c>
      <c r="C930" s="1">
        <f>MOD(smart_dataset[[#This Row],[Timestamp]],1)</f>
        <v>0.4257986111115315</v>
      </c>
      <c r="D930" s="1">
        <f>YEAR(smart_dataset[[#This Row],[Date]])</f>
        <v>2024</v>
      </c>
      <c r="E930" s="1">
        <f>MONTH(smart_dataset[[#This Row],[Timestamp]])</f>
        <v>7</v>
      </c>
      <c r="F930" t="s">
        <v>35</v>
      </c>
      <c r="G930">
        <v>-30.0307</v>
      </c>
      <c r="H930">
        <v>157.14420000000001</v>
      </c>
      <c r="I930">
        <v>108</v>
      </c>
      <c r="J930" t="s">
        <v>26</v>
      </c>
      <c r="K930">
        <v>23</v>
      </c>
      <c r="L930">
        <v>73.400000000000006</v>
      </c>
      <c r="M930" t="s">
        <v>28</v>
      </c>
      <c r="N930">
        <v>13</v>
      </c>
      <c r="O930">
        <v>324</v>
      </c>
      <c r="P930">
        <v>2</v>
      </c>
      <c r="Q930" t="s">
        <v>31</v>
      </c>
      <c r="R930">
        <v>77.900000000000006</v>
      </c>
      <c r="S930">
        <v>233</v>
      </c>
      <c r="T930">
        <v>0</v>
      </c>
      <c r="U930" t="str" cm="1">
        <f t="array" ref="U930">_xlfn.IFS(smart_dataset[[#This Row],[Waiting_Time]]&lt;=20,"Low",smart_dataset[[#This Row],[Waiting_Time]]&lt;=40,"Medium",TRUE,"High")</f>
        <v>Low</v>
      </c>
      <c r="V930" t="str" cm="1">
        <f t="array" ref="V930">_xlfn.IFS(smart_dataset[[#This Row],[Temperature]]&lt;=20,"Cold",smart_dataset[[#This Row],[Temperature]]&lt;=28,"Normal",TRUE,"Hot")</f>
        <v>Normal</v>
      </c>
      <c r="W930" t="str" cm="1">
        <f t="array" ref="W930">_xlfn.IFS(smart_dataset[[#This Row],[Asset_Utilization]]&lt;=75,"Low",smart_dataset[[#This Row],[Asset_Utilization]]&lt;=90,"Medium",TRUE,"High")</f>
        <v>Medium</v>
      </c>
    </row>
    <row r="931" spans="1:23" hidden="1" x14ac:dyDescent="0.25">
      <c r="A931" s="1">
        <v>45545.820625</v>
      </c>
      <c r="B931" s="1">
        <f>INT(smart_dataset[[#This Row],[Timestamp]])</f>
        <v>45545</v>
      </c>
      <c r="C931" s="1">
        <f>MOD(smart_dataset[[#This Row],[Timestamp]],1)</f>
        <v>0.82062500000029104</v>
      </c>
      <c r="D931" s="1">
        <f>YEAR(smart_dataset[[#This Row],[Date]])</f>
        <v>2024</v>
      </c>
      <c r="E931" s="1">
        <f>MONTH(smart_dataset[[#This Row],[Timestamp]])</f>
        <v>9</v>
      </c>
      <c r="F931" t="s">
        <v>35</v>
      </c>
      <c r="G931">
        <v>-79.258399999999995</v>
      </c>
      <c r="H931">
        <v>125.5026</v>
      </c>
      <c r="I931">
        <v>152</v>
      </c>
      <c r="J931" t="s">
        <v>26</v>
      </c>
      <c r="K931">
        <v>22.8</v>
      </c>
      <c r="L931">
        <v>65.2</v>
      </c>
      <c r="M931" t="s">
        <v>22</v>
      </c>
      <c r="N931">
        <v>33</v>
      </c>
      <c r="O931">
        <v>386</v>
      </c>
      <c r="P931">
        <v>4</v>
      </c>
      <c r="Q931" t="s">
        <v>23</v>
      </c>
      <c r="R931">
        <v>63.3</v>
      </c>
      <c r="S931">
        <v>227</v>
      </c>
      <c r="T931">
        <v>1</v>
      </c>
      <c r="U931" t="str" cm="1">
        <f t="array" ref="U931">_xlfn.IFS(smart_dataset[[#This Row],[Waiting_Time]]&lt;=20,"Low",smart_dataset[[#This Row],[Waiting_Time]]&lt;=40,"Medium",TRUE,"High")</f>
        <v>Medium</v>
      </c>
      <c r="V931" t="str" cm="1">
        <f t="array" ref="V931">_xlfn.IFS(smart_dataset[[#This Row],[Temperature]]&lt;=20,"Cold",smart_dataset[[#This Row],[Temperature]]&lt;=28,"Normal",TRUE,"Hot")</f>
        <v>Normal</v>
      </c>
      <c r="W931" t="str" cm="1">
        <f t="array" ref="W931">_xlfn.IFS(smart_dataset[[#This Row],[Asset_Utilization]]&lt;=75,"Low",smart_dataset[[#This Row],[Asset_Utilization]]&lt;=90,"Medium",TRUE,"High")</f>
        <v>Low</v>
      </c>
    </row>
    <row r="932" spans="1:23" x14ac:dyDescent="0.25">
      <c r="A932" s="1">
        <v>45409.128101851849</v>
      </c>
      <c r="B932" s="1">
        <f>INT(smart_dataset[[#This Row],[Timestamp]])</f>
        <v>45409</v>
      </c>
      <c r="C932" s="7">
        <f>MOD(smart_dataset[[#This Row],[Timestamp]],1)</f>
        <v>0.12810185184935108</v>
      </c>
      <c r="D932">
        <f>YEAR(smart_dataset[[#This Row],[Date]])</f>
        <v>2024</v>
      </c>
      <c r="E932">
        <f>MONTH(smart_dataset[[#This Row],[Timestamp]])</f>
        <v>4</v>
      </c>
      <c r="F932" t="s">
        <v>24</v>
      </c>
      <c r="G932">
        <v>-86.660600000000002</v>
      </c>
      <c r="H932">
        <v>29.678599999999999</v>
      </c>
      <c r="I932">
        <v>361</v>
      </c>
      <c r="J932" t="s">
        <v>17</v>
      </c>
      <c r="K932">
        <v>29.7</v>
      </c>
      <c r="L932">
        <v>62.2</v>
      </c>
      <c r="M932" t="s">
        <v>18</v>
      </c>
      <c r="N932">
        <v>35</v>
      </c>
      <c r="O932">
        <v>131</v>
      </c>
      <c r="P932">
        <v>9</v>
      </c>
      <c r="Q932" t="s">
        <v>19</v>
      </c>
      <c r="R932">
        <v>61.8</v>
      </c>
      <c r="S932">
        <v>253</v>
      </c>
      <c r="T932">
        <v>1</v>
      </c>
      <c r="U932" t="str" cm="1">
        <f t="array" ref="U932">_xlfn.IFS(smart_dataset[[#This Row],[Waiting_Time]]&lt;=20,"Low",smart_dataset[[#This Row],[Waiting_Time]]&lt;=40,"Medium",TRUE,"High")</f>
        <v>Medium</v>
      </c>
      <c r="V932" t="str" cm="1">
        <f t="array" ref="V932">_xlfn.IFS(smart_dataset[[#This Row],[Temperature]]&lt;=20,"Cold",smart_dataset[[#This Row],[Temperature]]&lt;=28,"Normal",TRUE,"Hot")</f>
        <v>Hot</v>
      </c>
      <c r="W932" t="str" cm="1">
        <f t="array" ref="W932">_xlfn.IFS(smart_dataset[[#This Row],[Asset_Utilization]]&lt;=75,"Low",smart_dataset[[#This Row],[Asset_Utilization]]&lt;=90,"Medium",TRUE,"High")</f>
        <v>Low</v>
      </c>
    </row>
    <row r="933" spans="1:23" hidden="1" x14ac:dyDescent="0.25">
      <c r="A933" s="1">
        <v>45404.949837962966</v>
      </c>
      <c r="B933" s="1">
        <f>INT(smart_dataset[[#This Row],[Timestamp]])</f>
        <v>45404</v>
      </c>
      <c r="C933" s="1">
        <f>MOD(smart_dataset[[#This Row],[Timestamp]],1)</f>
        <v>0.94983796296583023</v>
      </c>
      <c r="D933" s="1">
        <f>YEAR(smart_dataset[[#This Row],[Date]])</f>
        <v>2024</v>
      </c>
      <c r="E933" s="1">
        <f>MONTH(smart_dataset[[#This Row],[Timestamp]])</f>
        <v>4</v>
      </c>
      <c r="F933" t="s">
        <v>30</v>
      </c>
      <c r="G933">
        <v>-60.097499999999997</v>
      </c>
      <c r="H933">
        <v>-13.751799999999999</v>
      </c>
      <c r="I933">
        <v>495</v>
      </c>
      <c r="J933" t="s">
        <v>21</v>
      </c>
      <c r="K933">
        <v>23.8</v>
      </c>
      <c r="L933">
        <v>69.8</v>
      </c>
      <c r="M933" t="s">
        <v>22</v>
      </c>
      <c r="N933">
        <v>22</v>
      </c>
      <c r="O933">
        <v>487</v>
      </c>
      <c r="P933">
        <v>9</v>
      </c>
      <c r="Q933" t="s">
        <v>23</v>
      </c>
      <c r="R933">
        <v>86.1</v>
      </c>
      <c r="S933">
        <v>108</v>
      </c>
      <c r="T933">
        <v>1</v>
      </c>
      <c r="U933" t="str" cm="1">
        <f t="array" ref="U933">_xlfn.IFS(smart_dataset[[#This Row],[Waiting_Time]]&lt;=20,"Low",smart_dataset[[#This Row],[Waiting_Time]]&lt;=40,"Medium",TRUE,"High")</f>
        <v>Medium</v>
      </c>
      <c r="V933" t="str" cm="1">
        <f t="array" ref="V933">_xlfn.IFS(smart_dataset[[#This Row],[Temperature]]&lt;=20,"Cold",smart_dataset[[#This Row],[Temperature]]&lt;=28,"Normal",TRUE,"Hot")</f>
        <v>Normal</v>
      </c>
      <c r="W933" t="str" cm="1">
        <f t="array" ref="W933">_xlfn.IFS(smart_dataset[[#This Row],[Asset_Utilization]]&lt;=75,"Low",smart_dataset[[#This Row],[Asset_Utilization]]&lt;=90,"Medium",TRUE,"High")</f>
        <v>Medium</v>
      </c>
    </row>
    <row r="934" spans="1:23" hidden="1" x14ac:dyDescent="0.25">
      <c r="A934" s="1">
        <v>45300.146458333336</v>
      </c>
      <c r="B934" s="1">
        <f>INT(smart_dataset[[#This Row],[Timestamp]])</f>
        <v>45300</v>
      </c>
      <c r="C934" s="1">
        <f>MOD(smart_dataset[[#This Row],[Timestamp]],1)</f>
        <v>0.14645833333634073</v>
      </c>
      <c r="D934" s="1">
        <f>YEAR(smart_dataset[[#This Row],[Date]])</f>
        <v>2024</v>
      </c>
      <c r="E934" s="1">
        <f>MONTH(smart_dataset[[#This Row],[Timestamp]])</f>
        <v>1</v>
      </c>
      <c r="F934" t="s">
        <v>34</v>
      </c>
      <c r="G934">
        <v>50.475000000000001</v>
      </c>
      <c r="H934">
        <v>-168.8578</v>
      </c>
      <c r="I934">
        <v>187</v>
      </c>
      <c r="J934" t="s">
        <v>21</v>
      </c>
      <c r="K934">
        <v>24.5</v>
      </c>
      <c r="L934">
        <v>73.099999999999994</v>
      </c>
      <c r="M934" t="s">
        <v>28</v>
      </c>
      <c r="N934">
        <v>23</v>
      </c>
      <c r="O934">
        <v>382</v>
      </c>
      <c r="P934">
        <v>7</v>
      </c>
      <c r="Q934" t="s">
        <v>23</v>
      </c>
      <c r="R934">
        <v>67.400000000000006</v>
      </c>
      <c r="S934">
        <v>149</v>
      </c>
      <c r="T934">
        <v>0</v>
      </c>
      <c r="U934" t="str" cm="1">
        <f t="array" ref="U934">_xlfn.IFS(smart_dataset[[#This Row],[Waiting_Time]]&lt;=20,"Low",smart_dataset[[#This Row],[Waiting_Time]]&lt;=40,"Medium",TRUE,"High")</f>
        <v>Medium</v>
      </c>
      <c r="V934" t="str" cm="1">
        <f t="array" ref="V934">_xlfn.IFS(smart_dataset[[#This Row],[Temperature]]&lt;=20,"Cold",smart_dataset[[#This Row],[Temperature]]&lt;=28,"Normal",TRUE,"Hot")</f>
        <v>Normal</v>
      </c>
      <c r="W934" t="str" cm="1">
        <f t="array" ref="W934">_xlfn.IFS(smart_dataset[[#This Row],[Asset_Utilization]]&lt;=75,"Low",smart_dataset[[#This Row],[Asset_Utilization]]&lt;=90,"Medium",TRUE,"High")</f>
        <v>Low</v>
      </c>
    </row>
    <row r="935" spans="1:23" x14ac:dyDescent="0.25">
      <c r="A935" s="1">
        <v>45635.39947916667</v>
      </c>
      <c r="B935" s="1">
        <f>INT(smart_dataset[[#This Row],[Timestamp]])</f>
        <v>45635</v>
      </c>
      <c r="C935" s="7">
        <f>MOD(smart_dataset[[#This Row],[Timestamp]],1)</f>
        <v>0.39947916667006211</v>
      </c>
      <c r="D935">
        <f>YEAR(smart_dataset[[#This Row],[Date]])</f>
        <v>2024</v>
      </c>
      <c r="E935">
        <f>MONTH(smart_dataset[[#This Row],[Timestamp]])</f>
        <v>12</v>
      </c>
      <c r="F935" t="s">
        <v>33</v>
      </c>
      <c r="G935">
        <v>20.924399999999999</v>
      </c>
      <c r="H935">
        <v>-59.3367</v>
      </c>
      <c r="I935">
        <v>202</v>
      </c>
      <c r="J935" t="s">
        <v>17</v>
      </c>
      <c r="K935">
        <v>26.5</v>
      </c>
      <c r="L935">
        <v>77.8</v>
      </c>
      <c r="M935" t="s">
        <v>28</v>
      </c>
      <c r="N935">
        <v>31</v>
      </c>
      <c r="O935">
        <v>298</v>
      </c>
      <c r="P935">
        <v>8</v>
      </c>
      <c r="Q935" t="s">
        <v>19</v>
      </c>
      <c r="R935">
        <v>60.6</v>
      </c>
      <c r="S935">
        <v>102</v>
      </c>
      <c r="T935">
        <v>1</v>
      </c>
      <c r="U935" t="str" cm="1">
        <f t="array" ref="U935">_xlfn.IFS(smart_dataset[[#This Row],[Waiting_Time]]&lt;=20,"Low",smart_dataset[[#This Row],[Waiting_Time]]&lt;=40,"Medium",TRUE,"High")</f>
        <v>Medium</v>
      </c>
      <c r="V935" t="str" cm="1">
        <f t="array" ref="V935">_xlfn.IFS(smart_dataset[[#This Row],[Temperature]]&lt;=20,"Cold",smart_dataset[[#This Row],[Temperature]]&lt;=28,"Normal",TRUE,"Hot")</f>
        <v>Normal</v>
      </c>
      <c r="W935" t="str" cm="1">
        <f t="array" ref="W935">_xlfn.IFS(smart_dataset[[#This Row],[Asset_Utilization]]&lt;=75,"Low",smart_dataset[[#This Row],[Asset_Utilization]]&lt;=90,"Medium",TRUE,"High")</f>
        <v>Low</v>
      </c>
    </row>
    <row r="936" spans="1:23" x14ac:dyDescent="0.25">
      <c r="A936" s="1">
        <v>45358.147245370368</v>
      </c>
      <c r="B936" s="1">
        <f>INT(smart_dataset[[#This Row],[Timestamp]])</f>
        <v>45358</v>
      </c>
      <c r="C936" s="7">
        <f>MOD(smart_dataset[[#This Row],[Timestamp]],1)</f>
        <v>0.14724537036818219</v>
      </c>
      <c r="D936">
        <f>YEAR(smart_dataset[[#This Row],[Date]])</f>
        <v>2024</v>
      </c>
      <c r="E936">
        <f>MONTH(smart_dataset[[#This Row],[Timestamp]])</f>
        <v>3</v>
      </c>
      <c r="F936" t="s">
        <v>29</v>
      </c>
      <c r="G936">
        <v>-8.4784000000000006</v>
      </c>
      <c r="H936">
        <v>117.24939999999999</v>
      </c>
      <c r="I936">
        <v>384</v>
      </c>
      <c r="J936" t="s">
        <v>26</v>
      </c>
      <c r="K936">
        <v>24.5</v>
      </c>
      <c r="L936">
        <v>62.2</v>
      </c>
      <c r="M936" t="s">
        <v>28</v>
      </c>
      <c r="N936">
        <v>45</v>
      </c>
      <c r="O936">
        <v>418</v>
      </c>
      <c r="P936">
        <v>7</v>
      </c>
      <c r="Q936" t="s">
        <v>19</v>
      </c>
      <c r="R936">
        <v>75.8</v>
      </c>
      <c r="S936">
        <v>298</v>
      </c>
      <c r="T936">
        <v>0</v>
      </c>
      <c r="U936" t="str" cm="1">
        <f t="array" ref="U936">_xlfn.IFS(smart_dataset[[#This Row],[Waiting_Time]]&lt;=20,"Low",smart_dataset[[#This Row],[Waiting_Time]]&lt;=40,"Medium",TRUE,"High")</f>
        <v>High</v>
      </c>
      <c r="V936" t="str" cm="1">
        <f t="array" ref="V936">_xlfn.IFS(smart_dataset[[#This Row],[Temperature]]&lt;=20,"Cold",smart_dataset[[#This Row],[Temperature]]&lt;=28,"Normal",TRUE,"Hot")</f>
        <v>Normal</v>
      </c>
      <c r="W936" t="str" cm="1">
        <f t="array" ref="W936">_xlfn.IFS(smart_dataset[[#This Row],[Asset_Utilization]]&lt;=75,"Low",smart_dataset[[#This Row],[Asset_Utilization]]&lt;=90,"Medium",TRUE,"High")</f>
        <v>Medium</v>
      </c>
    </row>
    <row r="937" spans="1:23" hidden="1" x14ac:dyDescent="0.25">
      <c r="A937" s="1">
        <v>45508.132650462961</v>
      </c>
      <c r="B937" s="1">
        <f>INT(smart_dataset[[#This Row],[Timestamp]])</f>
        <v>45508</v>
      </c>
      <c r="C937" s="1">
        <f>MOD(smart_dataset[[#This Row],[Timestamp]],1)</f>
        <v>0.13265046296146465</v>
      </c>
      <c r="D937" s="1">
        <f>YEAR(smart_dataset[[#This Row],[Date]])</f>
        <v>2024</v>
      </c>
      <c r="E937" s="1">
        <f>MONTH(smart_dataset[[#This Row],[Timestamp]])</f>
        <v>8</v>
      </c>
      <c r="F937" t="s">
        <v>32</v>
      </c>
      <c r="G937">
        <v>-30.809000000000001</v>
      </c>
      <c r="H937">
        <v>-126.7483</v>
      </c>
      <c r="I937">
        <v>486</v>
      </c>
      <c r="J937" t="s">
        <v>21</v>
      </c>
      <c r="K937">
        <v>25.8</v>
      </c>
      <c r="L937">
        <v>64.900000000000006</v>
      </c>
      <c r="M937" t="s">
        <v>28</v>
      </c>
      <c r="N937">
        <v>31</v>
      </c>
      <c r="O937">
        <v>136</v>
      </c>
      <c r="P937">
        <v>9</v>
      </c>
      <c r="Q937" t="s">
        <v>27</v>
      </c>
      <c r="R937">
        <v>85.4</v>
      </c>
      <c r="S937">
        <v>178</v>
      </c>
      <c r="T937">
        <v>0</v>
      </c>
      <c r="U937" t="str" cm="1">
        <f t="array" ref="U937">_xlfn.IFS(smart_dataset[[#This Row],[Waiting_Time]]&lt;=20,"Low",smart_dataset[[#This Row],[Waiting_Time]]&lt;=40,"Medium",TRUE,"High")</f>
        <v>Medium</v>
      </c>
      <c r="V937" t="str" cm="1">
        <f t="array" ref="V937">_xlfn.IFS(smart_dataset[[#This Row],[Temperature]]&lt;=20,"Cold",smart_dataset[[#This Row],[Temperature]]&lt;=28,"Normal",TRUE,"Hot")</f>
        <v>Normal</v>
      </c>
      <c r="W937" t="str" cm="1">
        <f t="array" ref="W937">_xlfn.IFS(smart_dataset[[#This Row],[Asset_Utilization]]&lt;=75,"Low",smart_dataset[[#This Row],[Asset_Utilization]]&lt;=90,"Medium",TRUE,"High")</f>
        <v>Medium</v>
      </c>
    </row>
    <row r="938" spans="1:23" hidden="1" x14ac:dyDescent="0.25">
      <c r="A938" s="1">
        <v>45636.776990740742</v>
      </c>
      <c r="B938" s="1">
        <f>INT(smart_dataset[[#This Row],[Timestamp]])</f>
        <v>45636</v>
      </c>
      <c r="C938" s="1">
        <f>MOD(smart_dataset[[#This Row],[Timestamp]],1)</f>
        <v>0.77699074074189411</v>
      </c>
      <c r="D938" s="1">
        <f>YEAR(smart_dataset[[#This Row],[Date]])</f>
        <v>2024</v>
      </c>
      <c r="E938" s="1">
        <f>MONTH(smart_dataset[[#This Row],[Timestamp]])</f>
        <v>12</v>
      </c>
      <c r="F938" t="s">
        <v>32</v>
      </c>
      <c r="G938">
        <v>17.9831</v>
      </c>
      <c r="H938">
        <v>-135.1026</v>
      </c>
      <c r="I938">
        <v>488</v>
      </c>
      <c r="J938" t="s">
        <v>21</v>
      </c>
      <c r="K938">
        <v>25.4</v>
      </c>
      <c r="L938">
        <v>64.3</v>
      </c>
      <c r="M938" t="s">
        <v>28</v>
      </c>
      <c r="N938">
        <v>14</v>
      </c>
      <c r="O938">
        <v>254</v>
      </c>
      <c r="P938">
        <v>1</v>
      </c>
      <c r="Q938" t="s">
        <v>23</v>
      </c>
      <c r="R938">
        <v>84</v>
      </c>
      <c r="S938">
        <v>250</v>
      </c>
      <c r="T938">
        <v>0</v>
      </c>
      <c r="U938" t="str" cm="1">
        <f t="array" ref="U938">_xlfn.IFS(smart_dataset[[#This Row],[Waiting_Time]]&lt;=20,"Low",smart_dataset[[#This Row],[Waiting_Time]]&lt;=40,"Medium",TRUE,"High")</f>
        <v>Low</v>
      </c>
      <c r="V938" t="str" cm="1">
        <f t="array" ref="V938">_xlfn.IFS(smart_dataset[[#This Row],[Temperature]]&lt;=20,"Cold",smart_dataset[[#This Row],[Temperature]]&lt;=28,"Normal",TRUE,"Hot")</f>
        <v>Normal</v>
      </c>
      <c r="W938" t="str" cm="1">
        <f t="array" ref="W938">_xlfn.IFS(smart_dataset[[#This Row],[Asset_Utilization]]&lt;=75,"Low",smart_dataset[[#This Row],[Asset_Utilization]]&lt;=90,"Medium",TRUE,"High")</f>
        <v>Medium</v>
      </c>
    </row>
    <row r="939" spans="1:23" hidden="1" x14ac:dyDescent="0.25">
      <c r="A939" s="1">
        <v>45613.524675925924</v>
      </c>
      <c r="B939" s="1">
        <f>INT(smart_dataset[[#This Row],[Timestamp]])</f>
        <v>45613</v>
      </c>
      <c r="C939" s="1">
        <f>MOD(smart_dataset[[#This Row],[Timestamp]],1)</f>
        <v>0.5246759259243845</v>
      </c>
      <c r="D939" s="1">
        <f>YEAR(smart_dataset[[#This Row],[Date]])</f>
        <v>2024</v>
      </c>
      <c r="E939" s="1">
        <f>MONTH(smart_dataset[[#This Row],[Timestamp]])</f>
        <v>11</v>
      </c>
      <c r="F939" t="s">
        <v>32</v>
      </c>
      <c r="G939">
        <v>-28.238499999999998</v>
      </c>
      <c r="H939">
        <v>-87.761700000000005</v>
      </c>
      <c r="I939">
        <v>244</v>
      </c>
      <c r="J939" t="s">
        <v>17</v>
      </c>
      <c r="K939">
        <v>29.1</v>
      </c>
      <c r="L939">
        <v>67.2</v>
      </c>
      <c r="M939" t="s">
        <v>22</v>
      </c>
      <c r="N939">
        <v>18</v>
      </c>
      <c r="O939">
        <v>118</v>
      </c>
      <c r="P939">
        <v>5</v>
      </c>
      <c r="Q939" t="s">
        <v>27</v>
      </c>
      <c r="R939">
        <v>70.5</v>
      </c>
      <c r="S939">
        <v>290</v>
      </c>
      <c r="T939">
        <v>1</v>
      </c>
      <c r="U939" t="str" cm="1">
        <f t="array" ref="U939">_xlfn.IFS(smart_dataset[[#This Row],[Waiting_Time]]&lt;=20,"Low",smart_dataset[[#This Row],[Waiting_Time]]&lt;=40,"Medium",TRUE,"High")</f>
        <v>Low</v>
      </c>
      <c r="V939" t="str" cm="1">
        <f t="array" ref="V939">_xlfn.IFS(smart_dataset[[#This Row],[Temperature]]&lt;=20,"Cold",smart_dataset[[#This Row],[Temperature]]&lt;=28,"Normal",TRUE,"Hot")</f>
        <v>Hot</v>
      </c>
      <c r="W939" t="str" cm="1">
        <f t="array" ref="W939">_xlfn.IFS(smart_dataset[[#This Row],[Asset_Utilization]]&lt;=75,"Low",smart_dataset[[#This Row],[Asset_Utilization]]&lt;=90,"Medium",TRUE,"High")</f>
        <v>Low</v>
      </c>
    </row>
    <row r="940" spans="1:23" hidden="1" x14ac:dyDescent="0.25">
      <c r="A940" s="1">
        <v>45599.011655092596</v>
      </c>
      <c r="B940" s="1">
        <f>INT(smart_dataset[[#This Row],[Timestamp]])</f>
        <v>45599</v>
      </c>
      <c r="C940" s="1">
        <f>MOD(smart_dataset[[#This Row],[Timestamp]],1)</f>
        <v>1.1655092595901806E-2</v>
      </c>
      <c r="D940" s="1">
        <f>YEAR(smart_dataset[[#This Row],[Date]])</f>
        <v>2024</v>
      </c>
      <c r="E940" s="1">
        <f>MONTH(smart_dataset[[#This Row],[Timestamp]])</f>
        <v>11</v>
      </c>
      <c r="F940" t="s">
        <v>30</v>
      </c>
      <c r="G940">
        <v>18.199400000000001</v>
      </c>
      <c r="H940">
        <v>40.577100000000002</v>
      </c>
      <c r="I940">
        <v>193</v>
      </c>
      <c r="J940" t="s">
        <v>21</v>
      </c>
      <c r="K940">
        <v>25.7</v>
      </c>
      <c r="L940">
        <v>64</v>
      </c>
      <c r="M940" t="s">
        <v>22</v>
      </c>
      <c r="N940">
        <v>33</v>
      </c>
      <c r="O940">
        <v>335</v>
      </c>
      <c r="P940">
        <v>8</v>
      </c>
      <c r="Q940" t="s">
        <v>31</v>
      </c>
      <c r="R940">
        <v>90</v>
      </c>
      <c r="S940">
        <v>240</v>
      </c>
      <c r="T940">
        <v>1</v>
      </c>
      <c r="U940" t="str" cm="1">
        <f t="array" ref="U940">_xlfn.IFS(smart_dataset[[#This Row],[Waiting_Time]]&lt;=20,"Low",smart_dataset[[#This Row],[Waiting_Time]]&lt;=40,"Medium",TRUE,"High")</f>
        <v>Medium</v>
      </c>
      <c r="V940" t="str" cm="1">
        <f t="array" ref="V940">_xlfn.IFS(smart_dataset[[#This Row],[Temperature]]&lt;=20,"Cold",smart_dataset[[#This Row],[Temperature]]&lt;=28,"Normal",TRUE,"Hot")</f>
        <v>Normal</v>
      </c>
      <c r="W940" t="str" cm="1">
        <f t="array" ref="W940">_xlfn.IFS(smart_dataset[[#This Row],[Asset_Utilization]]&lt;=75,"Low",smart_dataset[[#This Row],[Asset_Utilization]]&lt;=90,"Medium",TRUE,"High")</f>
        <v>Medium</v>
      </c>
    </row>
    <row r="941" spans="1:23" hidden="1" x14ac:dyDescent="0.25">
      <c r="A941" s="1">
        <v>45585.088738425926</v>
      </c>
      <c r="B941" s="1">
        <f>INT(smart_dataset[[#This Row],[Timestamp]])</f>
        <v>45585</v>
      </c>
      <c r="C941" s="1">
        <f>MOD(smart_dataset[[#This Row],[Timestamp]],1)</f>
        <v>8.8738425925839692E-2</v>
      </c>
      <c r="D941" s="1">
        <f>YEAR(smart_dataset[[#This Row],[Date]])</f>
        <v>2024</v>
      </c>
      <c r="E941" s="1">
        <f>MONTH(smart_dataset[[#This Row],[Timestamp]])</f>
        <v>10</v>
      </c>
      <c r="F941" t="s">
        <v>16</v>
      </c>
      <c r="G941">
        <v>-3.5038</v>
      </c>
      <c r="H941">
        <v>21.953299999999999</v>
      </c>
      <c r="I941">
        <v>268</v>
      </c>
      <c r="J941" t="s">
        <v>26</v>
      </c>
      <c r="K941">
        <v>18.7</v>
      </c>
      <c r="L941">
        <v>69.5</v>
      </c>
      <c r="M941" t="s">
        <v>22</v>
      </c>
      <c r="N941">
        <v>39</v>
      </c>
      <c r="O941">
        <v>101</v>
      </c>
      <c r="P941">
        <v>9</v>
      </c>
      <c r="Q941" t="s">
        <v>31</v>
      </c>
      <c r="R941">
        <v>77.099999999999994</v>
      </c>
      <c r="S941">
        <v>205</v>
      </c>
      <c r="T941">
        <v>1</v>
      </c>
      <c r="U941" t="str" cm="1">
        <f t="array" ref="U941">_xlfn.IFS(smart_dataset[[#This Row],[Waiting_Time]]&lt;=20,"Low",smart_dataset[[#This Row],[Waiting_Time]]&lt;=40,"Medium",TRUE,"High")</f>
        <v>Medium</v>
      </c>
      <c r="V941" t="str" cm="1">
        <f t="array" ref="V941">_xlfn.IFS(smart_dataset[[#This Row],[Temperature]]&lt;=20,"Cold",smart_dataset[[#This Row],[Temperature]]&lt;=28,"Normal",TRUE,"Hot")</f>
        <v>Cold</v>
      </c>
      <c r="W941" t="str" cm="1">
        <f t="array" ref="W941">_xlfn.IFS(smart_dataset[[#This Row],[Asset_Utilization]]&lt;=75,"Low",smart_dataset[[#This Row],[Asset_Utilization]]&lt;=90,"Medium",TRUE,"High")</f>
        <v>Medium</v>
      </c>
    </row>
    <row r="942" spans="1:23" x14ac:dyDescent="0.25">
      <c r="A942" s="1">
        <v>45300.909363425926</v>
      </c>
      <c r="B942" s="1">
        <f>INT(smart_dataset[[#This Row],[Timestamp]])</f>
        <v>45300</v>
      </c>
      <c r="C942" s="7">
        <f>MOD(smart_dataset[[#This Row],[Timestamp]],1)</f>
        <v>0.90936342592613073</v>
      </c>
      <c r="D942">
        <f>YEAR(smart_dataset[[#This Row],[Date]])</f>
        <v>2024</v>
      </c>
      <c r="E942">
        <f>MONTH(smart_dataset[[#This Row],[Timestamp]])</f>
        <v>1</v>
      </c>
      <c r="F942" t="s">
        <v>30</v>
      </c>
      <c r="G942">
        <v>88.528000000000006</v>
      </c>
      <c r="H942">
        <v>-0.35949999999999999</v>
      </c>
      <c r="I942">
        <v>375</v>
      </c>
      <c r="J942" t="s">
        <v>17</v>
      </c>
      <c r="K942">
        <v>19.2</v>
      </c>
      <c r="L942">
        <v>72.900000000000006</v>
      </c>
      <c r="M942" t="s">
        <v>18</v>
      </c>
      <c r="N942">
        <v>58</v>
      </c>
      <c r="O942">
        <v>119</v>
      </c>
      <c r="P942">
        <v>7</v>
      </c>
      <c r="Q942" t="s">
        <v>19</v>
      </c>
      <c r="R942">
        <v>96.9</v>
      </c>
      <c r="S942">
        <v>213</v>
      </c>
      <c r="T942">
        <v>1</v>
      </c>
      <c r="U942" t="str" cm="1">
        <f t="array" ref="U942">_xlfn.IFS(smart_dataset[[#This Row],[Waiting_Time]]&lt;=20,"Low",smart_dataset[[#This Row],[Waiting_Time]]&lt;=40,"Medium",TRUE,"High")</f>
        <v>High</v>
      </c>
      <c r="V942" t="str" cm="1">
        <f t="array" ref="V942">_xlfn.IFS(smart_dataset[[#This Row],[Temperature]]&lt;=20,"Cold",smart_dataset[[#This Row],[Temperature]]&lt;=28,"Normal",TRUE,"Hot")</f>
        <v>Cold</v>
      </c>
      <c r="W942" t="str" cm="1">
        <f t="array" ref="W942">_xlfn.IFS(smart_dataset[[#This Row],[Asset_Utilization]]&lt;=75,"Low",smart_dataset[[#This Row],[Asset_Utilization]]&lt;=90,"Medium",TRUE,"High")</f>
        <v>High</v>
      </c>
    </row>
    <row r="943" spans="1:23" hidden="1" x14ac:dyDescent="0.25">
      <c r="A943" s="1">
        <v>45495.490208333336</v>
      </c>
      <c r="B943" s="1">
        <f>INT(smart_dataset[[#This Row],[Timestamp]])</f>
        <v>45495</v>
      </c>
      <c r="C943" s="1">
        <f>MOD(smart_dataset[[#This Row],[Timestamp]],1)</f>
        <v>0.49020833333634073</v>
      </c>
      <c r="D943" s="1">
        <f>YEAR(smart_dataset[[#This Row],[Date]])</f>
        <v>2024</v>
      </c>
      <c r="E943" s="1">
        <f>MONTH(smart_dataset[[#This Row],[Timestamp]])</f>
        <v>7</v>
      </c>
      <c r="F943" t="s">
        <v>25</v>
      </c>
      <c r="G943">
        <v>-24.783799999999999</v>
      </c>
      <c r="H943">
        <v>-21.175999999999998</v>
      </c>
      <c r="I943">
        <v>465</v>
      </c>
      <c r="J943" t="s">
        <v>21</v>
      </c>
      <c r="K943">
        <v>28</v>
      </c>
      <c r="L943">
        <v>59.6</v>
      </c>
      <c r="M943" t="s">
        <v>28</v>
      </c>
      <c r="N943">
        <v>51</v>
      </c>
      <c r="O943">
        <v>305</v>
      </c>
      <c r="P943">
        <v>10</v>
      </c>
      <c r="Q943" t="s">
        <v>31</v>
      </c>
      <c r="R943">
        <v>96.9</v>
      </c>
      <c r="S943">
        <v>153</v>
      </c>
      <c r="T943">
        <v>0</v>
      </c>
      <c r="U943" t="str" cm="1">
        <f t="array" ref="U943">_xlfn.IFS(smart_dataset[[#This Row],[Waiting_Time]]&lt;=20,"Low",smart_dataset[[#This Row],[Waiting_Time]]&lt;=40,"Medium",TRUE,"High")</f>
        <v>High</v>
      </c>
      <c r="V943" t="str" cm="1">
        <f t="array" ref="V943">_xlfn.IFS(smart_dataset[[#This Row],[Temperature]]&lt;=20,"Cold",smart_dataset[[#This Row],[Temperature]]&lt;=28,"Normal",TRUE,"Hot")</f>
        <v>Normal</v>
      </c>
      <c r="W943" t="str" cm="1">
        <f t="array" ref="W943">_xlfn.IFS(smart_dataset[[#This Row],[Asset_Utilization]]&lt;=75,"Low",smart_dataset[[#This Row],[Asset_Utilization]]&lt;=90,"Medium",TRUE,"High")</f>
        <v>High</v>
      </c>
    </row>
    <row r="944" spans="1:23" hidden="1" x14ac:dyDescent="0.25">
      <c r="A944" s="1">
        <v>45534.502986111111</v>
      </c>
      <c r="B944" s="1">
        <f>INT(smart_dataset[[#This Row],[Timestamp]])</f>
        <v>45534</v>
      </c>
      <c r="C944" s="1">
        <f>MOD(smart_dataset[[#This Row],[Timestamp]],1)</f>
        <v>0.50298611111065838</v>
      </c>
      <c r="D944" s="1">
        <f>YEAR(smart_dataset[[#This Row],[Date]])</f>
        <v>2024</v>
      </c>
      <c r="E944" s="1">
        <f>MONTH(smart_dataset[[#This Row],[Timestamp]])</f>
        <v>8</v>
      </c>
      <c r="F944" t="s">
        <v>24</v>
      </c>
      <c r="G944">
        <v>56.137300000000003</v>
      </c>
      <c r="H944">
        <v>82.419200000000004</v>
      </c>
      <c r="I944">
        <v>258</v>
      </c>
      <c r="J944" t="s">
        <v>17</v>
      </c>
      <c r="K944">
        <v>19.3</v>
      </c>
      <c r="L944">
        <v>74.2</v>
      </c>
      <c r="M944" t="s">
        <v>18</v>
      </c>
      <c r="N944">
        <v>52</v>
      </c>
      <c r="O944">
        <v>407</v>
      </c>
      <c r="P944">
        <v>8</v>
      </c>
      <c r="Q944" t="s">
        <v>23</v>
      </c>
      <c r="R944">
        <v>84.7</v>
      </c>
      <c r="S944">
        <v>245</v>
      </c>
      <c r="T944">
        <v>1</v>
      </c>
      <c r="U944" t="str" cm="1">
        <f t="array" ref="U944">_xlfn.IFS(smart_dataset[[#This Row],[Waiting_Time]]&lt;=20,"Low",smart_dataset[[#This Row],[Waiting_Time]]&lt;=40,"Medium",TRUE,"High")</f>
        <v>High</v>
      </c>
      <c r="V944" t="str" cm="1">
        <f t="array" ref="V944">_xlfn.IFS(smart_dataset[[#This Row],[Temperature]]&lt;=20,"Cold",smart_dataset[[#This Row],[Temperature]]&lt;=28,"Normal",TRUE,"Hot")</f>
        <v>Cold</v>
      </c>
      <c r="W944" t="str" cm="1">
        <f t="array" ref="W944">_xlfn.IFS(smart_dataset[[#This Row],[Asset_Utilization]]&lt;=75,"Low",smart_dataset[[#This Row],[Asset_Utilization]]&lt;=90,"Medium",TRUE,"High")</f>
        <v>Medium</v>
      </c>
    </row>
    <row r="945" spans="1:23" hidden="1" x14ac:dyDescent="0.25">
      <c r="A945" s="1">
        <v>45616.781643518516</v>
      </c>
      <c r="B945" s="1">
        <f>INT(smart_dataset[[#This Row],[Timestamp]])</f>
        <v>45616</v>
      </c>
      <c r="C945" s="1">
        <f>MOD(smart_dataset[[#This Row],[Timestamp]],1)</f>
        <v>0.78164351851592073</v>
      </c>
      <c r="D945" s="1">
        <f>YEAR(smart_dataset[[#This Row],[Date]])</f>
        <v>2024</v>
      </c>
      <c r="E945" s="1">
        <f>MONTH(smart_dataset[[#This Row],[Timestamp]])</f>
        <v>11</v>
      </c>
      <c r="F945" t="s">
        <v>35</v>
      </c>
      <c r="G945">
        <v>-13.2882</v>
      </c>
      <c r="H945">
        <v>-171.94730000000001</v>
      </c>
      <c r="I945">
        <v>254</v>
      </c>
      <c r="J945" t="s">
        <v>26</v>
      </c>
      <c r="K945">
        <v>27.3</v>
      </c>
      <c r="L945">
        <v>71.7</v>
      </c>
      <c r="M945" t="s">
        <v>18</v>
      </c>
      <c r="N945">
        <v>38</v>
      </c>
      <c r="O945">
        <v>279</v>
      </c>
      <c r="P945">
        <v>10</v>
      </c>
      <c r="Q945" t="s">
        <v>27</v>
      </c>
      <c r="R945">
        <v>91.5</v>
      </c>
      <c r="S945">
        <v>111</v>
      </c>
      <c r="T945">
        <v>0</v>
      </c>
      <c r="U945" t="str" cm="1">
        <f t="array" ref="U945">_xlfn.IFS(smart_dataset[[#This Row],[Waiting_Time]]&lt;=20,"Low",smart_dataset[[#This Row],[Waiting_Time]]&lt;=40,"Medium",TRUE,"High")</f>
        <v>Medium</v>
      </c>
      <c r="V945" t="str" cm="1">
        <f t="array" ref="V945">_xlfn.IFS(smart_dataset[[#This Row],[Temperature]]&lt;=20,"Cold",smart_dataset[[#This Row],[Temperature]]&lt;=28,"Normal",TRUE,"Hot")</f>
        <v>Normal</v>
      </c>
      <c r="W945" t="str" cm="1">
        <f t="array" ref="W945">_xlfn.IFS(smart_dataset[[#This Row],[Asset_Utilization]]&lt;=75,"Low",smart_dataset[[#This Row],[Asset_Utilization]]&lt;=90,"Medium",TRUE,"High")</f>
        <v>High</v>
      </c>
    </row>
    <row r="946" spans="1:23" hidden="1" x14ac:dyDescent="0.25">
      <c r="A946" s="1">
        <v>45620.051157407404</v>
      </c>
      <c r="B946" s="1">
        <f>INT(smart_dataset[[#This Row],[Timestamp]])</f>
        <v>45620</v>
      </c>
      <c r="C946" s="1">
        <f>MOD(smart_dataset[[#This Row],[Timestamp]],1)</f>
        <v>5.1157407404389232E-2</v>
      </c>
      <c r="D946" s="1">
        <f>YEAR(smart_dataset[[#This Row],[Date]])</f>
        <v>2024</v>
      </c>
      <c r="E946" s="1">
        <f>MONTH(smart_dataset[[#This Row],[Timestamp]])</f>
        <v>11</v>
      </c>
      <c r="F946" t="s">
        <v>24</v>
      </c>
      <c r="G946">
        <v>68.9345</v>
      </c>
      <c r="H946">
        <v>172.15199999999999</v>
      </c>
      <c r="I946">
        <v>456</v>
      </c>
      <c r="J946" t="s">
        <v>21</v>
      </c>
      <c r="K946">
        <v>20.9</v>
      </c>
      <c r="L946">
        <v>71.2</v>
      </c>
      <c r="M946" t="s">
        <v>28</v>
      </c>
      <c r="N946">
        <v>46</v>
      </c>
      <c r="O946">
        <v>414</v>
      </c>
      <c r="P946">
        <v>10</v>
      </c>
      <c r="Q946" t="s">
        <v>31</v>
      </c>
      <c r="R946">
        <v>90.6</v>
      </c>
      <c r="S946">
        <v>280</v>
      </c>
      <c r="T946">
        <v>0</v>
      </c>
      <c r="U946" t="str" cm="1">
        <f t="array" ref="U946">_xlfn.IFS(smart_dataset[[#This Row],[Waiting_Time]]&lt;=20,"Low",smart_dataset[[#This Row],[Waiting_Time]]&lt;=40,"Medium",TRUE,"High")</f>
        <v>High</v>
      </c>
      <c r="V946" t="str" cm="1">
        <f t="array" ref="V946">_xlfn.IFS(smart_dataset[[#This Row],[Temperature]]&lt;=20,"Cold",smart_dataset[[#This Row],[Temperature]]&lt;=28,"Normal",TRUE,"Hot")</f>
        <v>Normal</v>
      </c>
      <c r="W946" t="str" cm="1">
        <f t="array" ref="W946">_xlfn.IFS(smart_dataset[[#This Row],[Asset_Utilization]]&lt;=75,"Low",smart_dataset[[#This Row],[Asset_Utilization]]&lt;=90,"Medium",TRUE,"High")</f>
        <v>High</v>
      </c>
    </row>
    <row r="947" spans="1:23" hidden="1" x14ac:dyDescent="0.25">
      <c r="A947" s="1">
        <v>45317.72084490741</v>
      </c>
      <c r="B947" s="1">
        <f>INT(smart_dataset[[#This Row],[Timestamp]])</f>
        <v>45317</v>
      </c>
      <c r="C947" s="1">
        <f>MOD(smart_dataset[[#This Row],[Timestamp]],1)</f>
        <v>0.72084490740962792</v>
      </c>
      <c r="D947" s="1">
        <f>YEAR(smart_dataset[[#This Row],[Date]])</f>
        <v>2024</v>
      </c>
      <c r="E947" s="1">
        <f>MONTH(smart_dataset[[#This Row],[Timestamp]])</f>
        <v>1</v>
      </c>
      <c r="F947" t="s">
        <v>16</v>
      </c>
      <c r="G947">
        <v>-80.960099999999997</v>
      </c>
      <c r="H947">
        <v>52.613999999999997</v>
      </c>
      <c r="I947">
        <v>158</v>
      </c>
      <c r="J947" t="s">
        <v>21</v>
      </c>
      <c r="K947">
        <v>29.7</v>
      </c>
      <c r="L947">
        <v>78.2</v>
      </c>
      <c r="M947" t="s">
        <v>22</v>
      </c>
      <c r="N947">
        <v>43</v>
      </c>
      <c r="O947">
        <v>334</v>
      </c>
      <c r="P947">
        <v>5</v>
      </c>
      <c r="Q947" t="s">
        <v>23</v>
      </c>
      <c r="R947">
        <v>72.7</v>
      </c>
      <c r="S947">
        <v>181</v>
      </c>
      <c r="T947">
        <v>1</v>
      </c>
      <c r="U947" t="str" cm="1">
        <f t="array" ref="U947">_xlfn.IFS(smart_dataset[[#This Row],[Waiting_Time]]&lt;=20,"Low",smart_dataset[[#This Row],[Waiting_Time]]&lt;=40,"Medium",TRUE,"High")</f>
        <v>High</v>
      </c>
      <c r="V947" t="str" cm="1">
        <f t="array" ref="V947">_xlfn.IFS(smart_dataset[[#This Row],[Temperature]]&lt;=20,"Cold",smart_dataset[[#This Row],[Temperature]]&lt;=28,"Normal",TRUE,"Hot")</f>
        <v>Hot</v>
      </c>
      <c r="W947" t="str" cm="1">
        <f t="array" ref="W947">_xlfn.IFS(smart_dataset[[#This Row],[Asset_Utilization]]&lt;=75,"Low",smart_dataset[[#This Row],[Asset_Utilization]]&lt;=90,"Medium",TRUE,"High")</f>
        <v>Low</v>
      </c>
    </row>
    <row r="948" spans="1:23" x14ac:dyDescent="0.25">
      <c r="A948" s="1">
        <v>45496.999120370368</v>
      </c>
      <c r="B948" s="1">
        <f>INT(smart_dataset[[#This Row],[Timestamp]])</f>
        <v>45496</v>
      </c>
      <c r="C948" s="7">
        <f>MOD(smart_dataset[[#This Row],[Timestamp]],1)</f>
        <v>0.99912037036847323</v>
      </c>
      <c r="D948">
        <f>YEAR(smart_dataset[[#This Row],[Date]])</f>
        <v>2024</v>
      </c>
      <c r="E948">
        <f>MONTH(smart_dataset[[#This Row],[Timestamp]])</f>
        <v>7</v>
      </c>
      <c r="F948" t="s">
        <v>34</v>
      </c>
      <c r="G948">
        <v>57.2271</v>
      </c>
      <c r="H948">
        <v>59.258800000000001</v>
      </c>
      <c r="I948">
        <v>158</v>
      </c>
      <c r="J948" t="s">
        <v>17</v>
      </c>
      <c r="K948">
        <v>25.9</v>
      </c>
      <c r="L948">
        <v>51.3</v>
      </c>
      <c r="M948" t="s">
        <v>18</v>
      </c>
      <c r="N948">
        <v>46</v>
      </c>
      <c r="O948">
        <v>308</v>
      </c>
      <c r="P948">
        <v>7</v>
      </c>
      <c r="Q948" t="s">
        <v>19</v>
      </c>
      <c r="R948">
        <v>64.599999999999994</v>
      </c>
      <c r="S948">
        <v>115</v>
      </c>
      <c r="T948">
        <v>1</v>
      </c>
      <c r="U948" t="str" cm="1">
        <f t="array" ref="U948">_xlfn.IFS(smart_dataset[[#This Row],[Waiting_Time]]&lt;=20,"Low",smart_dataset[[#This Row],[Waiting_Time]]&lt;=40,"Medium",TRUE,"High")</f>
        <v>High</v>
      </c>
      <c r="V948" t="str" cm="1">
        <f t="array" ref="V948">_xlfn.IFS(smart_dataset[[#This Row],[Temperature]]&lt;=20,"Cold",smart_dataset[[#This Row],[Temperature]]&lt;=28,"Normal",TRUE,"Hot")</f>
        <v>Normal</v>
      </c>
      <c r="W948" t="str" cm="1">
        <f t="array" ref="W948">_xlfn.IFS(smart_dataset[[#This Row],[Asset_Utilization]]&lt;=75,"Low",smart_dataset[[#This Row],[Asset_Utilization]]&lt;=90,"Medium",TRUE,"High")</f>
        <v>Low</v>
      </c>
    </row>
    <row r="949" spans="1:23" hidden="1" x14ac:dyDescent="0.25">
      <c r="A949" s="1">
        <v>45403.307766203703</v>
      </c>
      <c r="B949" s="1">
        <f>INT(smart_dataset[[#This Row],[Timestamp]])</f>
        <v>45403</v>
      </c>
      <c r="C949" s="1">
        <f>MOD(smart_dataset[[#This Row],[Timestamp]],1)</f>
        <v>0.30776620370306773</v>
      </c>
      <c r="D949" s="1">
        <f>YEAR(smart_dataset[[#This Row],[Date]])</f>
        <v>2024</v>
      </c>
      <c r="E949" s="1">
        <f>MONTH(smart_dataset[[#This Row],[Timestamp]])</f>
        <v>4</v>
      </c>
      <c r="F949" t="s">
        <v>24</v>
      </c>
      <c r="G949">
        <v>82.630700000000004</v>
      </c>
      <c r="H949">
        <v>-111.6216</v>
      </c>
      <c r="I949">
        <v>260</v>
      </c>
      <c r="J949" t="s">
        <v>26</v>
      </c>
      <c r="K949">
        <v>23.2</v>
      </c>
      <c r="L949">
        <v>56.3</v>
      </c>
      <c r="M949" t="s">
        <v>28</v>
      </c>
      <c r="N949">
        <v>57</v>
      </c>
      <c r="O949">
        <v>329</v>
      </c>
      <c r="P949">
        <v>7</v>
      </c>
      <c r="Q949" t="s">
        <v>31</v>
      </c>
      <c r="R949">
        <v>77.900000000000006</v>
      </c>
      <c r="S949">
        <v>258</v>
      </c>
      <c r="T949">
        <v>0</v>
      </c>
      <c r="U949" t="str" cm="1">
        <f t="array" ref="U949">_xlfn.IFS(smart_dataset[[#This Row],[Waiting_Time]]&lt;=20,"Low",smart_dataset[[#This Row],[Waiting_Time]]&lt;=40,"Medium",TRUE,"High")</f>
        <v>High</v>
      </c>
      <c r="V949" t="str" cm="1">
        <f t="array" ref="V949">_xlfn.IFS(smart_dataset[[#This Row],[Temperature]]&lt;=20,"Cold",smart_dataset[[#This Row],[Temperature]]&lt;=28,"Normal",TRUE,"Hot")</f>
        <v>Normal</v>
      </c>
      <c r="W949" t="str" cm="1">
        <f t="array" ref="W949">_xlfn.IFS(smart_dataset[[#This Row],[Asset_Utilization]]&lt;=75,"Low",smart_dataset[[#This Row],[Asset_Utilization]]&lt;=90,"Medium",TRUE,"High")</f>
        <v>Medium</v>
      </c>
    </row>
    <row r="950" spans="1:23" hidden="1" x14ac:dyDescent="0.25">
      <c r="A950" s="1">
        <v>45441.820625</v>
      </c>
      <c r="B950" s="1">
        <f>INT(smart_dataset[[#This Row],[Timestamp]])</f>
        <v>45441</v>
      </c>
      <c r="C950" s="1">
        <f>MOD(smart_dataset[[#This Row],[Timestamp]],1)</f>
        <v>0.82062500000029104</v>
      </c>
      <c r="D950" s="1">
        <f>YEAR(smart_dataset[[#This Row],[Date]])</f>
        <v>2024</v>
      </c>
      <c r="E950" s="1">
        <f>MONTH(smart_dataset[[#This Row],[Timestamp]])</f>
        <v>5</v>
      </c>
      <c r="F950" t="s">
        <v>30</v>
      </c>
      <c r="G950">
        <v>53.022100000000002</v>
      </c>
      <c r="H950">
        <v>110.4363</v>
      </c>
      <c r="I950">
        <v>249</v>
      </c>
      <c r="J950" t="s">
        <v>21</v>
      </c>
      <c r="K950">
        <v>21.4</v>
      </c>
      <c r="L950">
        <v>56.6</v>
      </c>
      <c r="M950" t="s">
        <v>18</v>
      </c>
      <c r="N950">
        <v>49</v>
      </c>
      <c r="O950">
        <v>398</v>
      </c>
      <c r="P950">
        <v>10</v>
      </c>
      <c r="Q950" t="s">
        <v>31</v>
      </c>
      <c r="R950">
        <v>67.3</v>
      </c>
      <c r="S950">
        <v>279</v>
      </c>
      <c r="T950">
        <v>0</v>
      </c>
      <c r="U950" t="str" cm="1">
        <f t="array" ref="U950">_xlfn.IFS(smart_dataset[[#This Row],[Waiting_Time]]&lt;=20,"Low",smart_dataset[[#This Row],[Waiting_Time]]&lt;=40,"Medium",TRUE,"High")</f>
        <v>High</v>
      </c>
      <c r="V950" t="str" cm="1">
        <f t="array" ref="V950">_xlfn.IFS(smart_dataset[[#This Row],[Temperature]]&lt;=20,"Cold",smart_dataset[[#This Row],[Temperature]]&lt;=28,"Normal",TRUE,"Hot")</f>
        <v>Normal</v>
      </c>
      <c r="W950" t="str" cm="1">
        <f t="array" ref="W950">_xlfn.IFS(smart_dataset[[#This Row],[Asset_Utilization]]&lt;=75,"Low",smart_dataset[[#This Row],[Asset_Utilization]]&lt;=90,"Medium",TRUE,"High")</f>
        <v>Low</v>
      </c>
    </row>
    <row r="951" spans="1:23" x14ac:dyDescent="0.25">
      <c r="A951" s="1">
        <v>45337.534780092596</v>
      </c>
      <c r="B951" s="1">
        <f>INT(smart_dataset[[#This Row],[Timestamp]])</f>
        <v>45337</v>
      </c>
      <c r="C951" s="7">
        <f>MOD(smart_dataset[[#This Row],[Timestamp]],1)</f>
        <v>0.53478009259561077</v>
      </c>
      <c r="D951">
        <f>YEAR(smart_dataset[[#This Row],[Date]])</f>
        <v>2024</v>
      </c>
      <c r="E951">
        <f>MONTH(smart_dataset[[#This Row],[Timestamp]])</f>
        <v>2</v>
      </c>
      <c r="F951" t="s">
        <v>20</v>
      </c>
      <c r="G951">
        <v>21.636199999999999</v>
      </c>
      <c r="H951">
        <v>35.729199999999999</v>
      </c>
      <c r="I951">
        <v>224</v>
      </c>
      <c r="J951" t="s">
        <v>17</v>
      </c>
      <c r="K951">
        <v>28.3</v>
      </c>
      <c r="L951">
        <v>69</v>
      </c>
      <c r="M951" t="s">
        <v>28</v>
      </c>
      <c r="N951">
        <v>20</v>
      </c>
      <c r="O951">
        <v>445</v>
      </c>
      <c r="P951">
        <v>6</v>
      </c>
      <c r="Q951" t="s">
        <v>19</v>
      </c>
      <c r="R951">
        <v>60.1</v>
      </c>
      <c r="S951">
        <v>259</v>
      </c>
      <c r="T951">
        <v>1</v>
      </c>
      <c r="U951" t="str" cm="1">
        <f t="array" ref="U951">_xlfn.IFS(smart_dataset[[#This Row],[Waiting_Time]]&lt;=20,"Low",smart_dataset[[#This Row],[Waiting_Time]]&lt;=40,"Medium",TRUE,"High")</f>
        <v>Low</v>
      </c>
      <c r="V951" t="str" cm="1">
        <f t="array" ref="V951">_xlfn.IFS(smart_dataset[[#This Row],[Temperature]]&lt;=20,"Cold",smart_dataset[[#This Row],[Temperature]]&lt;=28,"Normal",TRUE,"Hot")</f>
        <v>Hot</v>
      </c>
      <c r="W951" t="str" cm="1">
        <f t="array" ref="W951">_xlfn.IFS(smart_dataset[[#This Row],[Asset_Utilization]]&lt;=75,"Low",smart_dataset[[#This Row],[Asset_Utilization]]&lt;=90,"Medium",TRUE,"High")</f>
        <v>Low</v>
      </c>
    </row>
    <row r="952" spans="1:23" hidden="1" x14ac:dyDescent="0.25">
      <c r="A952" s="1">
        <v>45403.930578703701</v>
      </c>
      <c r="B952" s="1">
        <f>INT(smart_dataset[[#This Row],[Timestamp]])</f>
        <v>45403</v>
      </c>
      <c r="C952" s="1">
        <f>MOD(smart_dataset[[#This Row],[Timestamp]],1)</f>
        <v>0.93057870370103046</v>
      </c>
      <c r="D952" s="1">
        <f>YEAR(smart_dataset[[#This Row],[Date]])</f>
        <v>2024</v>
      </c>
      <c r="E952" s="1">
        <f>MONTH(smart_dataset[[#This Row],[Timestamp]])</f>
        <v>4</v>
      </c>
      <c r="F952" t="s">
        <v>32</v>
      </c>
      <c r="G952">
        <v>-0.56459999999999999</v>
      </c>
      <c r="H952">
        <v>175.2938</v>
      </c>
      <c r="I952">
        <v>162</v>
      </c>
      <c r="J952" t="s">
        <v>26</v>
      </c>
      <c r="K952">
        <v>29.4</v>
      </c>
      <c r="L952">
        <v>65.900000000000006</v>
      </c>
      <c r="M952" t="s">
        <v>18</v>
      </c>
      <c r="N952">
        <v>40</v>
      </c>
      <c r="O952">
        <v>262</v>
      </c>
      <c r="P952">
        <v>2</v>
      </c>
      <c r="Q952" t="s">
        <v>27</v>
      </c>
      <c r="R952">
        <v>61.5</v>
      </c>
      <c r="S952">
        <v>298</v>
      </c>
      <c r="T952">
        <v>0</v>
      </c>
      <c r="U952" t="str" cm="1">
        <f t="array" ref="U952">_xlfn.IFS(smart_dataset[[#This Row],[Waiting_Time]]&lt;=20,"Low",smart_dataset[[#This Row],[Waiting_Time]]&lt;=40,"Medium",TRUE,"High")</f>
        <v>Medium</v>
      </c>
      <c r="V952" t="str" cm="1">
        <f t="array" ref="V952">_xlfn.IFS(smart_dataset[[#This Row],[Temperature]]&lt;=20,"Cold",smart_dataset[[#This Row],[Temperature]]&lt;=28,"Normal",TRUE,"Hot")</f>
        <v>Hot</v>
      </c>
      <c r="W952" t="str" cm="1">
        <f t="array" ref="W952">_xlfn.IFS(smart_dataset[[#This Row],[Asset_Utilization]]&lt;=75,"Low",smart_dataset[[#This Row],[Asset_Utilization]]&lt;=90,"Medium",TRUE,"High")</f>
        <v>Low</v>
      </c>
    </row>
    <row r="953" spans="1:23" hidden="1" x14ac:dyDescent="0.25">
      <c r="A953" s="1">
        <v>45542.082766203705</v>
      </c>
      <c r="B953" s="1">
        <f>INT(smart_dataset[[#This Row],[Timestamp]])</f>
        <v>45542</v>
      </c>
      <c r="C953" s="1">
        <f>MOD(smart_dataset[[#This Row],[Timestamp]],1)</f>
        <v>8.2766203704522923E-2</v>
      </c>
      <c r="D953" s="1">
        <f>YEAR(smart_dataset[[#This Row],[Date]])</f>
        <v>2024</v>
      </c>
      <c r="E953" s="1">
        <f>MONTH(smart_dataset[[#This Row],[Timestamp]])</f>
        <v>9</v>
      </c>
      <c r="F953" t="s">
        <v>29</v>
      </c>
      <c r="G953">
        <v>-53.974400000000003</v>
      </c>
      <c r="H953">
        <v>-52.453600000000002</v>
      </c>
      <c r="I953">
        <v>160</v>
      </c>
      <c r="J953" t="s">
        <v>26</v>
      </c>
      <c r="K953">
        <v>20.7</v>
      </c>
      <c r="L953">
        <v>63.1</v>
      </c>
      <c r="M953" t="s">
        <v>28</v>
      </c>
      <c r="N953">
        <v>52</v>
      </c>
      <c r="O953">
        <v>488</v>
      </c>
      <c r="P953">
        <v>3</v>
      </c>
      <c r="Q953" t="s">
        <v>31</v>
      </c>
      <c r="R953">
        <v>79.599999999999994</v>
      </c>
      <c r="S953">
        <v>246</v>
      </c>
      <c r="T953">
        <v>0</v>
      </c>
      <c r="U953" t="str" cm="1">
        <f t="array" ref="U953">_xlfn.IFS(smart_dataset[[#This Row],[Waiting_Time]]&lt;=20,"Low",smart_dataset[[#This Row],[Waiting_Time]]&lt;=40,"Medium",TRUE,"High")</f>
        <v>High</v>
      </c>
      <c r="V953" t="str" cm="1">
        <f t="array" ref="V953">_xlfn.IFS(smart_dataset[[#This Row],[Temperature]]&lt;=20,"Cold",smart_dataset[[#This Row],[Temperature]]&lt;=28,"Normal",TRUE,"Hot")</f>
        <v>Normal</v>
      </c>
      <c r="W953" t="str" cm="1">
        <f t="array" ref="W953">_xlfn.IFS(smart_dataset[[#This Row],[Asset_Utilization]]&lt;=75,"Low",smart_dataset[[#This Row],[Asset_Utilization]]&lt;=90,"Medium",TRUE,"High")</f>
        <v>Medium</v>
      </c>
    </row>
    <row r="954" spans="1:23" hidden="1" x14ac:dyDescent="0.25">
      <c r="A954" s="1">
        <v>45408.308807870373</v>
      </c>
      <c r="B954" s="1">
        <f>INT(smart_dataset[[#This Row],[Timestamp]])</f>
        <v>45408</v>
      </c>
      <c r="C954" s="1">
        <f>MOD(smart_dataset[[#This Row],[Timestamp]],1)</f>
        <v>0.30880787037312984</v>
      </c>
      <c r="D954" s="1">
        <f>YEAR(smart_dataset[[#This Row],[Date]])</f>
        <v>2024</v>
      </c>
      <c r="E954" s="1">
        <f>MONTH(smart_dataset[[#This Row],[Timestamp]])</f>
        <v>4</v>
      </c>
      <c r="F954" t="s">
        <v>32</v>
      </c>
      <c r="G954">
        <v>70.9071</v>
      </c>
      <c r="H954">
        <v>-64.786299999999997</v>
      </c>
      <c r="I954">
        <v>260</v>
      </c>
      <c r="J954" t="s">
        <v>26</v>
      </c>
      <c r="K954">
        <v>18.8</v>
      </c>
      <c r="L954">
        <v>55</v>
      </c>
      <c r="M954" t="s">
        <v>18</v>
      </c>
      <c r="N954">
        <v>13</v>
      </c>
      <c r="O954">
        <v>428</v>
      </c>
      <c r="P954">
        <v>2</v>
      </c>
      <c r="Q954" t="s">
        <v>23</v>
      </c>
      <c r="R954">
        <v>73.900000000000006</v>
      </c>
      <c r="S954">
        <v>198</v>
      </c>
      <c r="T954">
        <v>0</v>
      </c>
      <c r="U954" t="str" cm="1">
        <f t="array" ref="U954">_xlfn.IFS(smart_dataset[[#This Row],[Waiting_Time]]&lt;=20,"Low",smart_dataset[[#This Row],[Waiting_Time]]&lt;=40,"Medium",TRUE,"High")</f>
        <v>Low</v>
      </c>
      <c r="V954" t="str" cm="1">
        <f t="array" ref="V954">_xlfn.IFS(smart_dataset[[#This Row],[Temperature]]&lt;=20,"Cold",smart_dataset[[#This Row],[Temperature]]&lt;=28,"Normal",TRUE,"Hot")</f>
        <v>Cold</v>
      </c>
      <c r="W954" t="str" cm="1">
        <f t="array" ref="W954">_xlfn.IFS(smart_dataset[[#This Row],[Asset_Utilization]]&lt;=75,"Low",smart_dataset[[#This Row],[Asset_Utilization]]&lt;=90,"Medium",TRUE,"High")</f>
        <v>Low</v>
      </c>
    </row>
    <row r="955" spans="1:23" x14ac:dyDescent="0.25">
      <c r="A955" s="1">
        <v>45374.577002314814</v>
      </c>
      <c r="B955" s="1">
        <f>INT(smart_dataset[[#This Row],[Timestamp]])</f>
        <v>45374</v>
      </c>
      <c r="C955" s="7">
        <f>MOD(smart_dataset[[#This Row],[Timestamp]],1)</f>
        <v>0.57700231481430819</v>
      </c>
      <c r="D955">
        <f>YEAR(smart_dataset[[#This Row],[Date]])</f>
        <v>2024</v>
      </c>
      <c r="E955">
        <f>MONTH(smart_dataset[[#This Row],[Timestamp]])</f>
        <v>3</v>
      </c>
      <c r="F955" t="s">
        <v>16</v>
      </c>
      <c r="G955">
        <v>-32.319600000000001</v>
      </c>
      <c r="H955">
        <v>-16.445799999999998</v>
      </c>
      <c r="I955">
        <v>245</v>
      </c>
      <c r="J955" t="s">
        <v>21</v>
      </c>
      <c r="K955">
        <v>23.3</v>
      </c>
      <c r="L955">
        <v>59.8</v>
      </c>
      <c r="M955" t="s">
        <v>28</v>
      </c>
      <c r="N955">
        <v>28</v>
      </c>
      <c r="O955">
        <v>142</v>
      </c>
      <c r="P955">
        <v>5</v>
      </c>
      <c r="Q955" t="s">
        <v>19</v>
      </c>
      <c r="R955">
        <v>80.7</v>
      </c>
      <c r="S955">
        <v>160</v>
      </c>
      <c r="T955">
        <v>0</v>
      </c>
      <c r="U955" t="str" cm="1">
        <f t="array" ref="U955">_xlfn.IFS(smart_dataset[[#This Row],[Waiting_Time]]&lt;=20,"Low",smart_dataset[[#This Row],[Waiting_Time]]&lt;=40,"Medium",TRUE,"High")</f>
        <v>Medium</v>
      </c>
      <c r="V955" t="str" cm="1">
        <f t="array" ref="V955">_xlfn.IFS(smart_dataset[[#This Row],[Temperature]]&lt;=20,"Cold",smart_dataset[[#This Row],[Temperature]]&lt;=28,"Normal",TRUE,"Hot")</f>
        <v>Normal</v>
      </c>
      <c r="W955" t="str" cm="1">
        <f t="array" ref="W955">_xlfn.IFS(smart_dataset[[#This Row],[Asset_Utilization]]&lt;=75,"Low",smart_dataset[[#This Row],[Asset_Utilization]]&lt;=90,"Medium",TRUE,"High")</f>
        <v>Medium</v>
      </c>
    </row>
    <row r="956" spans="1:23" x14ac:dyDescent="0.25">
      <c r="A956" s="1">
        <v>45387.576516203706</v>
      </c>
      <c r="B956" s="1">
        <f>INT(smart_dataset[[#This Row],[Timestamp]])</f>
        <v>45387</v>
      </c>
      <c r="C956" s="7">
        <f>MOD(smart_dataset[[#This Row],[Timestamp]],1)</f>
        <v>0.57651620370597811</v>
      </c>
      <c r="D956">
        <f>YEAR(smart_dataset[[#This Row],[Date]])</f>
        <v>2024</v>
      </c>
      <c r="E956">
        <f>MONTH(smart_dataset[[#This Row],[Timestamp]])</f>
        <v>4</v>
      </c>
      <c r="F956" t="s">
        <v>16</v>
      </c>
      <c r="G956">
        <v>-9.6290999999999993</v>
      </c>
      <c r="H956">
        <v>39.650599999999997</v>
      </c>
      <c r="I956">
        <v>495</v>
      </c>
      <c r="J956" t="s">
        <v>26</v>
      </c>
      <c r="K956">
        <v>25.1</v>
      </c>
      <c r="L956">
        <v>75.5</v>
      </c>
      <c r="M956" t="s">
        <v>18</v>
      </c>
      <c r="N956">
        <v>39</v>
      </c>
      <c r="O956">
        <v>234</v>
      </c>
      <c r="P956">
        <v>1</v>
      </c>
      <c r="Q956" t="s">
        <v>19</v>
      </c>
      <c r="R956">
        <v>74.8</v>
      </c>
      <c r="S956">
        <v>203</v>
      </c>
      <c r="T956">
        <v>0</v>
      </c>
      <c r="U956" t="str" cm="1">
        <f t="array" ref="U956">_xlfn.IFS(smart_dataset[[#This Row],[Waiting_Time]]&lt;=20,"Low",smart_dataset[[#This Row],[Waiting_Time]]&lt;=40,"Medium",TRUE,"High")</f>
        <v>Medium</v>
      </c>
      <c r="V956" t="str" cm="1">
        <f t="array" ref="V956">_xlfn.IFS(smart_dataset[[#This Row],[Temperature]]&lt;=20,"Cold",smart_dataset[[#This Row],[Temperature]]&lt;=28,"Normal",TRUE,"Hot")</f>
        <v>Normal</v>
      </c>
      <c r="W956" t="str" cm="1">
        <f t="array" ref="W956">_xlfn.IFS(smart_dataset[[#This Row],[Asset_Utilization]]&lt;=75,"Low",smart_dataset[[#This Row],[Asset_Utilization]]&lt;=90,"Medium",TRUE,"High")</f>
        <v>Low</v>
      </c>
    </row>
    <row r="957" spans="1:23" hidden="1" x14ac:dyDescent="0.25">
      <c r="A957" s="1">
        <v>45528.066921296297</v>
      </c>
      <c r="B957" s="1">
        <f>INT(smart_dataset[[#This Row],[Timestamp]])</f>
        <v>45528</v>
      </c>
      <c r="C957" s="1">
        <f>MOD(smart_dataset[[#This Row],[Timestamp]],1)</f>
        <v>6.6921296296641231E-2</v>
      </c>
      <c r="D957" s="1">
        <f>YEAR(smart_dataset[[#This Row],[Date]])</f>
        <v>2024</v>
      </c>
      <c r="E957" s="1">
        <f>MONTH(smart_dataset[[#This Row],[Timestamp]])</f>
        <v>8</v>
      </c>
      <c r="F957" t="s">
        <v>32</v>
      </c>
      <c r="G957">
        <v>-69.563900000000004</v>
      </c>
      <c r="H957">
        <v>-74.647300000000001</v>
      </c>
      <c r="I957">
        <v>236</v>
      </c>
      <c r="J957" t="s">
        <v>17</v>
      </c>
      <c r="K957">
        <v>18.2</v>
      </c>
      <c r="L957">
        <v>50.5</v>
      </c>
      <c r="M957" t="s">
        <v>28</v>
      </c>
      <c r="N957">
        <v>20</v>
      </c>
      <c r="O957">
        <v>260</v>
      </c>
      <c r="P957">
        <v>2</v>
      </c>
      <c r="Q957" t="s">
        <v>23</v>
      </c>
      <c r="R957">
        <v>61.1</v>
      </c>
      <c r="S957">
        <v>278</v>
      </c>
      <c r="T957">
        <v>1</v>
      </c>
      <c r="U957" t="str" cm="1">
        <f t="array" ref="U957">_xlfn.IFS(smart_dataset[[#This Row],[Waiting_Time]]&lt;=20,"Low",smart_dataset[[#This Row],[Waiting_Time]]&lt;=40,"Medium",TRUE,"High")</f>
        <v>Low</v>
      </c>
      <c r="V957" t="str" cm="1">
        <f t="array" ref="V957">_xlfn.IFS(smart_dataset[[#This Row],[Temperature]]&lt;=20,"Cold",smart_dataset[[#This Row],[Temperature]]&lt;=28,"Normal",TRUE,"Hot")</f>
        <v>Cold</v>
      </c>
      <c r="W957" t="str" cm="1">
        <f t="array" ref="W957">_xlfn.IFS(smart_dataset[[#This Row],[Asset_Utilization]]&lt;=75,"Low",smart_dataset[[#This Row],[Asset_Utilization]]&lt;=90,"Medium",TRUE,"High")</f>
        <v>Low</v>
      </c>
    </row>
    <row r="958" spans="1:23" x14ac:dyDescent="0.25">
      <c r="A958" s="1">
        <v>45603.169120370374</v>
      </c>
      <c r="B958" s="1">
        <f>INT(smart_dataset[[#This Row],[Timestamp]])</f>
        <v>45603</v>
      </c>
      <c r="C958" s="7">
        <f>MOD(smart_dataset[[#This Row],[Timestamp]],1)</f>
        <v>0.16912037037400296</v>
      </c>
      <c r="D958">
        <f>YEAR(smart_dataset[[#This Row],[Date]])</f>
        <v>2024</v>
      </c>
      <c r="E958">
        <f>MONTH(smart_dataset[[#This Row],[Timestamp]])</f>
        <v>11</v>
      </c>
      <c r="F958" t="s">
        <v>25</v>
      </c>
      <c r="G958">
        <v>49.042999999999999</v>
      </c>
      <c r="H958">
        <v>-4.5351999999999997</v>
      </c>
      <c r="I958">
        <v>259</v>
      </c>
      <c r="J958" t="s">
        <v>26</v>
      </c>
      <c r="K958">
        <v>21.3</v>
      </c>
      <c r="L958">
        <v>79.3</v>
      </c>
      <c r="M958" t="s">
        <v>18</v>
      </c>
      <c r="N958">
        <v>49</v>
      </c>
      <c r="O958">
        <v>276</v>
      </c>
      <c r="P958">
        <v>2</v>
      </c>
      <c r="Q958" t="s">
        <v>19</v>
      </c>
      <c r="R958">
        <v>99.1</v>
      </c>
      <c r="S958">
        <v>259</v>
      </c>
      <c r="T958">
        <v>0</v>
      </c>
      <c r="U958" t="str" cm="1">
        <f t="array" ref="U958">_xlfn.IFS(smart_dataset[[#This Row],[Waiting_Time]]&lt;=20,"Low",smart_dataset[[#This Row],[Waiting_Time]]&lt;=40,"Medium",TRUE,"High")</f>
        <v>High</v>
      </c>
      <c r="V958" t="str" cm="1">
        <f t="array" ref="V958">_xlfn.IFS(smart_dataset[[#This Row],[Temperature]]&lt;=20,"Cold",smart_dataset[[#This Row],[Temperature]]&lt;=28,"Normal",TRUE,"Hot")</f>
        <v>Normal</v>
      </c>
      <c r="W958" t="str" cm="1">
        <f t="array" ref="W958">_xlfn.IFS(smart_dataset[[#This Row],[Asset_Utilization]]&lt;=75,"Low",smart_dataset[[#This Row],[Asset_Utilization]]&lt;=90,"Medium",TRUE,"High")</f>
        <v>High</v>
      </c>
    </row>
    <row r="959" spans="1:23" hidden="1" x14ac:dyDescent="0.25">
      <c r="A959" s="1">
        <v>45555.697511574072</v>
      </c>
      <c r="B959" s="1">
        <f>INT(smart_dataset[[#This Row],[Timestamp]])</f>
        <v>45555</v>
      </c>
      <c r="C959" s="1">
        <f>MOD(smart_dataset[[#This Row],[Timestamp]],1)</f>
        <v>0.69751157407154096</v>
      </c>
      <c r="D959" s="1">
        <f>YEAR(smart_dataset[[#This Row],[Date]])</f>
        <v>2024</v>
      </c>
      <c r="E959" s="1">
        <f>MONTH(smart_dataset[[#This Row],[Timestamp]])</f>
        <v>9</v>
      </c>
      <c r="F959" t="s">
        <v>16</v>
      </c>
      <c r="G959">
        <v>69.760800000000003</v>
      </c>
      <c r="H959">
        <v>-77.018799999999999</v>
      </c>
      <c r="I959">
        <v>227</v>
      </c>
      <c r="J959" t="s">
        <v>26</v>
      </c>
      <c r="K959">
        <v>27.6</v>
      </c>
      <c r="L959">
        <v>68.099999999999994</v>
      </c>
      <c r="M959" t="s">
        <v>18</v>
      </c>
      <c r="N959">
        <v>60</v>
      </c>
      <c r="O959">
        <v>399</v>
      </c>
      <c r="P959">
        <v>1</v>
      </c>
      <c r="Q959" t="s">
        <v>27</v>
      </c>
      <c r="R959">
        <v>64.099999999999994</v>
      </c>
      <c r="S959">
        <v>126</v>
      </c>
      <c r="T959">
        <v>0</v>
      </c>
      <c r="U959" t="str" cm="1">
        <f t="array" ref="U959">_xlfn.IFS(smart_dataset[[#This Row],[Waiting_Time]]&lt;=20,"Low",smart_dataset[[#This Row],[Waiting_Time]]&lt;=40,"Medium",TRUE,"High")</f>
        <v>High</v>
      </c>
      <c r="V959" t="str" cm="1">
        <f t="array" ref="V959">_xlfn.IFS(smart_dataset[[#This Row],[Temperature]]&lt;=20,"Cold",smart_dataset[[#This Row],[Temperature]]&lt;=28,"Normal",TRUE,"Hot")</f>
        <v>Normal</v>
      </c>
      <c r="W959" t="str" cm="1">
        <f t="array" ref="W959">_xlfn.IFS(smart_dataset[[#This Row],[Asset_Utilization]]&lt;=75,"Low",smart_dataset[[#This Row],[Asset_Utilization]]&lt;=90,"Medium",TRUE,"High")</f>
        <v>Low</v>
      </c>
    </row>
    <row r="960" spans="1:23" x14ac:dyDescent="0.25">
      <c r="A960" s="1">
        <v>45602.915625000001</v>
      </c>
      <c r="B960" s="1">
        <f>INT(smart_dataset[[#This Row],[Timestamp]])</f>
        <v>45602</v>
      </c>
      <c r="C960" s="7">
        <f>MOD(smart_dataset[[#This Row],[Timestamp]],1)</f>
        <v>0.91562500000145519</v>
      </c>
      <c r="D960">
        <f>YEAR(smart_dataset[[#This Row],[Date]])</f>
        <v>2024</v>
      </c>
      <c r="E960">
        <f>MONTH(smart_dataset[[#This Row],[Timestamp]])</f>
        <v>11</v>
      </c>
      <c r="F960" t="s">
        <v>16</v>
      </c>
      <c r="G960">
        <v>27.403400000000001</v>
      </c>
      <c r="H960">
        <v>-35.8705</v>
      </c>
      <c r="I960">
        <v>204</v>
      </c>
      <c r="J960" t="s">
        <v>21</v>
      </c>
      <c r="K960">
        <v>20.5</v>
      </c>
      <c r="L960">
        <v>60.2</v>
      </c>
      <c r="M960" t="s">
        <v>28</v>
      </c>
      <c r="N960">
        <v>26</v>
      </c>
      <c r="O960">
        <v>460</v>
      </c>
      <c r="P960">
        <v>5</v>
      </c>
      <c r="Q960" t="s">
        <v>19</v>
      </c>
      <c r="R960">
        <v>66.900000000000006</v>
      </c>
      <c r="S960">
        <v>231</v>
      </c>
      <c r="T960">
        <v>0</v>
      </c>
      <c r="U960" t="str" cm="1">
        <f t="array" ref="U960">_xlfn.IFS(smart_dataset[[#This Row],[Waiting_Time]]&lt;=20,"Low",smart_dataset[[#This Row],[Waiting_Time]]&lt;=40,"Medium",TRUE,"High")</f>
        <v>Medium</v>
      </c>
      <c r="V960" t="str" cm="1">
        <f t="array" ref="V960">_xlfn.IFS(smart_dataset[[#This Row],[Temperature]]&lt;=20,"Cold",smart_dataset[[#This Row],[Temperature]]&lt;=28,"Normal",TRUE,"Hot")</f>
        <v>Normal</v>
      </c>
      <c r="W960" t="str" cm="1">
        <f t="array" ref="W960">_xlfn.IFS(smart_dataset[[#This Row],[Asset_Utilization]]&lt;=75,"Low",smart_dataset[[#This Row],[Asset_Utilization]]&lt;=90,"Medium",TRUE,"High")</f>
        <v>Low</v>
      </c>
    </row>
    <row r="961" spans="1:23" hidden="1" x14ac:dyDescent="0.25">
      <c r="A961" s="1">
        <v>45381.504062499997</v>
      </c>
      <c r="B961" s="1">
        <f>INT(smart_dataset[[#This Row],[Timestamp]])</f>
        <v>45381</v>
      </c>
      <c r="C961" s="1">
        <f>MOD(smart_dataset[[#This Row],[Timestamp]],1)</f>
        <v>0.50406249999650754</v>
      </c>
      <c r="D961" s="1">
        <f>YEAR(smart_dataset[[#This Row],[Date]])</f>
        <v>2024</v>
      </c>
      <c r="E961" s="1">
        <f>MONTH(smart_dataset[[#This Row],[Timestamp]])</f>
        <v>3</v>
      </c>
      <c r="F961" t="s">
        <v>24</v>
      </c>
      <c r="G961">
        <v>-31.4314</v>
      </c>
      <c r="H961">
        <v>-110.7069</v>
      </c>
      <c r="I961">
        <v>384</v>
      </c>
      <c r="J961" t="s">
        <v>17</v>
      </c>
      <c r="K961">
        <v>18.5</v>
      </c>
      <c r="L961">
        <v>79</v>
      </c>
      <c r="M961" t="s">
        <v>18</v>
      </c>
      <c r="N961">
        <v>21</v>
      </c>
      <c r="O961">
        <v>185</v>
      </c>
      <c r="P961">
        <v>8</v>
      </c>
      <c r="Q961" t="s">
        <v>23</v>
      </c>
      <c r="R961">
        <v>68.099999999999994</v>
      </c>
      <c r="S961">
        <v>143</v>
      </c>
      <c r="T961">
        <v>1</v>
      </c>
      <c r="U961" t="str" cm="1">
        <f t="array" ref="U961">_xlfn.IFS(smart_dataset[[#This Row],[Waiting_Time]]&lt;=20,"Low",smart_dataset[[#This Row],[Waiting_Time]]&lt;=40,"Medium",TRUE,"High")</f>
        <v>Medium</v>
      </c>
      <c r="V961" t="str" cm="1">
        <f t="array" ref="V961">_xlfn.IFS(smart_dataset[[#This Row],[Temperature]]&lt;=20,"Cold",smart_dataset[[#This Row],[Temperature]]&lt;=28,"Normal",TRUE,"Hot")</f>
        <v>Cold</v>
      </c>
      <c r="W961" t="str" cm="1">
        <f t="array" ref="W961">_xlfn.IFS(smart_dataset[[#This Row],[Asset_Utilization]]&lt;=75,"Low",smart_dataset[[#This Row],[Asset_Utilization]]&lt;=90,"Medium",TRUE,"High")</f>
        <v>Low</v>
      </c>
    </row>
    <row r="962" spans="1:23" hidden="1" x14ac:dyDescent="0.25">
      <c r="A962" s="1">
        <v>45436.001574074071</v>
      </c>
      <c r="B962" s="1">
        <f>INT(smart_dataset[[#This Row],[Timestamp]])</f>
        <v>45436</v>
      </c>
      <c r="C962" s="1">
        <f>MOD(smart_dataset[[#This Row],[Timestamp]],1)</f>
        <v>1.5740740709588863E-3</v>
      </c>
      <c r="D962" s="1">
        <f>YEAR(smart_dataset[[#This Row],[Date]])</f>
        <v>2024</v>
      </c>
      <c r="E962" s="1">
        <f>MONTH(smart_dataset[[#This Row],[Timestamp]])</f>
        <v>5</v>
      </c>
      <c r="F962" t="s">
        <v>20</v>
      </c>
      <c r="G962">
        <v>63.555399999999999</v>
      </c>
      <c r="H962">
        <v>151.4083</v>
      </c>
      <c r="I962">
        <v>187</v>
      </c>
      <c r="J962" t="s">
        <v>17</v>
      </c>
      <c r="K962">
        <v>18.899999999999999</v>
      </c>
      <c r="L962">
        <v>60.3</v>
      </c>
      <c r="M962" t="s">
        <v>28</v>
      </c>
      <c r="N962">
        <v>34</v>
      </c>
      <c r="O962">
        <v>223</v>
      </c>
      <c r="P962">
        <v>1</v>
      </c>
      <c r="Q962" t="s">
        <v>23</v>
      </c>
      <c r="R962">
        <v>85.3</v>
      </c>
      <c r="S962">
        <v>197</v>
      </c>
      <c r="T962">
        <v>1</v>
      </c>
      <c r="U962" t="str" cm="1">
        <f t="array" ref="U962">_xlfn.IFS(smart_dataset[[#This Row],[Waiting_Time]]&lt;=20,"Low",smart_dataset[[#This Row],[Waiting_Time]]&lt;=40,"Medium",TRUE,"High")</f>
        <v>Medium</v>
      </c>
      <c r="V962" t="str" cm="1">
        <f t="array" ref="V962">_xlfn.IFS(smart_dataset[[#This Row],[Temperature]]&lt;=20,"Cold",smart_dataset[[#This Row],[Temperature]]&lt;=28,"Normal",TRUE,"Hot")</f>
        <v>Cold</v>
      </c>
      <c r="W962" t="str" cm="1">
        <f t="array" ref="W962">_xlfn.IFS(smart_dataset[[#This Row],[Asset_Utilization]]&lt;=75,"Low",smart_dataset[[#This Row],[Asset_Utilization]]&lt;=90,"Medium",TRUE,"High")</f>
        <v>Medium</v>
      </c>
    </row>
    <row r="963" spans="1:23" x14ac:dyDescent="0.25">
      <c r="A963" s="1">
        <v>45317.353379629632</v>
      </c>
      <c r="B963" s="1">
        <f>INT(smart_dataset[[#This Row],[Timestamp]])</f>
        <v>45317</v>
      </c>
      <c r="C963" s="7">
        <f>MOD(smart_dataset[[#This Row],[Timestamp]],1)</f>
        <v>0.35337962963239988</v>
      </c>
      <c r="D963">
        <f>YEAR(smart_dataset[[#This Row],[Date]])</f>
        <v>2024</v>
      </c>
      <c r="E963">
        <f>MONTH(smart_dataset[[#This Row],[Timestamp]])</f>
        <v>1</v>
      </c>
      <c r="F963" t="s">
        <v>33</v>
      </c>
      <c r="G963">
        <v>86.666300000000007</v>
      </c>
      <c r="H963">
        <v>-8.1036000000000001</v>
      </c>
      <c r="I963">
        <v>302</v>
      </c>
      <c r="J963" t="s">
        <v>26</v>
      </c>
      <c r="K963">
        <v>19.5</v>
      </c>
      <c r="L963">
        <v>64.5</v>
      </c>
      <c r="M963" t="s">
        <v>18</v>
      </c>
      <c r="N963">
        <v>38</v>
      </c>
      <c r="O963">
        <v>149</v>
      </c>
      <c r="P963">
        <v>10</v>
      </c>
      <c r="Q963" t="s">
        <v>19</v>
      </c>
      <c r="R963">
        <v>69</v>
      </c>
      <c r="S963">
        <v>213</v>
      </c>
      <c r="T963">
        <v>0</v>
      </c>
      <c r="U963" t="str" cm="1">
        <f t="array" ref="U963">_xlfn.IFS(smart_dataset[[#This Row],[Waiting_Time]]&lt;=20,"Low",smart_dataset[[#This Row],[Waiting_Time]]&lt;=40,"Medium",TRUE,"High")</f>
        <v>Medium</v>
      </c>
      <c r="V963" t="str" cm="1">
        <f t="array" ref="V963">_xlfn.IFS(smart_dataset[[#This Row],[Temperature]]&lt;=20,"Cold",smart_dataset[[#This Row],[Temperature]]&lt;=28,"Normal",TRUE,"Hot")</f>
        <v>Cold</v>
      </c>
      <c r="W963" t="str" cm="1">
        <f t="array" ref="W963">_xlfn.IFS(smart_dataset[[#This Row],[Asset_Utilization]]&lt;=75,"Low",smart_dataset[[#This Row],[Asset_Utilization]]&lt;=90,"Medium",TRUE,"High")</f>
        <v>Low</v>
      </c>
    </row>
    <row r="964" spans="1:23" hidden="1" x14ac:dyDescent="0.25">
      <c r="A964" s="1">
        <v>45430.607523148145</v>
      </c>
      <c r="B964" s="1">
        <f>INT(smart_dataset[[#This Row],[Timestamp]])</f>
        <v>45430</v>
      </c>
      <c r="C964" s="1">
        <f>MOD(smart_dataset[[#This Row],[Timestamp]],1)</f>
        <v>0.60752314814453712</v>
      </c>
      <c r="D964" s="1">
        <f>YEAR(smart_dataset[[#This Row],[Date]])</f>
        <v>2024</v>
      </c>
      <c r="E964" s="1">
        <f>MONTH(smart_dataset[[#This Row],[Timestamp]])</f>
        <v>5</v>
      </c>
      <c r="F964" t="s">
        <v>33</v>
      </c>
      <c r="G964">
        <v>62.954900000000002</v>
      </c>
      <c r="H964">
        <v>134.6387</v>
      </c>
      <c r="I964">
        <v>177</v>
      </c>
      <c r="J964" t="s">
        <v>21</v>
      </c>
      <c r="K964">
        <v>24.7</v>
      </c>
      <c r="L964">
        <v>70.599999999999994</v>
      </c>
      <c r="M964" t="s">
        <v>22</v>
      </c>
      <c r="N964">
        <v>58</v>
      </c>
      <c r="O964">
        <v>301</v>
      </c>
      <c r="P964">
        <v>1</v>
      </c>
      <c r="Q964" t="s">
        <v>31</v>
      </c>
      <c r="R964">
        <v>82.7</v>
      </c>
      <c r="S964">
        <v>254</v>
      </c>
      <c r="T964">
        <v>1</v>
      </c>
      <c r="U964" t="str" cm="1">
        <f t="array" ref="U964">_xlfn.IFS(smart_dataset[[#This Row],[Waiting_Time]]&lt;=20,"Low",smart_dataset[[#This Row],[Waiting_Time]]&lt;=40,"Medium",TRUE,"High")</f>
        <v>High</v>
      </c>
      <c r="V964" t="str" cm="1">
        <f t="array" ref="V964">_xlfn.IFS(smart_dataset[[#This Row],[Temperature]]&lt;=20,"Cold",smart_dataset[[#This Row],[Temperature]]&lt;=28,"Normal",TRUE,"Hot")</f>
        <v>Normal</v>
      </c>
      <c r="W964" t="str" cm="1">
        <f t="array" ref="W964">_xlfn.IFS(smart_dataset[[#This Row],[Asset_Utilization]]&lt;=75,"Low",smart_dataset[[#This Row],[Asset_Utilization]]&lt;=90,"Medium",TRUE,"High")</f>
        <v>Medium</v>
      </c>
    </row>
    <row r="965" spans="1:23" hidden="1" x14ac:dyDescent="0.25">
      <c r="A965" s="1">
        <v>45431.465428240743</v>
      </c>
      <c r="B965" s="1">
        <f>INT(smart_dataset[[#This Row],[Timestamp]])</f>
        <v>45431</v>
      </c>
      <c r="C965" s="1">
        <f>MOD(smart_dataset[[#This Row],[Timestamp]],1)</f>
        <v>0.46542824074276723</v>
      </c>
      <c r="D965" s="1">
        <f>YEAR(smart_dataset[[#This Row],[Date]])</f>
        <v>2024</v>
      </c>
      <c r="E965" s="1">
        <f>MONTH(smart_dataset[[#This Row],[Timestamp]])</f>
        <v>5</v>
      </c>
      <c r="F965" t="s">
        <v>30</v>
      </c>
      <c r="G965">
        <v>57.555</v>
      </c>
      <c r="H965">
        <v>179.23490000000001</v>
      </c>
      <c r="I965">
        <v>448</v>
      </c>
      <c r="J965" t="s">
        <v>21</v>
      </c>
      <c r="K965">
        <v>21.5</v>
      </c>
      <c r="L965">
        <v>55.7</v>
      </c>
      <c r="M965" t="s">
        <v>22</v>
      </c>
      <c r="N965">
        <v>55</v>
      </c>
      <c r="O965">
        <v>500</v>
      </c>
      <c r="P965">
        <v>2</v>
      </c>
      <c r="Q965" t="s">
        <v>31</v>
      </c>
      <c r="R965">
        <v>86.7</v>
      </c>
      <c r="S965">
        <v>173</v>
      </c>
      <c r="T965">
        <v>1</v>
      </c>
      <c r="U965" t="str" cm="1">
        <f t="array" ref="U965">_xlfn.IFS(smart_dataset[[#This Row],[Waiting_Time]]&lt;=20,"Low",smart_dataset[[#This Row],[Waiting_Time]]&lt;=40,"Medium",TRUE,"High")</f>
        <v>High</v>
      </c>
      <c r="V965" t="str" cm="1">
        <f t="array" ref="V965">_xlfn.IFS(smart_dataset[[#This Row],[Temperature]]&lt;=20,"Cold",smart_dataset[[#This Row],[Temperature]]&lt;=28,"Normal",TRUE,"Hot")</f>
        <v>Normal</v>
      </c>
      <c r="W965" t="str" cm="1">
        <f t="array" ref="W965">_xlfn.IFS(smart_dataset[[#This Row],[Asset_Utilization]]&lt;=75,"Low",smart_dataset[[#This Row],[Asset_Utilization]]&lt;=90,"Medium",TRUE,"High")</f>
        <v>Medium</v>
      </c>
    </row>
    <row r="966" spans="1:23" x14ac:dyDescent="0.25">
      <c r="A966" s="1">
        <v>45584.672118055554</v>
      </c>
      <c r="B966" s="1">
        <f>INT(smart_dataset[[#This Row],[Timestamp]])</f>
        <v>45584</v>
      </c>
      <c r="C966" s="7">
        <f>MOD(smart_dataset[[#This Row],[Timestamp]],1)</f>
        <v>0.67211805555416504</v>
      </c>
      <c r="D966">
        <f>YEAR(smart_dataset[[#This Row],[Date]])</f>
        <v>2024</v>
      </c>
      <c r="E966">
        <f>MONTH(smart_dataset[[#This Row],[Timestamp]])</f>
        <v>10</v>
      </c>
      <c r="F966" t="s">
        <v>34</v>
      </c>
      <c r="G966">
        <v>-8.3428000000000004</v>
      </c>
      <c r="H966">
        <v>-26.270199999999999</v>
      </c>
      <c r="I966">
        <v>197</v>
      </c>
      <c r="J966" t="s">
        <v>21</v>
      </c>
      <c r="K966">
        <v>22.9</v>
      </c>
      <c r="L966">
        <v>71.900000000000006</v>
      </c>
      <c r="M966" t="s">
        <v>28</v>
      </c>
      <c r="N966">
        <v>18</v>
      </c>
      <c r="O966">
        <v>387</v>
      </c>
      <c r="P966">
        <v>9</v>
      </c>
      <c r="Q966" t="s">
        <v>19</v>
      </c>
      <c r="R966">
        <v>71</v>
      </c>
      <c r="S966">
        <v>140</v>
      </c>
      <c r="T966">
        <v>0</v>
      </c>
      <c r="U966" t="str" cm="1">
        <f t="array" ref="U966">_xlfn.IFS(smart_dataset[[#This Row],[Waiting_Time]]&lt;=20,"Low",smart_dataset[[#This Row],[Waiting_Time]]&lt;=40,"Medium",TRUE,"High")</f>
        <v>Low</v>
      </c>
      <c r="V966" t="str" cm="1">
        <f t="array" ref="V966">_xlfn.IFS(smart_dataset[[#This Row],[Temperature]]&lt;=20,"Cold",smart_dataset[[#This Row],[Temperature]]&lt;=28,"Normal",TRUE,"Hot")</f>
        <v>Normal</v>
      </c>
      <c r="W966" t="str" cm="1">
        <f t="array" ref="W966">_xlfn.IFS(smart_dataset[[#This Row],[Asset_Utilization]]&lt;=75,"Low",smart_dataset[[#This Row],[Asset_Utilization]]&lt;=90,"Medium",TRUE,"High")</f>
        <v>Low</v>
      </c>
    </row>
    <row r="967" spans="1:23" hidden="1" x14ac:dyDescent="0.25">
      <c r="A967" s="1">
        <v>45394.812395833331</v>
      </c>
      <c r="B967" s="1">
        <f>INT(smart_dataset[[#This Row],[Timestamp]])</f>
        <v>45394</v>
      </c>
      <c r="C967" s="1">
        <f>MOD(smart_dataset[[#This Row],[Timestamp]],1)</f>
        <v>0.812395833330811</v>
      </c>
      <c r="D967" s="1">
        <f>YEAR(smart_dataset[[#This Row],[Date]])</f>
        <v>2024</v>
      </c>
      <c r="E967" s="1">
        <f>MONTH(smart_dataset[[#This Row],[Timestamp]])</f>
        <v>4</v>
      </c>
      <c r="F967" t="s">
        <v>24</v>
      </c>
      <c r="G967">
        <v>-51.602499999999999</v>
      </c>
      <c r="H967">
        <v>114.3963</v>
      </c>
      <c r="I967">
        <v>428</v>
      </c>
      <c r="J967" t="s">
        <v>21</v>
      </c>
      <c r="K967">
        <v>28.6</v>
      </c>
      <c r="L967">
        <v>77.7</v>
      </c>
      <c r="M967" t="s">
        <v>22</v>
      </c>
      <c r="N967">
        <v>14</v>
      </c>
      <c r="O967">
        <v>175</v>
      </c>
      <c r="P967">
        <v>9</v>
      </c>
      <c r="Q967" t="s">
        <v>27</v>
      </c>
      <c r="R967">
        <v>96.2</v>
      </c>
      <c r="S967">
        <v>115</v>
      </c>
      <c r="T967">
        <v>1</v>
      </c>
      <c r="U967" t="str" cm="1">
        <f t="array" ref="U967">_xlfn.IFS(smart_dataset[[#This Row],[Waiting_Time]]&lt;=20,"Low",smart_dataset[[#This Row],[Waiting_Time]]&lt;=40,"Medium",TRUE,"High")</f>
        <v>Low</v>
      </c>
      <c r="V967" t="str" cm="1">
        <f t="array" ref="V967">_xlfn.IFS(smart_dataset[[#This Row],[Temperature]]&lt;=20,"Cold",smart_dataset[[#This Row],[Temperature]]&lt;=28,"Normal",TRUE,"Hot")</f>
        <v>Hot</v>
      </c>
      <c r="W967" t="str" cm="1">
        <f t="array" ref="W967">_xlfn.IFS(smart_dataset[[#This Row],[Asset_Utilization]]&lt;=75,"Low",smart_dataset[[#This Row],[Asset_Utilization]]&lt;=90,"Medium",TRUE,"High")</f>
        <v>High</v>
      </c>
    </row>
    <row r="968" spans="1:23" hidden="1" x14ac:dyDescent="0.25">
      <c r="A968" s="1">
        <v>45351.980532407404</v>
      </c>
      <c r="B968" s="1">
        <f>INT(smart_dataset[[#This Row],[Timestamp]])</f>
        <v>45351</v>
      </c>
      <c r="C968" s="1">
        <f>MOD(smart_dataset[[#This Row],[Timestamp]],1)</f>
        <v>0.98053240740409819</v>
      </c>
      <c r="D968" s="1">
        <f>YEAR(smart_dataset[[#This Row],[Date]])</f>
        <v>2024</v>
      </c>
      <c r="E968" s="1">
        <f>MONTH(smart_dataset[[#This Row],[Timestamp]])</f>
        <v>2</v>
      </c>
      <c r="F968" t="s">
        <v>32</v>
      </c>
      <c r="G968">
        <v>-30.946000000000002</v>
      </c>
      <c r="H968">
        <v>-65.535200000000003</v>
      </c>
      <c r="I968">
        <v>435</v>
      </c>
      <c r="J968" t="s">
        <v>17</v>
      </c>
      <c r="K968">
        <v>24.7</v>
      </c>
      <c r="L968">
        <v>75.3</v>
      </c>
      <c r="M968" t="s">
        <v>22</v>
      </c>
      <c r="N968">
        <v>41</v>
      </c>
      <c r="O968">
        <v>245</v>
      </c>
      <c r="P968">
        <v>2</v>
      </c>
      <c r="Q968" t="s">
        <v>23</v>
      </c>
      <c r="R968">
        <v>87.1</v>
      </c>
      <c r="S968">
        <v>232</v>
      </c>
      <c r="T968">
        <v>1</v>
      </c>
      <c r="U968" t="str" cm="1">
        <f t="array" ref="U968">_xlfn.IFS(smart_dataset[[#This Row],[Waiting_Time]]&lt;=20,"Low",smart_dataset[[#This Row],[Waiting_Time]]&lt;=40,"Medium",TRUE,"High")</f>
        <v>High</v>
      </c>
      <c r="V968" t="str" cm="1">
        <f t="array" ref="V968">_xlfn.IFS(smart_dataset[[#This Row],[Temperature]]&lt;=20,"Cold",smart_dataset[[#This Row],[Temperature]]&lt;=28,"Normal",TRUE,"Hot")</f>
        <v>Normal</v>
      </c>
      <c r="W968" t="str" cm="1">
        <f t="array" ref="W968">_xlfn.IFS(smart_dataset[[#This Row],[Asset_Utilization]]&lt;=75,"Low",smart_dataset[[#This Row],[Asset_Utilization]]&lt;=90,"Medium",TRUE,"High")</f>
        <v>Medium</v>
      </c>
    </row>
    <row r="969" spans="1:23" hidden="1" x14ac:dyDescent="0.25">
      <c r="A969" s="1">
        <v>45568.673101851855</v>
      </c>
      <c r="B969" s="1">
        <f>INT(smart_dataset[[#This Row],[Timestamp]])</f>
        <v>45568</v>
      </c>
      <c r="C969" s="1">
        <f>MOD(smart_dataset[[#This Row],[Timestamp]],1)</f>
        <v>0.67310185185488081</v>
      </c>
      <c r="D969" s="1">
        <f>YEAR(smart_dataset[[#This Row],[Date]])</f>
        <v>2024</v>
      </c>
      <c r="E969" s="1">
        <f>MONTH(smart_dataset[[#This Row],[Timestamp]])</f>
        <v>10</v>
      </c>
      <c r="F969" t="s">
        <v>20</v>
      </c>
      <c r="G969">
        <v>-47.350299999999997</v>
      </c>
      <c r="H969">
        <v>-100.22110000000001</v>
      </c>
      <c r="I969">
        <v>309</v>
      </c>
      <c r="J969" t="s">
        <v>21</v>
      </c>
      <c r="K969">
        <v>20.2</v>
      </c>
      <c r="L969">
        <v>65.8</v>
      </c>
      <c r="M969" t="s">
        <v>18</v>
      </c>
      <c r="N969">
        <v>26</v>
      </c>
      <c r="O969">
        <v>105</v>
      </c>
      <c r="P969">
        <v>9</v>
      </c>
      <c r="Q969" t="s">
        <v>31</v>
      </c>
      <c r="R969">
        <v>60.7</v>
      </c>
      <c r="S969">
        <v>244</v>
      </c>
      <c r="T969">
        <v>0</v>
      </c>
      <c r="U969" t="str" cm="1">
        <f t="array" ref="U969">_xlfn.IFS(smart_dataset[[#This Row],[Waiting_Time]]&lt;=20,"Low",smart_dataset[[#This Row],[Waiting_Time]]&lt;=40,"Medium",TRUE,"High")</f>
        <v>Medium</v>
      </c>
      <c r="V969" t="str" cm="1">
        <f t="array" ref="V969">_xlfn.IFS(smart_dataset[[#This Row],[Temperature]]&lt;=20,"Cold",smart_dataset[[#This Row],[Temperature]]&lt;=28,"Normal",TRUE,"Hot")</f>
        <v>Normal</v>
      </c>
      <c r="W969" t="str" cm="1">
        <f t="array" ref="W969">_xlfn.IFS(smart_dataset[[#This Row],[Asset_Utilization]]&lt;=75,"Low",smart_dataset[[#This Row],[Asset_Utilization]]&lt;=90,"Medium",TRUE,"High")</f>
        <v>Low</v>
      </c>
    </row>
    <row r="970" spans="1:23" x14ac:dyDescent="0.25">
      <c r="A970" s="1">
        <v>45485.426018518519</v>
      </c>
      <c r="B970" s="1">
        <f>INT(smart_dataset[[#This Row],[Timestamp]])</f>
        <v>45485</v>
      </c>
      <c r="C970" s="7">
        <f>MOD(smart_dataset[[#This Row],[Timestamp]],1)</f>
        <v>0.42601851851941319</v>
      </c>
      <c r="D970">
        <f>YEAR(smart_dataset[[#This Row],[Date]])</f>
        <v>2024</v>
      </c>
      <c r="E970">
        <f>MONTH(smart_dataset[[#This Row],[Timestamp]])</f>
        <v>7</v>
      </c>
      <c r="F970" t="s">
        <v>25</v>
      </c>
      <c r="G970">
        <v>29.293099999999999</v>
      </c>
      <c r="H970">
        <v>-63.655999999999999</v>
      </c>
      <c r="I970">
        <v>346</v>
      </c>
      <c r="J970" t="s">
        <v>26</v>
      </c>
      <c r="K970">
        <v>21.5</v>
      </c>
      <c r="L970">
        <v>60.1</v>
      </c>
      <c r="M970" t="s">
        <v>28</v>
      </c>
      <c r="N970">
        <v>17</v>
      </c>
      <c r="O970">
        <v>370</v>
      </c>
      <c r="P970">
        <v>9</v>
      </c>
      <c r="Q970" t="s">
        <v>19</v>
      </c>
      <c r="R970">
        <v>70.8</v>
      </c>
      <c r="S970">
        <v>259</v>
      </c>
      <c r="T970">
        <v>0</v>
      </c>
      <c r="U970" t="str" cm="1">
        <f t="array" ref="U970">_xlfn.IFS(smart_dataset[[#This Row],[Waiting_Time]]&lt;=20,"Low",smart_dataset[[#This Row],[Waiting_Time]]&lt;=40,"Medium",TRUE,"High")</f>
        <v>Low</v>
      </c>
      <c r="V970" t="str" cm="1">
        <f t="array" ref="V970">_xlfn.IFS(smart_dataset[[#This Row],[Temperature]]&lt;=20,"Cold",smart_dataset[[#This Row],[Temperature]]&lt;=28,"Normal",TRUE,"Hot")</f>
        <v>Normal</v>
      </c>
      <c r="W970" t="str" cm="1">
        <f t="array" ref="W970">_xlfn.IFS(smart_dataset[[#This Row],[Asset_Utilization]]&lt;=75,"Low",smart_dataset[[#This Row],[Asset_Utilization]]&lt;=90,"Medium",TRUE,"High")</f>
        <v>Low</v>
      </c>
    </row>
    <row r="971" spans="1:23" x14ac:dyDescent="0.25">
      <c r="A971" s="1">
        <v>45589.086562500001</v>
      </c>
      <c r="B971" s="1">
        <f>INT(smart_dataset[[#This Row],[Timestamp]])</f>
        <v>45589</v>
      </c>
      <c r="C971" s="7">
        <f>MOD(smart_dataset[[#This Row],[Timestamp]],1)</f>
        <v>8.6562500000582077E-2</v>
      </c>
      <c r="D971">
        <f>YEAR(smart_dataset[[#This Row],[Date]])</f>
        <v>2024</v>
      </c>
      <c r="E971">
        <f>MONTH(smart_dataset[[#This Row],[Timestamp]])</f>
        <v>10</v>
      </c>
      <c r="F971" t="s">
        <v>30</v>
      </c>
      <c r="G971">
        <v>-67.426199999999994</v>
      </c>
      <c r="H971">
        <v>-107.51560000000001</v>
      </c>
      <c r="I971">
        <v>428</v>
      </c>
      <c r="J971" t="s">
        <v>26</v>
      </c>
      <c r="K971">
        <v>29.1</v>
      </c>
      <c r="L971">
        <v>55.9</v>
      </c>
      <c r="M971" t="s">
        <v>28</v>
      </c>
      <c r="N971">
        <v>34</v>
      </c>
      <c r="O971">
        <v>176</v>
      </c>
      <c r="P971">
        <v>2</v>
      </c>
      <c r="Q971" t="s">
        <v>19</v>
      </c>
      <c r="R971">
        <v>89.5</v>
      </c>
      <c r="S971">
        <v>123</v>
      </c>
      <c r="T971">
        <v>0</v>
      </c>
      <c r="U971" t="str" cm="1">
        <f t="array" ref="U971">_xlfn.IFS(smart_dataset[[#This Row],[Waiting_Time]]&lt;=20,"Low",smart_dataset[[#This Row],[Waiting_Time]]&lt;=40,"Medium",TRUE,"High")</f>
        <v>Medium</v>
      </c>
      <c r="V971" t="str" cm="1">
        <f t="array" ref="V971">_xlfn.IFS(smart_dataset[[#This Row],[Temperature]]&lt;=20,"Cold",smart_dataset[[#This Row],[Temperature]]&lt;=28,"Normal",TRUE,"Hot")</f>
        <v>Hot</v>
      </c>
      <c r="W971" t="str" cm="1">
        <f t="array" ref="W971">_xlfn.IFS(smart_dataset[[#This Row],[Asset_Utilization]]&lt;=75,"Low",smart_dataset[[#This Row],[Asset_Utilization]]&lt;=90,"Medium",TRUE,"High")</f>
        <v>Medium</v>
      </c>
    </row>
    <row r="972" spans="1:23" hidden="1" x14ac:dyDescent="0.25">
      <c r="A972" s="1">
        <v>45372.497048611112</v>
      </c>
      <c r="B972" s="1">
        <f>INT(smart_dataset[[#This Row],[Timestamp]])</f>
        <v>45372</v>
      </c>
      <c r="C972" s="1">
        <f>MOD(smart_dataset[[#This Row],[Timestamp]],1)</f>
        <v>0.49704861111240461</v>
      </c>
      <c r="D972" s="1">
        <f>YEAR(smart_dataset[[#This Row],[Date]])</f>
        <v>2024</v>
      </c>
      <c r="E972" s="1">
        <f>MONTH(smart_dataset[[#This Row],[Timestamp]])</f>
        <v>3</v>
      </c>
      <c r="F972" t="s">
        <v>34</v>
      </c>
      <c r="G972">
        <v>82.811599999999999</v>
      </c>
      <c r="H972">
        <v>62.198300000000003</v>
      </c>
      <c r="I972">
        <v>106</v>
      </c>
      <c r="J972" t="s">
        <v>26</v>
      </c>
      <c r="K972">
        <v>21.6</v>
      </c>
      <c r="L972">
        <v>79.3</v>
      </c>
      <c r="M972" t="s">
        <v>28</v>
      </c>
      <c r="N972">
        <v>51</v>
      </c>
      <c r="O972">
        <v>120</v>
      </c>
      <c r="P972">
        <v>9</v>
      </c>
      <c r="Q972" t="s">
        <v>23</v>
      </c>
      <c r="R972">
        <v>96.2</v>
      </c>
      <c r="S972">
        <v>228</v>
      </c>
      <c r="T972">
        <v>0</v>
      </c>
      <c r="U972" t="str" cm="1">
        <f t="array" ref="U972">_xlfn.IFS(smart_dataset[[#This Row],[Waiting_Time]]&lt;=20,"Low",smart_dataset[[#This Row],[Waiting_Time]]&lt;=40,"Medium",TRUE,"High")</f>
        <v>High</v>
      </c>
      <c r="V972" t="str" cm="1">
        <f t="array" ref="V972">_xlfn.IFS(smart_dataset[[#This Row],[Temperature]]&lt;=20,"Cold",smart_dataset[[#This Row],[Temperature]]&lt;=28,"Normal",TRUE,"Hot")</f>
        <v>Normal</v>
      </c>
      <c r="W972" t="str" cm="1">
        <f t="array" ref="W972">_xlfn.IFS(smart_dataset[[#This Row],[Asset_Utilization]]&lt;=75,"Low",smart_dataset[[#This Row],[Asset_Utilization]]&lt;=90,"Medium",TRUE,"High")</f>
        <v>High</v>
      </c>
    </row>
    <row r="973" spans="1:23" hidden="1" x14ac:dyDescent="0.25">
      <c r="A973" s="1">
        <v>45487.833773148152</v>
      </c>
      <c r="B973" s="1">
        <f>INT(smart_dataset[[#This Row],[Timestamp]])</f>
        <v>45487</v>
      </c>
      <c r="C973" s="1">
        <f>MOD(smart_dataset[[#This Row],[Timestamp]],1)</f>
        <v>0.83377314815152204</v>
      </c>
      <c r="D973" s="1">
        <f>YEAR(smart_dataset[[#This Row],[Date]])</f>
        <v>2024</v>
      </c>
      <c r="E973" s="1">
        <f>MONTH(smart_dataset[[#This Row],[Timestamp]])</f>
        <v>7</v>
      </c>
      <c r="F973" t="s">
        <v>33</v>
      </c>
      <c r="G973">
        <v>58.6218</v>
      </c>
      <c r="H973">
        <v>133.4487</v>
      </c>
      <c r="I973">
        <v>154</v>
      </c>
      <c r="J973" t="s">
        <v>17</v>
      </c>
      <c r="K973">
        <v>25.8</v>
      </c>
      <c r="L973">
        <v>69</v>
      </c>
      <c r="M973" t="s">
        <v>28</v>
      </c>
      <c r="N973">
        <v>60</v>
      </c>
      <c r="O973">
        <v>357</v>
      </c>
      <c r="P973">
        <v>10</v>
      </c>
      <c r="Q973" t="s">
        <v>31</v>
      </c>
      <c r="R973">
        <v>87.9</v>
      </c>
      <c r="S973">
        <v>269</v>
      </c>
      <c r="T973">
        <v>1</v>
      </c>
      <c r="U973" t="str" cm="1">
        <f t="array" ref="U973">_xlfn.IFS(smart_dataset[[#This Row],[Waiting_Time]]&lt;=20,"Low",smart_dataset[[#This Row],[Waiting_Time]]&lt;=40,"Medium",TRUE,"High")</f>
        <v>High</v>
      </c>
      <c r="V973" t="str" cm="1">
        <f t="array" ref="V973">_xlfn.IFS(smart_dataset[[#This Row],[Temperature]]&lt;=20,"Cold",smart_dataset[[#This Row],[Temperature]]&lt;=28,"Normal",TRUE,"Hot")</f>
        <v>Normal</v>
      </c>
      <c r="W973" t="str" cm="1">
        <f t="array" ref="W973">_xlfn.IFS(smart_dataset[[#This Row],[Asset_Utilization]]&lt;=75,"Low",smart_dataset[[#This Row],[Asset_Utilization]]&lt;=90,"Medium",TRUE,"High")</f>
        <v>Medium</v>
      </c>
    </row>
    <row r="974" spans="1:23" x14ac:dyDescent="0.25">
      <c r="A974" s="1">
        <v>45619.802754629629</v>
      </c>
      <c r="B974" s="1">
        <f>INT(smart_dataset[[#This Row],[Timestamp]])</f>
        <v>45619</v>
      </c>
      <c r="C974" s="7">
        <f>MOD(smart_dataset[[#This Row],[Timestamp]],1)</f>
        <v>0.80275462962890742</v>
      </c>
      <c r="D974">
        <f>YEAR(smart_dataset[[#This Row],[Date]])</f>
        <v>2024</v>
      </c>
      <c r="E974">
        <f>MONTH(smart_dataset[[#This Row],[Timestamp]])</f>
        <v>11</v>
      </c>
      <c r="F974" t="s">
        <v>24</v>
      </c>
      <c r="G974">
        <v>-31.995899999999999</v>
      </c>
      <c r="H974">
        <v>164.6097</v>
      </c>
      <c r="I974">
        <v>417</v>
      </c>
      <c r="J974" t="s">
        <v>21</v>
      </c>
      <c r="K974">
        <v>23.8</v>
      </c>
      <c r="L974">
        <v>50.7</v>
      </c>
      <c r="M974" t="s">
        <v>22</v>
      </c>
      <c r="N974">
        <v>47</v>
      </c>
      <c r="O974">
        <v>278</v>
      </c>
      <c r="P974">
        <v>2</v>
      </c>
      <c r="Q974" t="s">
        <v>19</v>
      </c>
      <c r="R974">
        <v>88.7</v>
      </c>
      <c r="S974">
        <v>226</v>
      </c>
      <c r="T974">
        <v>1</v>
      </c>
      <c r="U974" t="str" cm="1">
        <f t="array" ref="U974">_xlfn.IFS(smart_dataset[[#This Row],[Waiting_Time]]&lt;=20,"Low",smart_dataset[[#This Row],[Waiting_Time]]&lt;=40,"Medium",TRUE,"High")</f>
        <v>High</v>
      </c>
      <c r="V974" t="str" cm="1">
        <f t="array" ref="V974">_xlfn.IFS(smart_dataset[[#This Row],[Temperature]]&lt;=20,"Cold",smart_dataset[[#This Row],[Temperature]]&lt;=28,"Normal",TRUE,"Hot")</f>
        <v>Normal</v>
      </c>
      <c r="W974" t="str" cm="1">
        <f t="array" ref="W974">_xlfn.IFS(smart_dataset[[#This Row],[Asset_Utilization]]&lt;=75,"Low",smart_dataset[[#This Row],[Asset_Utilization]]&lt;=90,"Medium",TRUE,"High")</f>
        <v>Medium</v>
      </c>
    </row>
    <row r="975" spans="1:23" hidden="1" x14ac:dyDescent="0.25">
      <c r="A975" s="1">
        <v>45561.440185185187</v>
      </c>
      <c r="B975" s="1">
        <f>INT(smart_dataset[[#This Row],[Timestamp]])</f>
        <v>45561</v>
      </c>
      <c r="C975" s="1">
        <f>MOD(smart_dataset[[#This Row],[Timestamp]],1)</f>
        <v>0.440185185187147</v>
      </c>
      <c r="D975" s="1">
        <f>YEAR(smart_dataset[[#This Row],[Date]])</f>
        <v>2024</v>
      </c>
      <c r="E975" s="1">
        <f>MONTH(smart_dataset[[#This Row],[Timestamp]])</f>
        <v>9</v>
      </c>
      <c r="F975" t="s">
        <v>34</v>
      </c>
      <c r="G975">
        <v>84.804100000000005</v>
      </c>
      <c r="H975">
        <v>86.153300000000002</v>
      </c>
      <c r="I975">
        <v>438</v>
      </c>
      <c r="J975" t="s">
        <v>17</v>
      </c>
      <c r="K975">
        <v>20.6</v>
      </c>
      <c r="L975">
        <v>79.3</v>
      </c>
      <c r="M975" t="s">
        <v>22</v>
      </c>
      <c r="N975">
        <v>37</v>
      </c>
      <c r="O975">
        <v>431</v>
      </c>
      <c r="P975">
        <v>5</v>
      </c>
      <c r="Q975" t="s">
        <v>31</v>
      </c>
      <c r="R975">
        <v>71.7</v>
      </c>
      <c r="S975">
        <v>246</v>
      </c>
      <c r="T975">
        <v>1</v>
      </c>
      <c r="U975" t="str" cm="1">
        <f t="array" ref="U975">_xlfn.IFS(smart_dataset[[#This Row],[Waiting_Time]]&lt;=20,"Low",smart_dataset[[#This Row],[Waiting_Time]]&lt;=40,"Medium",TRUE,"High")</f>
        <v>Medium</v>
      </c>
      <c r="V975" t="str" cm="1">
        <f t="array" ref="V975">_xlfn.IFS(smart_dataset[[#This Row],[Temperature]]&lt;=20,"Cold",smart_dataset[[#This Row],[Temperature]]&lt;=28,"Normal",TRUE,"Hot")</f>
        <v>Normal</v>
      </c>
      <c r="W975" t="str" cm="1">
        <f t="array" ref="W975">_xlfn.IFS(smart_dataset[[#This Row],[Asset_Utilization]]&lt;=75,"Low",smart_dataset[[#This Row],[Asset_Utilization]]&lt;=90,"Medium",TRUE,"High")</f>
        <v>Low</v>
      </c>
    </row>
    <row r="976" spans="1:23" hidden="1" x14ac:dyDescent="0.25">
      <c r="A976" s="1">
        <v>45513.700219907405</v>
      </c>
      <c r="B976" s="1">
        <f>INT(smart_dataset[[#This Row],[Timestamp]])</f>
        <v>45513</v>
      </c>
      <c r="C976" s="1">
        <f>MOD(smart_dataset[[#This Row],[Timestamp]],1)</f>
        <v>0.70021990740497131</v>
      </c>
      <c r="D976" s="1">
        <f>YEAR(smart_dataset[[#This Row],[Date]])</f>
        <v>2024</v>
      </c>
      <c r="E976" s="1">
        <f>MONTH(smart_dataset[[#This Row],[Timestamp]])</f>
        <v>8</v>
      </c>
      <c r="F976" t="s">
        <v>34</v>
      </c>
      <c r="G976">
        <v>-11.147</v>
      </c>
      <c r="H976">
        <v>-97.933499999999995</v>
      </c>
      <c r="I976">
        <v>106</v>
      </c>
      <c r="J976" t="s">
        <v>17</v>
      </c>
      <c r="K976">
        <v>29.6</v>
      </c>
      <c r="L976">
        <v>62</v>
      </c>
      <c r="M976" t="s">
        <v>22</v>
      </c>
      <c r="N976">
        <v>54</v>
      </c>
      <c r="O976">
        <v>410</v>
      </c>
      <c r="P976">
        <v>9</v>
      </c>
      <c r="Q976" t="s">
        <v>23</v>
      </c>
      <c r="R976">
        <v>62.3</v>
      </c>
      <c r="S976">
        <v>111</v>
      </c>
      <c r="T976">
        <v>1</v>
      </c>
      <c r="U976" t="str" cm="1">
        <f t="array" ref="U976">_xlfn.IFS(smart_dataset[[#This Row],[Waiting_Time]]&lt;=20,"Low",smart_dataset[[#This Row],[Waiting_Time]]&lt;=40,"Medium",TRUE,"High")</f>
        <v>High</v>
      </c>
      <c r="V976" t="str" cm="1">
        <f t="array" ref="V976">_xlfn.IFS(smart_dataset[[#This Row],[Temperature]]&lt;=20,"Cold",smart_dataset[[#This Row],[Temperature]]&lt;=28,"Normal",TRUE,"Hot")</f>
        <v>Hot</v>
      </c>
      <c r="W976" t="str" cm="1">
        <f t="array" ref="W976">_xlfn.IFS(smart_dataset[[#This Row],[Asset_Utilization]]&lt;=75,"Low",smart_dataset[[#This Row],[Asset_Utilization]]&lt;=90,"Medium",TRUE,"High")</f>
        <v>Low</v>
      </c>
    </row>
    <row r="977" spans="1:23" hidden="1" x14ac:dyDescent="0.25">
      <c r="A977" s="1">
        <v>45619.358067129629</v>
      </c>
      <c r="B977" s="1">
        <f>INT(smart_dataset[[#This Row],[Timestamp]])</f>
        <v>45619</v>
      </c>
      <c r="C977" s="1">
        <f>MOD(smart_dataset[[#This Row],[Timestamp]],1)</f>
        <v>0.3580671296294895</v>
      </c>
      <c r="D977" s="1">
        <f>YEAR(smart_dataset[[#This Row],[Date]])</f>
        <v>2024</v>
      </c>
      <c r="E977" s="1">
        <f>MONTH(smart_dataset[[#This Row],[Timestamp]])</f>
        <v>11</v>
      </c>
      <c r="F977" t="s">
        <v>29</v>
      </c>
      <c r="G977">
        <v>-9.8535000000000004</v>
      </c>
      <c r="H977">
        <v>-164.78399999999999</v>
      </c>
      <c r="I977">
        <v>147</v>
      </c>
      <c r="J977" t="s">
        <v>17</v>
      </c>
      <c r="K977">
        <v>27.5</v>
      </c>
      <c r="L977">
        <v>51.6</v>
      </c>
      <c r="M977" t="s">
        <v>28</v>
      </c>
      <c r="N977">
        <v>15</v>
      </c>
      <c r="O977">
        <v>496</v>
      </c>
      <c r="P977">
        <v>4</v>
      </c>
      <c r="Q977" t="s">
        <v>27</v>
      </c>
      <c r="R977">
        <v>68.400000000000006</v>
      </c>
      <c r="S977">
        <v>238</v>
      </c>
      <c r="T977">
        <v>1</v>
      </c>
      <c r="U977" t="str" cm="1">
        <f t="array" ref="U977">_xlfn.IFS(smart_dataset[[#This Row],[Waiting_Time]]&lt;=20,"Low",smart_dataset[[#This Row],[Waiting_Time]]&lt;=40,"Medium",TRUE,"High")</f>
        <v>Low</v>
      </c>
      <c r="V977" t="str" cm="1">
        <f t="array" ref="V977">_xlfn.IFS(smart_dataset[[#This Row],[Temperature]]&lt;=20,"Cold",smart_dataset[[#This Row],[Temperature]]&lt;=28,"Normal",TRUE,"Hot")</f>
        <v>Normal</v>
      </c>
      <c r="W977" t="str" cm="1">
        <f t="array" ref="W977">_xlfn.IFS(smart_dataset[[#This Row],[Asset_Utilization]]&lt;=75,"Low",smart_dataset[[#This Row],[Asset_Utilization]]&lt;=90,"Medium",TRUE,"High")</f>
        <v>Low</v>
      </c>
    </row>
    <row r="978" spans="1:23" hidden="1" x14ac:dyDescent="0.25">
      <c r="A978" s="1">
        <v>45581.950925925928</v>
      </c>
      <c r="B978" s="1">
        <f>INT(smart_dataset[[#This Row],[Timestamp]])</f>
        <v>45581</v>
      </c>
      <c r="C978" s="1">
        <f>MOD(smart_dataset[[#This Row],[Timestamp]],1)</f>
        <v>0.95092592592845904</v>
      </c>
      <c r="D978" s="1">
        <f>YEAR(smart_dataset[[#This Row],[Date]])</f>
        <v>2024</v>
      </c>
      <c r="E978" s="1">
        <f>MONTH(smart_dataset[[#This Row],[Timestamp]])</f>
        <v>10</v>
      </c>
      <c r="F978" t="s">
        <v>16</v>
      </c>
      <c r="G978">
        <v>35.673999999999999</v>
      </c>
      <c r="H978">
        <v>177.2099</v>
      </c>
      <c r="I978">
        <v>248</v>
      </c>
      <c r="J978" t="s">
        <v>26</v>
      </c>
      <c r="K978">
        <v>23</v>
      </c>
      <c r="L978">
        <v>72.3</v>
      </c>
      <c r="M978" t="s">
        <v>22</v>
      </c>
      <c r="N978">
        <v>35</v>
      </c>
      <c r="O978">
        <v>256</v>
      </c>
      <c r="P978">
        <v>3</v>
      </c>
      <c r="Q978" t="s">
        <v>27</v>
      </c>
      <c r="R978">
        <v>99.2</v>
      </c>
      <c r="S978">
        <v>296</v>
      </c>
      <c r="T978">
        <v>1</v>
      </c>
      <c r="U978" t="str" cm="1">
        <f t="array" ref="U978">_xlfn.IFS(smart_dataset[[#This Row],[Waiting_Time]]&lt;=20,"Low",smart_dataset[[#This Row],[Waiting_Time]]&lt;=40,"Medium",TRUE,"High")</f>
        <v>Medium</v>
      </c>
      <c r="V978" t="str" cm="1">
        <f t="array" ref="V978">_xlfn.IFS(smart_dataset[[#This Row],[Temperature]]&lt;=20,"Cold",smart_dataset[[#This Row],[Temperature]]&lt;=28,"Normal",TRUE,"Hot")</f>
        <v>Normal</v>
      </c>
      <c r="W978" t="str" cm="1">
        <f t="array" ref="W978">_xlfn.IFS(smart_dataset[[#This Row],[Asset_Utilization]]&lt;=75,"Low",smart_dataset[[#This Row],[Asset_Utilization]]&lt;=90,"Medium",TRUE,"High")</f>
        <v>High</v>
      </c>
    </row>
    <row r="979" spans="1:23" hidden="1" x14ac:dyDescent="0.25">
      <c r="A979" s="1">
        <v>45337.945138888892</v>
      </c>
      <c r="B979" s="1">
        <f>INT(smart_dataset[[#This Row],[Timestamp]])</f>
        <v>45337</v>
      </c>
      <c r="C979" s="1">
        <f>MOD(smart_dataset[[#This Row],[Timestamp]],1)</f>
        <v>0.94513888889196096</v>
      </c>
      <c r="D979" s="1">
        <f>YEAR(smart_dataset[[#This Row],[Date]])</f>
        <v>2024</v>
      </c>
      <c r="E979" s="1">
        <f>MONTH(smart_dataset[[#This Row],[Timestamp]])</f>
        <v>2</v>
      </c>
      <c r="F979" t="s">
        <v>16</v>
      </c>
      <c r="G979">
        <v>87.965000000000003</v>
      </c>
      <c r="H979">
        <v>-109.0684</v>
      </c>
      <c r="I979">
        <v>299</v>
      </c>
      <c r="J979" t="s">
        <v>21</v>
      </c>
      <c r="K979">
        <v>20.5</v>
      </c>
      <c r="L979">
        <v>75.2</v>
      </c>
      <c r="M979" t="s">
        <v>28</v>
      </c>
      <c r="N979">
        <v>21</v>
      </c>
      <c r="O979">
        <v>148</v>
      </c>
      <c r="P979">
        <v>6</v>
      </c>
      <c r="Q979" t="s">
        <v>31</v>
      </c>
      <c r="R979">
        <v>67.5</v>
      </c>
      <c r="S979">
        <v>150</v>
      </c>
      <c r="T979">
        <v>0</v>
      </c>
      <c r="U979" t="str" cm="1">
        <f t="array" ref="U979">_xlfn.IFS(smart_dataset[[#This Row],[Waiting_Time]]&lt;=20,"Low",smart_dataset[[#This Row],[Waiting_Time]]&lt;=40,"Medium",TRUE,"High")</f>
        <v>Medium</v>
      </c>
      <c r="V979" t="str" cm="1">
        <f t="array" ref="V979">_xlfn.IFS(smart_dataset[[#This Row],[Temperature]]&lt;=20,"Cold",smart_dataset[[#This Row],[Temperature]]&lt;=28,"Normal",TRUE,"Hot")</f>
        <v>Normal</v>
      </c>
      <c r="W979" t="str" cm="1">
        <f t="array" ref="W979">_xlfn.IFS(smart_dataset[[#This Row],[Asset_Utilization]]&lt;=75,"Low",smart_dataset[[#This Row],[Asset_Utilization]]&lt;=90,"Medium",TRUE,"High")</f>
        <v>Low</v>
      </c>
    </row>
    <row r="980" spans="1:23" hidden="1" x14ac:dyDescent="0.25">
      <c r="A980" s="1">
        <v>45458.118298611109</v>
      </c>
      <c r="B980" s="1">
        <f>INT(smart_dataset[[#This Row],[Timestamp]])</f>
        <v>45458</v>
      </c>
      <c r="C980" s="1">
        <f>MOD(smart_dataset[[#This Row],[Timestamp]],1)</f>
        <v>0.11829861110891216</v>
      </c>
      <c r="D980" s="1">
        <f>YEAR(smart_dataset[[#This Row],[Date]])</f>
        <v>2024</v>
      </c>
      <c r="E980" s="1">
        <f>MONTH(smart_dataset[[#This Row],[Timestamp]])</f>
        <v>6</v>
      </c>
      <c r="F980" t="s">
        <v>16</v>
      </c>
      <c r="G980">
        <v>68.122900000000001</v>
      </c>
      <c r="H980">
        <v>9.8155000000000001</v>
      </c>
      <c r="I980">
        <v>382</v>
      </c>
      <c r="J980" t="s">
        <v>26</v>
      </c>
      <c r="K980">
        <v>20.6</v>
      </c>
      <c r="L980">
        <v>72.8</v>
      </c>
      <c r="M980" t="s">
        <v>22</v>
      </c>
      <c r="N980">
        <v>10</v>
      </c>
      <c r="O980">
        <v>128</v>
      </c>
      <c r="P980">
        <v>1</v>
      </c>
      <c r="Q980" t="s">
        <v>23</v>
      </c>
      <c r="R980">
        <v>79.2</v>
      </c>
      <c r="S980">
        <v>157</v>
      </c>
      <c r="T980">
        <v>1</v>
      </c>
      <c r="U980" t="str" cm="1">
        <f t="array" ref="U980">_xlfn.IFS(smart_dataset[[#This Row],[Waiting_Time]]&lt;=20,"Low",smart_dataset[[#This Row],[Waiting_Time]]&lt;=40,"Medium",TRUE,"High")</f>
        <v>Low</v>
      </c>
      <c r="V980" t="str" cm="1">
        <f t="array" ref="V980">_xlfn.IFS(smart_dataset[[#This Row],[Temperature]]&lt;=20,"Cold",smart_dataset[[#This Row],[Temperature]]&lt;=28,"Normal",TRUE,"Hot")</f>
        <v>Normal</v>
      </c>
      <c r="W980" t="str" cm="1">
        <f t="array" ref="W980">_xlfn.IFS(smart_dataset[[#This Row],[Asset_Utilization]]&lt;=75,"Low",smart_dataset[[#This Row],[Asset_Utilization]]&lt;=90,"Medium",TRUE,"High")</f>
        <v>Medium</v>
      </c>
    </row>
    <row r="981" spans="1:23" hidden="1" x14ac:dyDescent="0.25">
      <c r="A981" s="1">
        <v>45469.832546296297</v>
      </c>
      <c r="B981" s="1">
        <f>INT(smart_dataset[[#This Row],[Timestamp]])</f>
        <v>45469</v>
      </c>
      <c r="C981" s="1">
        <f>MOD(smart_dataset[[#This Row],[Timestamp]],1)</f>
        <v>0.83254629629664123</v>
      </c>
      <c r="D981" s="1">
        <f>YEAR(smart_dataset[[#This Row],[Date]])</f>
        <v>2024</v>
      </c>
      <c r="E981" s="1">
        <f>MONTH(smart_dataset[[#This Row],[Timestamp]])</f>
        <v>6</v>
      </c>
      <c r="F981" t="s">
        <v>30</v>
      </c>
      <c r="G981">
        <v>84.021500000000003</v>
      </c>
      <c r="H981">
        <v>75.482900000000001</v>
      </c>
      <c r="I981">
        <v>236</v>
      </c>
      <c r="J981" t="s">
        <v>26</v>
      </c>
      <c r="K981">
        <v>19.399999999999999</v>
      </c>
      <c r="L981">
        <v>57.2</v>
      </c>
      <c r="M981" t="s">
        <v>22</v>
      </c>
      <c r="N981">
        <v>13</v>
      </c>
      <c r="O981">
        <v>368</v>
      </c>
      <c r="P981">
        <v>2</v>
      </c>
      <c r="Q981" t="s">
        <v>23</v>
      </c>
      <c r="R981">
        <v>83.7</v>
      </c>
      <c r="S981">
        <v>276</v>
      </c>
      <c r="T981">
        <v>1</v>
      </c>
      <c r="U981" t="str" cm="1">
        <f t="array" ref="U981">_xlfn.IFS(smart_dataset[[#This Row],[Waiting_Time]]&lt;=20,"Low",smart_dataset[[#This Row],[Waiting_Time]]&lt;=40,"Medium",TRUE,"High")</f>
        <v>Low</v>
      </c>
      <c r="V981" t="str" cm="1">
        <f t="array" ref="V981">_xlfn.IFS(smart_dataset[[#This Row],[Temperature]]&lt;=20,"Cold",smart_dataset[[#This Row],[Temperature]]&lt;=28,"Normal",TRUE,"Hot")</f>
        <v>Cold</v>
      </c>
      <c r="W981" t="str" cm="1">
        <f t="array" ref="W981">_xlfn.IFS(smart_dataset[[#This Row],[Asset_Utilization]]&lt;=75,"Low",smart_dataset[[#This Row],[Asset_Utilization]]&lt;=90,"Medium",TRUE,"High")</f>
        <v>Medium</v>
      </c>
    </row>
    <row r="982" spans="1:23" hidden="1" x14ac:dyDescent="0.25">
      <c r="A982" s="1">
        <v>45627.527048611111</v>
      </c>
      <c r="B982" s="1">
        <f>INT(smart_dataset[[#This Row],[Timestamp]])</f>
        <v>45627</v>
      </c>
      <c r="C982" s="1">
        <f>MOD(smart_dataset[[#This Row],[Timestamp]],1)</f>
        <v>0.52704861111124046</v>
      </c>
      <c r="D982" s="1">
        <f>YEAR(smart_dataset[[#This Row],[Date]])</f>
        <v>2024</v>
      </c>
      <c r="E982" s="1">
        <f>MONTH(smart_dataset[[#This Row],[Timestamp]])</f>
        <v>12</v>
      </c>
      <c r="F982" t="s">
        <v>29</v>
      </c>
      <c r="G982">
        <v>73.915400000000005</v>
      </c>
      <c r="H982">
        <v>-123.8449</v>
      </c>
      <c r="I982">
        <v>122</v>
      </c>
      <c r="J982" t="s">
        <v>17</v>
      </c>
      <c r="K982">
        <v>28.3</v>
      </c>
      <c r="L982">
        <v>80</v>
      </c>
      <c r="M982" t="s">
        <v>18</v>
      </c>
      <c r="N982">
        <v>43</v>
      </c>
      <c r="O982">
        <v>444</v>
      </c>
      <c r="P982">
        <v>10</v>
      </c>
      <c r="Q982" t="s">
        <v>31</v>
      </c>
      <c r="R982">
        <v>91.6</v>
      </c>
      <c r="S982">
        <v>141</v>
      </c>
      <c r="T982">
        <v>1</v>
      </c>
      <c r="U982" t="str" cm="1">
        <f t="array" ref="U982">_xlfn.IFS(smart_dataset[[#This Row],[Waiting_Time]]&lt;=20,"Low",smart_dataset[[#This Row],[Waiting_Time]]&lt;=40,"Medium",TRUE,"High")</f>
        <v>High</v>
      </c>
      <c r="V982" t="str" cm="1">
        <f t="array" ref="V982">_xlfn.IFS(smart_dataset[[#This Row],[Temperature]]&lt;=20,"Cold",smart_dataset[[#This Row],[Temperature]]&lt;=28,"Normal",TRUE,"Hot")</f>
        <v>Hot</v>
      </c>
      <c r="W982" t="str" cm="1">
        <f t="array" ref="W982">_xlfn.IFS(smart_dataset[[#This Row],[Asset_Utilization]]&lt;=75,"Low",smart_dataset[[#This Row],[Asset_Utilization]]&lt;=90,"Medium",TRUE,"High")</f>
        <v>High</v>
      </c>
    </row>
    <row r="983" spans="1:23" x14ac:dyDescent="0.25">
      <c r="A983" s="1">
        <v>45504.154976851853</v>
      </c>
      <c r="B983" s="1">
        <f>INT(smart_dataset[[#This Row],[Timestamp]])</f>
        <v>45504</v>
      </c>
      <c r="C983" s="7">
        <f>MOD(smart_dataset[[#This Row],[Timestamp]],1)</f>
        <v>0.1549768518525525</v>
      </c>
      <c r="D983">
        <f>YEAR(smart_dataset[[#This Row],[Date]])</f>
        <v>2024</v>
      </c>
      <c r="E983">
        <f>MONTH(smart_dataset[[#This Row],[Timestamp]])</f>
        <v>7</v>
      </c>
      <c r="F983" t="s">
        <v>24</v>
      </c>
      <c r="G983">
        <v>56.282899999999998</v>
      </c>
      <c r="H983">
        <v>49.029200000000003</v>
      </c>
      <c r="I983">
        <v>201</v>
      </c>
      <c r="J983" t="s">
        <v>21</v>
      </c>
      <c r="K983">
        <v>24.4</v>
      </c>
      <c r="L983">
        <v>50.8</v>
      </c>
      <c r="M983" t="s">
        <v>22</v>
      </c>
      <c r="N983">
        <v>13</v>
      </c>
      <c r="O983">
        <v>367</v>
      </c>
      <c r="P983">
        <v>2</v>
      </c>
      <c r="Q983" t="s">
        <v>19</v>
      </c>
      <c r="R983">
        <v>88.3</v>
      </c>
      <c r="S983">
        <v>174</v>
      </c>
      <c r="T983">
        <v>1</v>
      </c>
      <c r="U983" t="str" cm="1">
        <f t="array" ref="U983">_xlfn.IFS(smart_dataset[[#This Row],[Waiting_Time]]&lt;=20,"Low",smart_dataset[[#This Row],[Waiting_Time]]&lt;=40,"Medium",TRUE,"High")</f>
        <v>Low</v>
      </c>
      <c r="V983" t="str" cm="1">
        <f t="array" ref="V983">_xlfn.IFS(smart_dataset[[#This Row],[Temperature]]&lt;=20,"Cold",smart_dataset[[#This Row],[Temperature]]&lt;=28,"Normal",TRUE,"Hot")</f>
        <v>Normal</v>
      </c>
      <c r="W983" t="str" cm="1">
        <f t="array" ref="W983">_xlfn.IFS(smart_dataset[[#This Row],[Asset_Utilization]]&lt;=75,"Low",smart_dataset[[#This Row],[Asset_Utilization]]&lt;=90,"Medium",TRUE,"High")</f>
        <v>Medium</v>
      </c>
    </row>
    <row r="984" spans="1:23" x14ac:dyDescent="0.25">
      <c r="A984" s="1">
        <v>45367.555902777778</v>
      </c>
      <c r="B984" s="1">
        <f>INT(smart_dataset[[#This Row],[Timestamp]])</f>
        <v>45367</v>
      </c>
      <c r="C984" s="7">
        <f>MOD(smart_dataset[[#This Row],[Timestamp]],1)</f>
        <v>0.55590277777810115</v>
      </c>
      <c r="D984">
        <f>YEAR(smart_dataset[[#This Row],[Date]])</f>
        <v>2024</v>
      </c>
      <c r="E984">
        <f>MONTH(smart_dataset[[#This Row],[Timestamp]])</f>
        <v>3</v>
      </c>
      <c r="F984" t="s">
        <v>25</v>
      </c>
      <c r="G984">
        <v>-89.098100000000002</v>
      </c>
      <c r="H984">
        <v>33.8294</v>
      </c>
      <c r="I984">
        <v>226</v>
      </c>
      <c r="J984" t="s">
        <v>21</v>
      </c>
      <c r="K984">
        <v>18.600000000000001</v>
      </c>
      <c r="L984">
        <v>77.900000000000006</v>
      </c>
      <c r="M984" t="s">
        <v>22</v>
      </c>
      <c r="N984">
        <v>30</v>
      </c>
      <c r="O984">
        <v>252</v>
      </c>
      <c r="P984">
        <v>10</v>
      </c>
      <c r="Q984" t="s">
        <v>19</v>
      </c>
      <c r="R984">
        <v>67.3</v>
      </c>
      <c r="S984">
        <v>145</v>
      </c>
      <c r="T984">
        <v>1</v>
      </c>
      <c r="U984" t="str" cm="1">
        <f t="array" ref="U984">_xlfn.IFS(smart_dataset[[#This Row],[Waiting_Time]]&lt;=20,"Low",smart_dataset[[#This Row],[Waiting_Time]]&lt;=40,"Medium",TRUE,"High")</f>
        <v>Medium</v>
      </c>
      <c r="V984" t="str" cm="1">
        <f t="array" ref="V984">_xlfn.IFS(smart_dataset[[#This Row],[Temperature]]&lt;=20,"Cold",smart_dataset[[#This Row],[Temperature]]&lt;=28,"Normal",TRUE,"Hot")</f>
        <v>Cold</v>
      </c>
      <c r="W984" t="str" cm="1">
        <f t="array" ref="W984">_xlfn.IFS(smart_dataset[[#This Row],[Asset_Utilization]]&lt;=75,"Low",smart_dataset[[#This Row],[Asset_Utilization]]&lt;=90,"Medium",TRUE,"High")</f>
        <v>Low</v>
      </c>
    </row>
    <row r="985" spans="1:23" hidden="1" x14ac:dyDescent="0.25">
      <c r="A985" s="1">
        <v>45460.613321759258</v>
      </c>
      <c r="B985" s="1">
        <f>INT(smart_dataset[[#This Row],[Timestamp]])</f>
        <v>45460</v>
      </c>
      <c r="C985" s="1">
        <f>MOD(smart_dataset[[#This Row],[Timestamp]],1)</f>
        <v>0.61332175925781485</v>
      </c>
      <c r="D985" s="1">
        <f>YEAR(smart_dataset[[#This Row],[Date]])</f>
        <v>2024</v>
      </c>
      <c r="E985" s="1">
        <f>MONTH(smart_dataset[[#This Row],[Timestamp]])</f>
        <v>6</v>
      </c>
      <c r="F985" t="s">
        <v>25</v>
      </c>
      <c r="G985">
        <v>0.40550000000000003</v>
      </c>
      <c r="H985">
        <v>97.602199999999996</v>
      </c>
      <c r="I985">
        <v>266</v>
      </c>
      <c r="J985" t="s">
        <v>26</v>
      </c>
      <c r="K985">
        <v>23.5</v>
      </c>
      <c r="L985">
        <v>60.2</v>
      </c>
      <c r="M985" t="s">
        <v>22</v>
      </c>
      <c r="N985">
        <v>57</v>
      </c>
      <c r="O985">
        <v>108</v>
      </c>
      <c r="P985">
        <v>2</v>
      </c>
      <c r="Q985" t="s">
        <v>27</v>
      </c>
      <c r="R985">
        <v>65.5</v>
      </c>
      <c r="S985">
        <v>202</v>
      </c>
      <c r="T985">
        <v>1</v>
      </c>
      <c r="U985" t="str" cm="1">
        <f t="array" ref="U985">_xlfn.IFS(smart_dataset[[#This Row],[Waiting_Time]]&lt;=20,"Low",smart_dataset[[#This Row],[Waiting_Time]]&lt;=40,"Medium",TRUE,"High")</f>
        <v>High</v>
      </c>
      <c r="V985" t="str" cm="1">
        <f t="array" ref="V985">_xlfn.IFS(smart_dataset[[#This Row],[Temperature]]&lt;=20,"Cold",smart_dataset[[#This Row],[Temperature]]&lt;=28,"Normal",TRUE,"Hot")</f>
        <v>Normal</v>
      </c>
      <c r="W985" t="str" cm="1">
        <f t="array" ref="W985">_xlfn.IFS(smart_dataset[[#This Row],[Asset_Utilization]]&lt;=75,"Low",smart_dataset[[#This Row],[Asset_Utilization]]&lt;=90,"Medium",TRUE,"High")</f>
        <v>Low</v>
      </c>
    </row>
    <row r="986" spans="1:23" hidden="1" x14ac:dyDescent="0.25">
      <c r="A986" s="1">
        <v>45317.208402777775</v>
      </c>
      <c r="B986" s="1">
        <f>INT(smart_dataset[[#This Row],[Timestamp]])</f>
        <v>45317</v>
      </c>
      <c r="C986" s="1">
        <f>MOD(smart_dataset[[#This Row],[Timestamp]],1)</f>
        <v>0.20840277777460869</v>
      </c>
      <c r="D986" s="1">
        <f>YEAR(smart_dataset[[#This Row],[Date]])</f>
        <v>2024</v>
      </c>
      <c r="E986" s="1">
        <f>MONTH(smart_dataset[[#This Row],[Timestamp]])</f>
        <v>1</v>
      </c>
      <c r="F986" t="s">
        <v>32</v>
      </c>
      <c r="G986">
        <v>29.712800000000001</v>
      </c>
      <c r="H986">
        <v>-51.899299999999997</v>
      </c>
      <c r="I986">
        <v>277</v>
      </c>
      <c r="J986" t="s">
        <v>26</v>
      </c>
      <c r="K986">
        <v>29.2</v>
      </c>
      <c r="L986">
        <v>56.9</v>
      </c>
      <c r="M986" t="s">
        <v>18</v>
      </c>
      <c r="N986">
        <v>24</v>
      </c>
      <c r="O986">
        <v>100</v>
      </c>
      <c r="P986">
        <v>2</v>
      </c>
      <c r="Q986" t="s">
        <v>31</v>
      </c>
      <c r="R986">
        <v>84.2</v>
      </c>
      <c r="S986">
        <v>164</v>
      </c>
      <c r="T986">
        <v>0</v>
      </c>
      <c r="U986" t="str" cm="1">
        <f t="array" ref="U986">_xlfn.IFS(smart_dataset[[#This Row],[Waiting_Time]]&lt;=20,"Low",smart_dataset[[#This Row],[Waiting_Time]]&lt;=40,"Medium",TRUE,"High")</f>
        <v>Medium</v>
      </c>
      <c r="V986" t="str" cm="1">
        <f t="array" ref="V986">_xlfn.IFS(smart_dataset[[#This Row],[Temperature]]&lt;=20,"Cold",smart_dataset[[#This Row],[Temperature]]&lt;=28,"Normal",TRUE,"Hot")</f>
        <v>Hot</v>
      </c>
      <c r="W986" t="str" cm="1">
        <f t="array" ref="W986">_xlfn.IFS(smart_dataset[[#This Row],[Asset_Utilization]]&lt;=75,"Low",smart_dataset[[#This Row],[Asset_Utilization]]&lt;=90,"Medium",TRUE,"High")</f>
        <v>Medium</v>
      </c>
    </row>
    <row r="987" spans="1:23" hidden="1" x14ac:dyDescent="0.25">
      <c r="A987" s="1">
        <v>45360.414259259262</v>
      </c>
      <c r="B987" s="1">
        <f>INT(smart_dataset[[#This Row],[Timestamp]])</f>
        <v>45360</v>
      </c>
      <c r="C987" s="1">
        <f>MOD(smart_dataset[[#This Row],[Timestamp]],1)</f>
        <v>0.41425925926159834</v>
      </c>
      <c r="D987" s="1">
        <f>YEAR(smart_dataset[[#This Row],[Date]])</f>
        <v>2024</v>
      </c>
      <c r="E987" s="1">
        <f>MONTH(smart_dataset[[#This Row],[Timestamp]])</f>
        <v>3</v>
      </c>
      <c r="F987" t="s">
        <v>29</v>
      </c>
      <c r="G987">
        <v>76.858199999999997</v>
      </c>
      <c r="H987">
        <v>-8.4829000000000008</v>
      </c>
      <c r="I987">
        <v>475</v>
      </c>
      <c r="J987" t="s">
        <v>21</v>
      </c>
      <c r="K987">
        <v>24.3</v>
      </c>
      <c r="L987">
        <v>52.6</v>
      </c>
      <c r="M987" t="s">
        <v>22</v>
      </c>
      <c r="N987">
        <v>55</v>
      </c>
      <c r="O987">
        <v>283</v>
      </c>
      <c r="P987">
        <v>6</v>
      </c>
      <c r="Q987" t="s">
        <v>23</v>
      </c>
      <c r="R987">
        <v>95.9</v>
      </c>
      <c r="S987">
        <v>173</v>
      </c>
      <c r="T987">
        <v>1</v>
      </c>
      <c r="U987" t="str" cm="1">
        <f t="array" ref="U987">_xlfn.IFS(smart_dataset[[#This Row],[Waiting_Time]]&lt;=20,"Low",smart_dataset[[#This Row],[Waiting_Time]]&lt;=40,"Medium",TRUE,"High")</f>
        <v>High</v>
      </c>
      <c r="V987" t="str" cm="1">
        <f t="array" ref="V987">_xlfn.IFS(smart_dataset[[#This Row],[Temperature]]&lt;=20,"Cold",smart_dataset[[#This Row],[Temperature]]&lt;=28,"Normal",TRUE,"Hot")</f>
        <v>Normal</v>
      </c>
      <c r="W987" t="str" cm="1">
        <f t="array" ref="W987">_xlfn.IFS(smart_dataset[[#This Row],[Asset_Utilization]]&lt;=75,"Low",smart_dataset[[#This Row],[Asset_Utilization]]&lt;=90,"Medium",TRUE,"High")</f>
        <v>High</v>
      </c>
    </row>
    <row r="988" spans="1:23" hidden="1" x14ac:dyDescent="0.25">
      <c r="A988" s="1">
        <v>45532.307638888888</v>
      </c>
      <c r="B988" s="1">
        <f>INT(smart_dataset[[#This Row],[Timestamp]])</f>
        <v>45532</v>
      </c>
      <c r="C988" s="1">
        <f>MOD(smart_dataset[[#This Row],[Timestamp]],1)</f>
        <v>0.30763888888759539</v>
      </c>
      <c r="D988" s="1">
        <f>YEAR(smart_dataset[[#This Row],[Date]])</f>
        <v>2024</v>
      </c>
      <c r="E988" s="1">
        <f>MONTH(smart_dataset[[#This Row],[Timestamp]])</f>
        <v>8</v>
      </c>
      <c r="F988" t="s">
        <v>32</v>
      </c>
      <c r="G988">
        <v>-74.188000000000002</v>
      </c>
      <c r="H988">
        <v>-176.01410000000001</v>
      </c>
      <c r="I988">
        <v>387</v>
      </c>
      <c r="J988" t="s">
        <v>26</v>
      </c>
      <c r="K988">
        <v>28.1</v>
      </c>
      <c r="L988">
        <v>64.7</v>
      </c>
      <c r="M988" t="s">
        <v>28</v>
      </c>
      <c r="N988">
        <v>51</v>
      </c>
      <c r="O988">
        <v>340</v>
      </c>
      <c r="P988">
        <v>10</v>
      </c>
      <c r="Q988" t="s">
        <v>23</v>
      </c>
      <c r="R988">
        <v>61.1</v>
      </c>
      <c r="S988">
        <v>243</v>
      </c>
      <c r="T988">
        <v>0</v>
      </c>
      <c r="U988" t="str" cm="1">
        <f t="array" ref="U988">_xlfn.IFS(smart_dataset[[#This Row],[Waiting_Time]]&lt;=20,"Low",smart_dataset[[#This Row],[Waiting_Time]]&lt;=40,"Medium",TRUE,"High")</f>
        <v>High</v>
      </c>
      <c r="V988" t="str" cm="1">
        <f t="array" ref="V988">_xlfn.IFS(smart_dataset[[#This Row],[Temperature]]&lt;=20,"Cold",smart_dataset[[#This Row],[Temperature]]&lt;=28,"Normal",TRUE,"Hot")</f>
        <v>Hot</v>
      </c>
      <c r="W988" t="str" cm="1">
        <f t="array" ref="W988">_xlfn.IFS(smart_dataset[[#This Row],[Asset_Utilization]]&lt;=75,"Low",smart_dataset[[#This Row],[Asset_Utilization]]&lt;=90,"Medium",TRUE,"High")</f>
        <v>Low</v>
      </c>
    </row>
    <row r="989" spans="1:23" hidden="1" x14ac:dyDescent="0.25">
      <c r="A989" s="1">
        <v>45304.790995370371</v>
      </c>
      <c r="B989" s="1">
        <f>INT(smart_dataset[[#This Row],[Timestamp]])</f>
        <v>45304</v>
      </c>
      <c r="C989" s="1">
        <f>MOD(smart_dataset[[#This Row],[Timestamp]],1)</f>
        <v>0.79099537037109258</v>
      </c>
      <c r="D989" s="1">
        <f>YEAR(smart_dataset[[#This Row],[Date]])</f>
        <v>2024</v>
      </c>
      <c r="E989" s="1">
        <f>MONTH(smart_dataset[[#This Row],[Timestamp]])</f>
        <v>1</v>
      </c>
      <c r="F989" t="s">
        <v>20</v>
      </c>
      <c r="G989">
        <v>14.1533</v>
      </c>
      <c r="H989">
        <v>164.11859999999999</v>
      </c>
      <c r="I989">
        <v>286</v>
      </c>
      <c r="J989" t="s">
        <v>21</v>
      </c>
      <c r="K989">
        <v>25</v>
      </c>
      <c r="L989">
        <v>68.400000000000006</v>
      </c>
      <c r="M989" t="s">
        <v>22</v>
      </c>
      <c r="N989">
        <v>50</v>
      </c>
      <c r="O989">
        <v>382</v>
      </c>
      <c r="P989">
        <v>5</v>
      </c>
      <c r="Q989" t="s">
        <v>23</v>
      </c>
      <c r="R989">
        <v>71.900000000000006</v>
      </c>
      <c r="S989">
        <v>283</v>
      </c>
      <c r="T989">
        <v>1</v>
      </c>
      <c r="U989" t="str" cm="1">
        <f t="array" ref="U989">_xlfn.IFS(smart_dataset[[#This Row],[Waiting_Time]]&lt;=20,"Low",smart_dataset[[#This Row],[Waiting_Time]]&lt;=40,"Medium",TRUE,"High")</f>
        <v>High</v>
      </c>
      <c r="V989" t="str" cm="1">
        <f t="array" ref="V989">_xlfn.IFS(smart_dataset[[#This Row],[Temperature]]&lt;=20,"Cold",smart_dataset[[#This Row],[Temperature]]&lt;=28,"Normal",TRUE,"Hot")</f>
        <v>Normal</v>
      </c>
      <c r="W989" t="str" cm="1">
        <f t="array" ref="W989">_xlfn.IFS(smart_dataset[[#This Row],[Asset_Utilization]]&lt;=75,"Low",smart_dataset[[#This Row],[Asset_Utilization]]&lt;=90,"Medium",TRUE,"High")</f>
        <v>Low</v>
      </c>
    </row>
    <row r="990" spans="1:23" hidden="1" x14ac:dyDescent="0.25">
      <c r="A990" s="1">
        <v>45647.450416666667</v>
      </c>
      <c r="B990" s="1">
        <f>INT(smart_dataset[[#This Row],[Timestamp]])</f>
        <v>45647</v>
      </c>
      <c r="C990" s="1">
        <f>MOD(smart_dataset[[#This Row],[Timestamp]],1)</f>
        <v>0.45041666666656965</v>
      </c>
      <c r="D990" s="1">
        <f>YEAR(smart_dataset[[#This Row],[Date]])</f>
        <v>2024</v>
      </c>
      <c r="E990" s="1">
        <f>MONTH(smart_dataset[[#This Row],[Timestamp]])</f>
        <v>12</v>
      </c>
      <c r="F990" t="s">
        <v>16</v>
      </c>
      <c r="G990">
        <v>3.9786000000000001</v>
      </c>
      <c r="H990">
        <v>-135.22190000000001</v>
      </c>
      <c r="I990">
        <v>367</v>
      </c>
      <c r="J990" t="s">
        <v>17</v>
      </c>
      <c r="K990">
        <v>27</v>
      </c>
      <c r="L990">
        <v>55.1</v>
      </c>
      <c r="M990" t="s">
        <v>22</v>
      </c>
      <c r="N990">
        <v>47</v>
      </c>
      <c r="O990">
        <v>449</v>
      </c>
      <c r="P990">
        <v>9</v>
      </c>
      <c r="Q990" t="s">
        <v>31</v>
      </c>
      <c r="R990">
        <v>99.7</v>
      </c>
      <c r="S990">
        <v>109</v>
      </c>
      <c r="T990">
        <v>1</v>
      </c>
      <c r="U990" t="str" cm="1">
        <f t="array" ref="U990">_xlfn.IFS(smart_dataset[[#This Row],[Waiting_Time]]&lt;=20,"Low",smart_dataset[[#This Row],[Waiting_Time]]&lt;=40,"Medium",TRUE,"High")</f>
        <v>High</v>
      </c>
      <c r="V990" t="str" cm="1">
        <f t="array" ref="V990">_xlfn.IFS(smart_dataset[[#This Row],[Temperature]]&lt;=20,"Cold",smart_dataset[[#This Row],[Temperature]]&lt;=28,"Normal",TRUE,"Hot")</f>
        <v>Normal</v>
      </c>
      <c r="W990" t="str" cm="1">
        <f t="array" ref="W990">_xlfn.IFS(smart_dataset[[#This Row],[Asset_Utilization]]&lt;=75,"Low",smart_dataset[[#This Row],[Asset_Utilization]]&lt;=90,"Medium",TRUE,"High")</f>
        <v>High</v>
      </c>
    </row>
    <row r="991" spans="1:23" hidden="1" x14ac:dyDescent="0.25">
      <c r="A991" s="1">
        <v>45654.736215277779</v>
      </c>
      <c r="B991" s="1">
        <f>INT(smart_dataset[[#This Row],[Timestamp]])</f>
        <v>45654</v>
      </c>
      <c r="C991" s="1">
        <f>MOD(smart_dataset[[#This Row],[Timestamp]],1)</f>
        <v>0.73621527777868323</v>
      </c>
      <c r="D991" s="1">
        <f>YEAR(smart_dataset[[#This Row],[Date]])</f>
        <v>2024</v>
      </c>
      <c r="E991" s="1">
        <f>MONTH(smart_dataset[[#This Row],[Timestamp]])</f>
        <v>12</v>
      </c>
      <c r="F991" t="s">
        <v>29</v>
      </c>
      <c r="G991">
        <v>-40.921599999999998</v>
      </c>
      <c r="H991">
        <v>27.528099999999998</v>
      </c>
      <c r="I991">
        <v>371</v>
      </c>
      <c r="J991" t="s">
        <v>17</v>
      </c>
      <c r="K991">
        <v>27.4</v>
      </c>
      <c r="L991">
        <v>50.9</v>
      </c>
      <c r="M991" t="s">
        <v>28</v>
      </c>
      <c r="N991">
        <v>40</v>
      </c>
      <c r="O991">
        <v>463</v>
      </c>
      <c r="P991">
        <v>8</v>
      </c>
      <c r="Q991" t="s">
        <v>23</v>
      </c>
      <c r="R991">
        <v>90.7</v>
      </c>
      <c r="S991">
        <v>144</v>
      </c>
      <c r="T991">
        <v>1</v>
      </c>
      <c r="U991" t="str" cm="1">
        <f t="array" ref="U991">_xlfn.IFS(smart_dataset[[#This Row],[Waiting_Time]]&lt;=20,"Low",smart_dataset[[#This Row],[Waiting_Time]]&lt;=40,"Medium",TRUE,"High")</f>
        <v>Medium</v>
      </c>
      <c r="V991" t="str" cm="1">
        <f t="array" ref="V991">_xlfn.IFS(smart_dataset[[#This Row],[Temperature]]&lt;=20,"Cold",smart_dataset[[#This Row],[Temperature]]&lt;=28,"Normal",TRUE,"Hot")</f>
        <v>Normal</v>
      </c>
      <c r="W991" t="str" cm="1">
        <f t="array" ref="W991">_xlfn.IFS(smart_dataset[[#This Row],[Asset_Utilization]]&lt;=75,"Low",smart_dataset[[#This Row],[Asset_Utilization]]&lt;=90,"Medium",TRUE,"High")</f>
        <v>High</v>
      </c>
    </row>
    <row r="992" spans="1:23" x14ac:dyDescent="0.25">
      <c r="A992" s="1">
        <v>45522.244293981479</v>
      </c>
      <c r="B992" s="1">
        <f>INT(smart_dataset[[#This Row],[Timestamp]])</f>
        <v>45522</v>
      </c>
      <c r="C992" s="7">
        <f>MOD(smart_dataset[[#This Row],[Timestamp]],1)</f>
        <v>0.24429398147913162</v>
      </c>
      <c r="D992">
        <f>YEAR(smart_dataset[[#This Row],[Date]])</f>
        <v>2024</v>
      </c>
      <c r="E992">
        <f>MONTH(smart_dataset[[#This Row],[Timestamp]])</f>
        <v>8</v>
      </c>
      <c r="F992" t="s">
        <v>16</v>
      </c>
      <c r="G992">
        <v>-58.432099999999998</v>
      </c>
      <c r="H992">
        <v>-90.511799999999994</v>
      </c>
      <c r="I992">
        <v>315</v>
      </c>
      <c r="J992" t="s">
        <v>26</v>
      </c>
      <c r="K992">
        <v>23.5</v>
      </c>
      <c r="L992">
        <v>68.599999999999994</v>
      </c>
      <c r="M992" t="s">
        <v>22</v>
      </c>
      <c r="N992">
        <v>20</v>
      </c>
      <c r="O992">
        <v>372</v>
      </c>
      <c r="P992">
        <v>1</v>
      </c>
      <c r="Q992" t="s">
        <v>19</v>
      </c>
      <c r="R992">
        <v>63.8</v>
      </c>
      <c r="S992">
        <v>221</v>
      </c>
      <c r="T992">
        <v>1</v>
      </c>
      <c r="U992" t="str" cm="1">
        <f t="array" ref="U992">_xlfn.IFS(smart_dataset[[#This Row],[Waiting_Time]]&lt;=20,"Low",smart_dataset[[#This Row],[Waiting_Time]]&lt;=40,"Medium",TRUE,"High")</f>
        <v>Low</v>
      </c>
      <c r="V992" t="str" cm="1">
        <f t="array" ref="V992">_xlfn.IFS(smart_dataset[[#This Row],[Temperature]]&lt;=20,"Cold",smart_dataset[[#This Row],[Temperature]]&lt;=28,"Normal",TRUE,"Hot")</f>
        <v>Normal</v>
      </c>
      <c r="W992" t="str" cm="1">
        <f t="array" ref="W992">_xlfn.IFS(smart_dataset[[#This Row],[Asset_Utilization]]&lt;=75,"Low",smart_dataset[[#This Row],[Asset_Utilization]]&lt;=90,"Medium",TRUE,"High")</f>
        <v>Low</v>
      </c>
    </row>
    <row r="993" spans="1:23" hidden="1" x14ac:dyDescent="0.25">
      <c r="A993" s="1">
        <v>45544.231446759259</v>
      </c>
      <c r="B993" s="1">
        <f>INT(smart_dataset[[#This Row],[Timestamp]])</f>
        <v>45544</v>
      </c>
      <c r="C993" s="1">
        <f>MOD(smart_dataset[[#This Row],[Timestamp]],1)</f>
        <v>0.23144675925868796</v>
      </c>
      <c r="D993" s="1">
        <f>YEAR(smart_dataset[[#This Row],[Date]])</f>
        <v>2024</v>
      </c>
      <c r="E993" s="1">
        <f>MONTH(smart_dataset[[#This Row],[Timestamp]])</f>
        <v>9</v>
      </c>
      <c r="F993" t="s">
        <v>20</v>
      </c>
      <c r="G993">
        <v>41.767899999999997</v>
      </c>
      <c r="H993">
        <v>-95.813500000000005</v>
      </c>
      <c r="I993">
        <v>262</v>
      </c>
      <c r="J993" t="s">
        <v>21</v>
      </c>
      <c r="K993">
        <v>24.5</v>
      </c>
      <c r="L993">
        <v>50.1</v>
      </c>
      <c r="M993" t="s">
        <v>22</v>
      </c>
      <c r="N993">
        <v>20</v>
      </c>
      <c r="O993">
        <v>387</v>
      </c>
      <c r="P993">
        <v>2</v>
      </c>
      <c r="Q993" t="s">
        <v>23</v>
      </c>
      <c r="R993">
        <v>95</v>
      </c>
      <c r="S993">
        <v>145</v>
      </c>
      <c r="T993">
        <v>1</v>
      </c>
      <c r="U993" t="str" cm="1">
        <f t="array" ref="U993">_xlfn.IFS(smart_dataset[[#This Row],[Waiting_Time]]&lt;=20,"Low",smart_dataset[[#This Row],[Waiting_Time]]&lt;=40,"Medium",TRUE,"High")</f>
        <v>Low</v>
      </c>
      <c r="V993" t="str" cm="1">
        <f t="array" ref="V993">_xlfn.IFS(smart_dataset[[#This Row],[Temperature]]&lt;=20,"Cold",smart_dataset[[#This Row],[Temperature]]&lt;=28,"Normal",TRUE,"Hot")</f>
        <v>Normal</v>
      </c>
      <c r="W993" t="str" cm="1">
        <f t="array" ref="W993">_xlfn.IFS(smart_dataset[[#This Row],[Asset_Utilization]]&lt;=75,"Low",smart_dataset[[#This Row],[Asset_Utilization]]&lt;=90,"Medium",TRUE,"High")</f>
        <v>High</v>
      </c>
    </row>
    <row r="994" spans="1:23" hidden="1" x14ac:dyDescent="0.25">
      <c r="A994" s="1">
        <v>45566.389652777776</v>
      </c>
      <c r="B994" s="1">
        <f>INT(smart_dataset[[#This Row],[Timestamp]])</f>
        <v>45566</v>
      </c>
      <c r="C994" s="1">
        <f>MOD(smart_dataset[[#This Row],[Timestamp]],1)</f>
        <v>0.38965277777606389</v>
      </c>
      <c r="D994" s="1">
        <f>YEAR(smart_dataset[[#This Row],[Date]])</f>
        <v>2024</v>
      </c>
      <c r="E994" s="1">
        <f>MONTH(smart_dataset[[#This Row],[Timestamp]])</f>
        <v>10</v>
      </c>
      <c r="F994" t="s">
        <v>16</v>
      </c>
      <c r="G994">
        <v>61.942300000000003</v>
      </c>
      <c r="H994">
        <v>34.526000000000003</v>
      </c>
      <c r="I994">
        <v>201</v>
      </c>
      <c r="J994" t="s">
        <v>17</v>
      </c>
      <c r="K994">
        <v>23.9</v>
      </c>
      <c r="L994">
        <v>57.8</v>
      </c>
      <c r="M994" t="s">
        <v>22</v>
      </c>
      <c r="N994">
        <v>24</v>
      </c>
      <c r="O994">
        <v>170</v>
      </c>
      <c r="P994">
        <v>1</v>
      </c>
      <c r="Q994" t="s">
        <v>31</v>
      </c>
      <c r="R994">
        <v>90.8</v>
      </c>
      <c r="S994">
        <v>104</v>
      </c>
      <c r="T994">
        <v>1</v>
      </c>
      <c r="U994" t="str" cm="1">
        <f t="array" ref="U994">_xlfn.IFS(smart_dataset[[#This Row],[Waiting_Time]]&lt;=20,"Low",smart_dataset[[#This Row],[Waiting_Time]]&lt;=40,"Medium",TRUE,"High")</f>
        <v>Medium</v>
      </c>
      <c r="V994" t="str" cm="1">
        <f t="array" ref="V994">_xlfn.IFS(smart_dataset[[#This Row],[Temperature]]&lt;=20,"Cold",smart_dataset[[#This Row],[Temperature]]&lt;=28,"Normal",TRUE,"Hot")</f>
        <v>Normal</v>
      </c>
      <c r="W994" t="str" cm="1">
        <f t="array" ref="W994">_xlfn.IFS(smart_dataset[[#This Row],[Asset_Utilization]]&lt;=75,"Low",smart_dataset[[#This Row],[Asset_Utilization]]&lt;=90,"Medium",TRUE,"High")</f>
        <v>High</v>
      </c>
    </row>
    <row r="995" spans="1:23" hidden="1" x14ac:dyDescent="0.25">
      <c r="A995" s="1">
        <v>45579.431446759256</v>
      </c>
      <c r="B995" s="1">
        <f>INT(smart_dataset[[#This Row],[Timestamp]])</f>
        <v>45579</v>
      </c>
      <c r="C995" s="1">
        <f>MOD(smart_dataset[[#This Row],[Timestamp]],1)</f>
        <v>0.43144675925577758</v>
      </c>
      <c r="D995" s="1">
        <f>YEAR(smart_dataset[[#This Row],[Date]])</f>
        <v>2024</v>
      </c>
      <c r="E995" s="1">
        <f>MONTH(smart_dataset[[#This Row],[Timestamp]])</f>
        <v>10</v>
      </c>
      <c r="F995" t="s">
        <v>29</v>
      </c>
      <c r="G995">
        <v>46.972900000000003</v>
      </c>
      <c r="H995">
        <v>-36.519799999999996</v>
      </c>
      <c r="I995">
        <v>420</v>
      </c>
      <c r="J995" t="s">
        <v>17</v>
      </c>
      <c r="K995">
        <v>21.6</v>
      </c>
      <c r="L995">
        <v>62.8</v>
      </c>
      <c r="M995" t="s">
        <v>28</v>
      </c>
      <c r="N995">
        <v>31</v>
      </c>
      <c r="O995">
        <v>242</v>
      </c>
      <c r="P995">
        <v>10</v>
      </c>
      <c r="Q995" t="s">
        <v>23</v>
      </c>
      <c r="R995">
        <v>95.6</v>
      </c>
      <c r="S995">
        <v>221</v>
      </c>
      <c r="T995">
        <v>1</v>
      </c>
      <c r="U995" t="str" cm="1">
        <f t="array" ref="U995">_xlfn.IFS(smart_dataset[[#This Row],[Waiting_Time]]&lt;=20,"Low",smart_dataset[[#This Row],[Waiting_Time]]&lt;=40,"Medium",TRUE,"High")</f>
        <v>Medium</v>
      </c>
      <c r="V995" t="str" cm="1">
        <f t="array" ref="V995">_xlfn.IFS(smart_dataset[[#This Row],[Temperature]]&lt;=20,"Cold",smart_dataset[[#This Row],[Temperature]]&lt;=28,"Normal",TRUE,"Hot")</f>
        <v>Normal</v>
      </c>
      <c r="W995" t="str" cm="1">
        <f t="array" ref="W995">_xlfn.IFS(smart_dataset[[#This Row],[Asset_Utilization]]&lt;=75,"Low",smart_dataset[[#This Row],[Asset_Utilization]]&lt;=90,"Medium",TRUE,"High")</f>
        <v>High</v>
      </c>
    </row>
    <row r="996" spans="1:23" hidden="1" x14ac:dyDescent="0.25">
      <c r="A996" s="1">
        <v>45456.020185185182</v>
      </c>
      <c r="B996" s="1">
        <f>INT(smart_dataset[[#This Row],[Timestamp]])</f>
        <v>45456</v>
      </c>
      <c r="C996" s="1">
        <f>MOD(smart_dataset[[#This Row],[Timestamp]],1)</f>
        <v>2.0185185181617271E-2</v>
      </c>
      <c r="D996" s="1">
        <f>YEAR(smart_dataset[[#This Row],[Date]])</f>
        <v>2024</v>
      </c>
      <c r="E996" s="1">
        <f>MONTH(smart_dataset[[#This Row],[Timestamp]])</f>
        <v>6</v>
      </c>
      <c r="F996" t="s">
        <v>35</v>
      </c>
      <c r="G996">
        <v>44.247700000000002</v>
      </c>
      <c r="H996">
        <v>175.0702</v>
      </c>
      <c r="I996">
        <v>143</v>
      </c>
      <c r="J996" t="s">
        <v>26</v>
      </c>
      <c r="K996">
        <v>21.6</v>
      </c>
      <c r="L996">
        <v>64.099999999999994</v>
      </c>
      <c r="M996" t="s">
        <v>18</v>
      </c>
      <c r="N996">
        <v>32</v>
      </c>
      <c r="O996">
        <v>307</v>
      </c>
      <c r="P996">
        <v>10</v>
      </c>
      <c r="Q996" t="s">
        <v>27</v>
      </c>
      <c r="R996">
        <v>64</v>
      </c>
      <c r="S996">
        <v>168</v>
      </c>
      <c r="T996">
        <v>0</v>
      </c>
      <c r="U996" t="str" cm="1">
        <f t="array" ref="U996">_xlfn.IFS(smart_dataset[[#This Row],[Waiting_Time]]&lt;=20,"Low",smart_dataset[[#This Row],[Waiting_Time]]&lt;=40,"Medium",TRUE,"High")</f>
        <v>Medium</v>
      </c>
      <c r="V996" t="str" cm="1">
        <f t="array" ref="V996">_xlfn.IFS(smart_dataset[[#This Row],[Temperature]]&lt;=20,"Cold",smart_dataset[[#This Row],[Temperature]]&lt;=28,"Normal",TRUE,"Hot")</f>
        <v>Normal</v>
      </c>
      <c r="W996" t="str" cm="1">
        <f t="array" ref="W996">_xlfn.IFS(smart_dataset[[#This Row],[Asset_Utilization]]&lt;=75,"Low",smart_dataset[[#This Row],[Asset_Utilization]]&lt;=90,"Medium",TRUE,"High")</f>
        <v>Low</v>
      </c>
    </row>
    <row r="997" spans="1:23" hidden="1" x14ac:dyDescent="0.25">
      <c r="A997" s="1">
        <v>45495.6875</v>
      </c>
      <c r="B997" s="1">
        <f>INT(smart_dataset[[#This Row],[Timestamp]])</f>
        <v>45495</v>
      </c>
      <c r="C997" s="1">
        <f>MOD(smart_dataset[[#This Row],[Timestamp]],1)</f>
        <v>0.6875</v>
      </c>
      <c r="D997" s="1">
        <f>YEAR(smart_dataset[[#This Row],[Date]])</f>
        <v>2024</v>
      </c>
      <c r="E997" s="1">
        <f>MONTH(smart_dataset[[#This Row],[Timestamp]])</f>
        <v>7</v>
      </c>
      <c r="F997" t="s">
        <v>20</v>
      </c>
      <c r="G997">
        <v>89.870099999999994</v>
      </c>
      <c r="H997">
        <v>73.686700000000002</v>
      </c>
      <c r="I997">
        <v>264</v>
      </c>
      <c r="J997" t="s">
        <v>26</v>
      </c>
      <c r="K997">
        <v>26.9</v>
      </c>
      <c r="L997">
        <v>70</v>
      </c>
      <c r="M997" t="s">
        <v>22</v>
      </c>
      <c r="N997">
        <v>32</v>
      </c>
      <c r="O997">
        <v>188</v>
      </c>
      <c r="P997">
        <v>1</v>
      </c>
      <c r="Q997" t="s">
        <v>23</v>
      </c>
      <c r="R997">
        <v>79.2</v>
      </c>
      <c r="S997">
        <v>213</v>
      </c>
      <c r="T997">
        <v>1</v>
      </c>
      <c r="U997" t="str" cm="1">
        <f t="array" ref="U997">_xlfn.IFS(smart_dataset[[#This Row],[Waiting_Time]]&lt;=20,"Low",smart_dataset[[#This Row],[Waiting_Time]]&lt;=40,"Medium",TRUE,"High")</f>
        <v>Medium</v>
      </c>
      <c r="V997" t="str" cm="1">
        <f t="array" ref="V997">_xlfn.IFS(smart_dataset[[#This Row],[Temperature]]&lt;=20,"Cold",smart_dataset[[#This Row],[Temperature]]&lt;=28,"Normal",TRUE,"Hot")</f>
        <v>Normal</v>
      </c>
      <c r="W997" t="str" cm="1">
        <f t="array" ref="W997">_xlfn.IFS(smart_dataset[[#This Row],[Asset_Utilization]]&lt;=75,"Low",smart_dataset[[#This Row],[Asset_Utilization]]&lt;=90,"Medium",TRUE,"High")</f>
        <v>Medium</v>
      </c>
    </row>
    <row r="998" spans="1:23" hidden="1" x14ac:dyDescent="0.25">
      <c r="A998" s="1">
        <v>45412.207615740743</v>
      </c>
      <c r="B998" s="1">
        <f>INT(smart_dataset[[#This Row],[Timestamp]])</f>
        <v>45412</v>
      </c>
      <c r="C998" s="1">
        <f>MOD(smart_dataset[[#This Row],[Timestamp]],1)</f>
        <v>0.20761574074276723</v>
      </c>
      <c r="D998" s="1">
        <f>YEAR(smart_dataset[[#This Row],[Date]])</f>
        <v>2024</v>
      </c>
      <c r="E998" s="1">
        <f>MONTH(smart_dataset[[#This Row],[Timestamp]])</f>
        <v>4</v>
      </c>
      <c r="F998" t="s">
        <v>34</v>
      </c>
      <c r="G998">
        <v>-10.479200000000001</v>
      </c>
      <c r="H998">
        <v>-177.12389999999999</v>
      </c>
      <c r="I998">
        <v>479</v>
      </c>
      <c r="J998" t="s">
        <v>26</v>
      </c>
      <c r="K998">
        <v>23.7</v>
      </c>
      <c r="L998">
        <v>77.900000000000006</v>
      </c>
      <c r="M998" t="s">
        <v>18</v>
      </c>
      <c r="N998">
        <v>56</v>
      </c>
      <c r="O998">
        <v>276</v>
      </c>
      <c r="P998">
        <v>7</v>
      </c>
      <c r="Q998" t="s">
        <v>23</v>
      </c>
      <c r="R998">
        <v>83.7</v>
      </c>
      <c r="S998">
        <v>272</v>
      </c>
      <c r="T998">
        <v>0</v>
      </c>
      <c r="U998" t="str" cm="1">
        <f t="array" ref="U998">_xlfn.IFS(smart_dataset[[#This Row],[Waiting_Time]]&lt;=20,"Low",smart_dataset[[#This Row],[Waiting_Time]]&lt;=40,"Medium",TRUE,"High")</f>
        <v>High</v>
      </c>
      <c r="V998" t="str" cm="1">
        <f t="array" ref="V998">_xlfn.IFS(smart_dataset[[#This Row],[Temperature]]&lt;=20,"Cold",smart_dataset[[#This Row],[Temperature]]&lt;=28,"Normal",TRUE,"Hot")</f>
        <v>Normal</v>
      </c>
      <c r="W998" t="str" cm="1">
        <f t="array" ref="W998">_xlfn.IFS(smart_dataset[[#This Row],[Asset_Utilization]]&lt;=75,"Low",smart_dataset[[#This Row],[Asset_Utilization]]&lt;=90,"Medium",TRUE,"High")</f>
        <v>Medium</v>
      </c>
    </row>
    <row r="999" spans="1:23" x14ac:dyDescent="0.25">
      <c r="A999" s="1">
        <v>45592.923067129632</v>
      </c>
      <c r="B999" s="1">
        <f>INT(smart_dataset[[#This Row],[Timestamp]])</f>
        <v>45592</v>
      </c>
      <c r="C999" s="7">
        <f>MOD(smart_dataset[[#This Row],[Timestamp]],1)</f>
        <v>0.92306712963181781</v>
      </c>
      <c r="D999">
        <f>YEAR(smart_dataset[[#This Row],[Date]])</f>
        <v>2024</v>
      </c>
      <c r="E999">
        <f>MONTH(smart_dataset[[#This Row],[Timestamp]])</f>
        <v>10</v>
      </c>
      <c r="F999" t="s">
        <v>30</v>
      </c>
      <c r="G999">
        <v>-71.060900000000004</v>
      </c>
      <c r="H999">
        <v>75.371399999999994</v>
      </c>
      <c r="I999">
        <v>347</v>
      </c>
      <c r="J999" t="s">
        <v>21</v>
      </c>
      <c r="K999">
        <v>21</v>
      </c>
      <c r="L999">
        <v>63.1</v>
      </c>
      <c r="M999" t="s">
        <v>18</v>
      </c>
      <c r="N999">
        <v>35</v>
      </c>
      <c r="O999">
        <v>382</v>
      </c>
      <c r="P999">
        <v>5</v>
      </c>
      <c r="Q999" t="s">
        <v>19</v>
      </c>
      <c r="R999">
        <v>74.8</v>
      </c>
      <c r="S999">
        <v>275</v>
      </c>
      <c r="T999">
        <v>0</v>
      </c>
      <c r="U999" t="str" cm="1">
        <f t="array" ref="U999">_xlfn.IFS(smart_dataset[[#This Row],[Waiting_Time]]&lt;=20,"Low",smart_dataset[[#This Row],[Waiting_Time]]&lt;=40,"Medium",TRUE,"High")</f>
        <v>Medium</v>
      </c>
      <c r="V999" t="str" cm="1">
        <f t="array" ref="V999">_xlfn.IFS(smart_dataset[[#This Row],[Temperature]]&lt;=20,"Cold",smart_dataset[[#This Row],[Temperature]]&lt;=28,"Normal",TRUE,"Hot")</f>
        <v>Normal</v>
      </c>
      <c r="W999" t="str" cm="1">
        <f t="array" ref="W999">_xlfn.IFS(smart_dataset[[#This Row],[Asset_Utilization]]&lt;=75,"Low",smart_dataset[[#This Row],[Asset_Utilization]]&lt;=90,"Medium",TRUE,"High")</f>
        <v>Low</v>
      </c>
    </row>
    <row r="1000" spans="1:23" x14ac:dyDescent="0.25">
      <c r="A1000" s="1">
        <v>45400.963148148148</v>
      </c>
      <c r="B1000" s="1">
        <f>INT(smart_dataset[[#This Row],[Timestamp]])</f>
        <v>45400</v>
      </c>
      <c r="C1000" s="7">
        <f>MOD(smart_dataset[[#This Row],[Timestamp]],1)</f>
        <v>0.96314814814832062</v>
      </c>
      <c r="D1000">
        <f>YEAR(smart_dataset[[#This Row],[Date]])</f>
        <v>2024</v>
      </c>
      <c r="E1000">
        <f>MONTH(smart_dataset[[#This Row],[Timestamp]])</f>
        <v>4</v>
      </c>
      <c r="F1000" t="s">
        <v>30</v>
      </c>
      <c r="G1000">
        <v>-76.790999999999997</v>
      </c>
      <c r="H1000">
        <v>18.363099999999999</v>
      </c>
      <c r="I1000">
        <v>276</v>
      </c>
      <c r="J1000" t="s">
        <v>26</v>
      </c>
      <c r="K1000">
        <v>18</v>
      </c>
      <c r="L1000">
        <v>64.3</v>
      </c>
      <c r="M1000" t="s">
        <v>22</v>
      </c>
      <c r="N1000">
        <v>10</v>
      </c>
      <c r="O1000">
        <v>361</v>
      </c>
      <c r="P1000">
        <v>5</v>
      </c>
      <c r="Q1000" t="s">
        <v>19</v>
      </c>
      <c r="R1000">
        <v>88.6</v>
      </c>
      <c r="S1000">
        <v>242</v>
      </c>
      <c r="T1000">
        <v>1</v>
      </c>
      <c r="U1000" t="str" cm="1">
        <f t="array" ref="U1000">_xlfn.IFS(smart_dataset[[#This Row],[Waiting_Time]]&lt;=20,"Low",smart_dataset[[#This Row],[Waiting_Time]]&lt;=40,"Medium",TRUE,"High")</f>
        <v>Low</v>
      </c>
      <c r="V1000" t="str" cm="1">
        <f t="array" ref="V1000">_xlfn.IFS(smart_dataset[[#This Row],[Temperature]]&lt;=20,"Cold",smart_dataset[[#This Row],[Temperature]]&lt;=28,"Normal",TRUE,"Hot")</f>
        <v>Cold</v>
      </c>
      <c r="W1000" t="str" cm="1">
        <f t="array" ref="W1000">_xlfn.IFS(smart_dataset[[#This Row],[Asset_Utilization]]&lt;=75,"Low",smart_dataset[[#This Row],[Asset_Utilization]]&lt;=90,"Medium",TRUE,"High")</f>
        <v>Medium</v>
      </c>
    </row>
    <row r="1001" spans="1:23" hidden="1" x14ac:dyDescent="0.25">
      <c r="A1001" s="1">
        <v>45553.819027777776</v>
      </c>
      <c r="B1001" s="1">
        <f>INT(smart_dataset[[#This Row],[Timestamp]])</f>
        <v>45553</v>
      </c>
      <c r="C1001" s="1">
        <f>MOD(smart_dataset[[#This Row],[Timestamp]],1)</f>
        <v>0.81902777777577285</v>
      </c>
      <c r="D1001" s="1">
        <f>YEAR(smart_dataset[[#This Row],[Date]])</f>
        <v>2024</v>
      </c>
      <c r="E1001" s="1">
        <f>MONTH(smart_dataset[[#This Row],[Timestamp]])</f>
        <v>9</v>
      </c>
      <c r="F1001" t="s">
        <v>32</v>
      </c>
      <c r="G1001">
        <v>59.835599999999999</v>
      </c>
      <c r="H1001">
        <v>-114.4198</v>
      </c>
      <c r="I1001">
        <v>157</v>
      </c>
      <c r="J1001" t="s">
        <v>17</v>
      </c>
      <c r="K1001">
        <v>18.7</v>
      </c>
      <c r="L1001">
        <v>73.599999999999994</v>
      </c>
      <c r="M1001" t="s">
        <v>28</v>
      </c>
      <c r="N1001">
        <v>55</v>
      </c>
      <c r="O1001">
        <v>323</v>
      </c>
      <c r="P1001">
        <v>9</v>
      </c>
      <c r="Q1001" t="s">
        <v>31</v>
      </c>
      <c r="R1001">
        <v>81.3</v>
      </c>
      <c r="S1001">
        <v>141</v>
      </c>
      <c r="T1001">
        <v>1</v>
      </c>
      <c r="U1001" t="str" cm="1">
        <f t="array" ref="U1001">_xlfn.IFS(smart_dataset[[#This Row],[Waiting_Time]]&lt;=20,"Low",smart_dataset[[#This Row],[Waiting_Time]]&lt;=40,"Medium",TRUE,"High")</f>
        <v>High</v>
      </c>
      <c r="V1001" t="str" cm="1">
        <f t="array" ref="V1001">_xlfn.IFS(smart_dataset[[#This Row],[Temperature]]&lt;=20,"Cold",smart_dataset[[#This Row],[Temperature]]&lt;=28,"Normal",TRUE,"Hot")</f>
        <v>Cold</v>
      </c>
      <c r="W1001" t="str" cm="1">
        <f t="array" ref="W1001">_xlfn.IFS(smart_dataset[[#This Row],[Asset_Utilization]]&lt;=75,"Low",smart_dataset[[#This Row],[Asset_Utilization]]&lt;=90,"Medium",TRUE,"High")</f>
        <v>Medium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484F-5132-4FDA-8FE4-BD813A0BB9EE}">
  <dimension ref="A3:D8"/>
  <sheetViews>
    <sheetView topLeftCell="A4" workbookViewId="0">
      <selection activeCell="A3" sqref="A3"/>
    </sheetView>
  </sheetViews>
  <sheetFormatPr defaultRowHeight="15" x14ac:dyDescent="0.25"/>
  <cols>
    <col min="1" max="1" width="17.42578125" bestFit="1" customWidth="1"/>
    <col min="2" max="2" width="16.85546875" bestFit="1" customWidth="1"/>
    <col min="3" max="3" width="4" bestFit="1" customWidth="1"/>
    <col min="4" max="4" width="11.28515625" bestFit="1" customWidth="1"/>
  </cols>
  <sheetData>
    <row r="3" spans="1:4" x14ac:dyDescent="0.25">
      <c r="A3" s="3" t="s">
        <v>52</v>
      </c>
      <c r="B3" s="3" t="s">
        <v>53</v>
      </c>
    </row>
    <row r="4" spans="1:4" x14ac:dyDescent="0.25">
      <c r="A4" s="3" t="s">
        <v>50</v>
      </c>
      <c r="B4">
        <v>0</v>
      </c>
      <c r="C4">
        <v>1</v>
      </c>
      <c r="D4" t="s">
        <v>51</v>
      </c>
    </row>
    <row r="5" spans="1:4" x14ac:dyDescent="0.25">
      <c r="A5" s="4" t="s">
        <v>17</v>
      </c>
      <c r="C5">
        <v>350</v>
      </c>
      <c r="D5">
        <v>350</v>
      </c>
    </row>
    <row r="6" spans="1:4" x14ac:dyDescent="0.25">
      <c r="A6" s="4" t="s">
        <v>26</v>
      </c>
      <c r="B6">
        <v>220</v>
      </c>
      <c r="C6">
        <v>118</v>
      </c>
      <c r="D6">
        <v>338</v>
      </c>
    </row>
    <row r="7" spans="1:4" x14ac:dyDescent="0.25">
      <c r="A7" s="4" t="s">
        <v>21</v>
      </c>
      <c r="B7">
        <v>214</v>
      </c>
      <c r="C7">
        <v>98</v>
      </c>
      <c r="D7">
        <v>312</v>
      </c>
    </row>
    <row r="8" spans="1:4" x14ac:dyDescent="0.25">
      <c r="A8" s="4" t="s">
        <v>51</v>
      </c>
      <c r="B8">
        <v>434</v>
      </c>
      <c r="C8">
        <v>566</v>
      </c>
      <c r="D8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FD23-3C28-41A8-8841-1AF4742332DD}">
  <dimension ref="A3:A17"/>
  <sheetViews>
    <sheetView workbookViewId="0">
      <selection activeCell="J52" sqref="J52"/>
    </sheetView>
  </sheetViews>
  <sheetFormatPr defaultRowHeight="15" x14ac:dyDescent="0.25"/>
  <sheetData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64</v>
      </c>
    </row>
    <row r="8" spans="1:1" x14ac:dyDescent="0.25">
      <c r="A8" t="s">
        <v>65</v>
      </c>
    </row>
    <row r="9" spans="1:1" x14ac:dyDescent="0.25">
      <c r="A9" t="s">
        <v>66</v>
      </c>
    </row>
    <row r="10" spans="1:1" x14ac:dyDescent="0.25">
      <c r="A10" t="s">
        <v>67</v>
      </c>
    </row>
    <row r="11" spans="1:1" x14ac:dyDescent="0.25">
      <c r="A11" t="s">
        <v>68</v>
      </c>
    </row>
    <row r="12" spans="1:1" x14ac:dyDescent="0.25">
      <c r="A12" t="s">
        <v>69</v>
      </c>
    </row>
    <row r="13" spans="1:1" x14ac:dyDescent="0.25">
      <c r="A13" t="s">
        <v>70</v>
      </c>
    </row>
    <row r="14" spans="1:1" x14ac:dyDescent="0.25">
      <c r="A14" t="s">
        <v>71</v>
      </c>
    </row>
    <row r="15" spans="1:1" x14ac:dyDescent="0.25">
      <c r="A15" t="s">
        <v>72</v>
      </c>
    </row>
    <row r="16" spans="1:1" x14ac:dyDescent="0.25">
      <c r="A16" t="s">
        <v>73</v>
      </c>
    </row>
    <row r="17" spans="1:1" x14ac:dyDescent="0.25">
      <c r="A17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9CDC-25B7-440A-A516-0CB4626D1A73}">
  <dimension ref="A4:L5"/>
  <sheetViews>
    <sheetView workbookViewId="0">
      <selection activeCell="J14" sqref="J14"/>
    </sheetView>
  </sheetViews>
  <sheetFormatPr defaultRowHeight="15" x14ac:dyDescent="0.25"/>
  <cols>
    <col min="1" max="1" width="32.42578125" bestFit="1" customWidth="1"/>
    <col min="2" max="2" width="7" bestFit="1" customWidth="1"/>
    <col min="3" max="3" width="22.7109375" bestFit="1" customWidth="1"/>
    <col min="4" max="4" width="15.140625" bestFit="1" customWidth="1"/>
    <col min="5" max="5" width="18.85546875" bestFit="1" customWidth="1"/>
    <col min="6" max="6" width="11.42578125" bestFit="1" customWidth="1"/>
    <col min="7" max="7" width="14.5703125" bestFit="1" customWidth="1"/>
    <col min="8" max="8" width="17.5703125" bestFit="1" customWidth="1"/>
    <col min="9" max="9" width="40" customWidth="1"/>
    <col min="10" max="10" width="45.7109375" customWidth="1"/>
    <col min="11" max="11" width="41.140625" customWidth="1"/>
    <col min="12" max="12" width="34.85546875" customWidth="1"/>
  </cols>
  <sheetData>
    <row r="4" spans="1:12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54</v>
      </c>
      <c r="K4" t="s">
        <v>55</v>
      </c>
      <c r="L4" t="s">
        <v>56</v>
      </c>
    </row>
    <row r="5" spans="1:12" ht="75" x14ac:dyDescent="0.25">
      <c r="A5" t="s">
        <v>45</v>
      </c>
      <c r="B5" t="s">
        <v>46</v>
      </c>
      <c r="C5" t="s">
        <v>47</v>
      </c>
      <c r="D5">
        <v>1001</v>
      </c>
      <c r="E5">
        <v>16</v>
      </c>
      <c r="F5">
        <v>2024</v>
      </c>
      <c r="G5" t="s">
        <v>15</v>
      </c>
      <c r="H5" t="s">
        <v>48</v>
      </c>
      <c r="I5" s="2" t="s">
        <v>49</v>
      </c>
      <c r="J5" s="2" t="s">
        <v>57</v>
      </c>
      <c r="K5" s="2" t="s">
        <v>58</v>
      </c>
      <c r="L5" s="2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FE763A-E5E1-4A74-BD6E-438941E8F2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Analyze</vt:lpstr>
      <vt:lpstr>smart_logistics_dataset</vt:lpstr>
      <vt:lpstr>Sheet2</vt:lpstr>
      <vt:lpstr>Data Dictionary</vt:lpstr>
      <vt:lpstr>Data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El Rouby</dc:creator>
  <cp:lastModifiedBy>Mostafa El Rouby</cp:lastModifiedBy>
  <dcterms:created xsi:type="dcterms:W3CDTF">2026-07-27T17:13:08Z</dcterms:created>
  <dcterms:modified xsi:type="dcterms:W3CDTF">2026-07-29T22:14:40Z</dcterms:modified>
</cp:coreProperties>
</file>